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44DDE8E8-8305-4714-9D53-9AE5E98A85A3}" xr6:coauthVersionLast="47" xr6:coauthVersionMax="47" xr10:uidLastSave="{00000000-0000-0000-0000-000000000000}"/>
  <bookViews>
    <workbookView xWindow="240" yWindow="105" windowWidth="14805" windowHeight="8010" firstSheet="11" activeTab="3" xr2:uid="{00000000-000D-0000-FFFF-FFFF00000000}"/>
  </bookViews>
  <sheets>
    <sheet name="Nhân sự" sheetId="6" state="hidden" r:id="rId1"/>
    <sheet name="Bảng đã đổi tên" sheetId="11" state="hidden" r:id="rId2"/>
    <sheet name="Bảng nhân sự CMS" sheetId="17" r:id="rId3"/>
    <sheet name="Update Agent usage sync" sheetId="1" r:id="rId4"/>
    <sheet name="Worklog Compliance" sheetId="4" state="hidden" r:id="rId5"/>
    <sheet name="Certificate registration" sheetId="5" state="hidden" r:id="rId6"/>
    <sheet name="KG data training" sheetId="12" state="hidden" r:id="rId7"/>
    <sheet name="Bảng data nhân sự full" sheetId="10" state="hidden" r:id="rId8"/>
    <sheet name="Data nhân sự" sheetId="9" state="hidden" r:id="rId9"/>
    <sheet name="AWS Certified Generative AI Dev" sheetId="18" r:id="rId10"/>
    <sheet name="AI Claude Foundati Certificate " sheetId="16" r:id="rId11"/>
    <sheet name=" GitHub Copilot Certification (" sheetId="15" r:id="rId12"/>
    <sheet name="training_data" sheetId="13" state="hidden" r:id="rId13"/>
    <sheet name="FHM.CMS" sheetId="7" state="hidden" r:id="rId14"/>
    <sheet name="Mapping" sheetId="2" state="hidden" r:id="rId15"/>
    <sheet name="Customer_Mapping" sheetId="19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2" i="1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2" i="18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2" i="16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2" i="15"/>
  <c r="S2" i="17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X2" i="17"/>
  <c r="X3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X183" i="17"/>
  <c r="X184" i="17"/>
  <c r="X185" i="17"/>
  <c r="X186" i="17"/>
  <c r="X187" i="17"/>
  <c r="X188" i="17"/>
  <c r="X189" i="17"/>
  <c r="X190" i="17"/>
  <c r="X191" i="17"/>
  <c r="X192" i="17"/>
  <c r="X193" i="17"/>
  <c r="X194" i="17"/>
  <c r="X195" i="17"/>
  <c r="X196" i="17"/>
  <c r="X197" i="17"/>
  <c r="X198" i="17"/>
  <c r="X199" i="17"/>
  <c r="X200" i="17"/>
  <c r="X201" i="17"/>
  <c r="X202" i="17"/>
  <c r="X203" i="17"/>
  <c r="X204" i="17"/>
  <c r="X205" i="17"/>
  <c r="X206" i="17"/>
  <c r="X207" i="17"/>
  <c r="X208" i="17"/>
  <c r="X209" i="17"/>
  <c r="X210" i="17"/>
  <c r="X211" i="17"/>
  <c r="X212" i="17"/>
  <c r="X213" i="17"/>
  <c r="X214" i="17"/>
  <c r="X215" i="17"/>
  <c r="X216" i="17"/>
  <c r="X217" i="17"/>
  <c r="X218" i="17"/>
  <c r="X219" i="17"/>
  <c r="X220" i="17"/>
  <c r="X221" i="17"/>
  <c r="X222" i="17"/>
  <c r="X223" i="17"/>
  <c r="X224" i="17"/>
  <c r="X225" i="17"/>
  <c r="X226" i="17"/>
  <c r="X227" i="17"/>
  <c r="X228" i="17"/>
  <c r="X229" i="17"/>
  <c r="X230" i="17"/>
  <c r="X231" i="17"/>
  <c r="X232" i="17"/>
  <c r="X233" i="17"/>
  <c r="X234" i="17"/>
  <c r="X235" i="17"/>
  <c r="X236" i="17"/>
  <c r="X237" i="17"/>
  <c r="X238" i="17"/>
  <c r="X239" i="17"/>
  <c r="X240" i="17"/>
  <c r="X241" i="17"/>
  <c r="X242" i="17"/>
  <c r="X243" i="17"/>
  <c r="X244" i="17"/>
  <c r="X245" i="17"/>
  <c r="X246" i="17"/>
  <c r="X247" i="17"/>
  <c r="X248" i="17"/>
  <c r="X249" i="17"/>
  <c r="X250" i="17"/>
  <c r="X251" i="17"/>
  <c r="X252" i="17"/>
  <c r="X253" i="17"/>
  <c r="X254" i="17"/>
  <c r="X255" i="17"/>
  <c r="X256" i="17"/>
  <c r="X257" i="17"/>
  <c r="X258" i="17"/>
  <c r="X259" i="17"/>
  <c r="X260" i="17"/>
  <c r="X261" i="17"/>
  <c r="X262" i="17"/>
  <c r="X263" i="17"/>
  <c r="X264" i="17"/>
  <c r="X265" i="17"/>
  <c r="X266" i="17"/>
  <c r="X267" i="17"/>
  <c r="X268" i="17"/>
  <c r="X269" i="17"/>
  <c r="X270" i="17"/>
  <c r="X271" i="17"/>
  <c r="X272" i="17"/>
  <c r="X273" i="17"/>
  <c r="X274" i="17"/>
  <c r="X275" i="17"/>
  <c r="X276" i="17"/>
  <c r="X277" i="17"/>
  <c r="X278" i="17"/>
  <c r="X279" i="17"/>
  <c r="X280" i="17"/>
  <c r="X281" i="17"/>
  <c r="X282" i="17"/>
  <c r="X283" i="17"/>
  <c r="X284" i="17"/>
  <c r="X285" i="17"/>
  <c r="X286" i="17"/>
  <c r="X287" i="17"/>
  <c r="X288" i="17"/>
  <c r="X289" i="17"/>
  <c r="X290" i="17"/>
  <c r="X291" i="17"/>
  <c r="X292" i="17"/>
  <c r="X293" i="17"/>
  <c r="X294" i="17"/>
  <c r="X295" i="17"/>
  <c r="X296" i="17"/>
  <c r="X297" i="17"/>
  <c r="X298" i="17"/>
  <c r="X299" i="17"/>
  <c r="X300" i="17"/>
  <c r="X301" i="17"/>
  <c r="X302" i="17"/>
  <c r="X303" i="17"/>
  <c r="X304" i="17"/>
  <c r="X305" i="17"/>
  <c r="X306" i="17"/>
  <c r="X307" i="17"/>
  <c r="X308" i="17"/>
  <c r="X309" i="17"/>
  <c r="X310" i="17"/>
  <c r="X311" i="17"/>
  <c r="X312" i="17"/>
  <c r="X313" i="17"/>
  <c r="X314" i="17"/>
  <c r="X315" i="17"/>
  <c r="X316" i="17"/>
  <c r="X317" i="17"/>
  <c r="X318" i="17"/>
  <c r="X319" i="17"/>
  <c r="X320" i="17"/>
  <c r="X321" i="17"/>
  <c r="X322" i="17"/>
  <c r="X323" i="17"/>
  <c r="X324" i="17"/>
  <c r="X325" i="17"/>
  <c r="X326" i="17"/>
  <c r="X327" i="17"/>
  <c r="X328" i="17"/>
  <c r="X329" i="17"/>
  <c r="X330" i="17"/>
  <c r="X331" i="17"/>
  <c r="X332" i="17"/>
  <c r="X333" i="17"/>
  <c r="X334" i="17"/>
  <c r="X335" i="17"/>
  <c r="X336" i="17"/>
  <c r="X337" i="17"/>
  <c r="X338" i="17"/>
  <c r="X339" i="17"/>
  <c r="X340" i="17"/>
  <c r="X341" i="17"/>
  <c r="X342" i="17"/>
  <c r="X343" i="17"/>
  <c r="X344" i="17"/>
  <c r="X345" i="17"/>
  <c r="X346" i="17"/>
  <c r="X347" i="17"/>
  <c r="X348" i="17"/>
  <c r="X349" i="17"/>
  <c r="X350" i="17"/>
  <c r="X351" i="17"/>
  <c r="X352" i="17"/>
  <c r="X353" i="17"/>
  <c r="X354" i="17"/>
  <c r="X355" i="17"/>
  <c r="X356" i="17"/>
  <c r="X357" i="17"/>
  <c r="X358" i="17"/>
  <c r="X359" i="17"/>
  <c r="X360" i="17"/>
  <c r="X361" i="17"/>
  <c r="X362" i="17"/>
  <c r="X363" i="17"/>
  <c r="X364" i="17"/>
  <c r="X365" i="17"/>
  <c r="X366" i="17"/>
  <c r="X367" i="17"/>
  <c r="X368" i="17"/>
  <c r="X369" i="17"/>
  <c r="X370" i="17"/>
  <c r="X371" i="17"/>
  <c r="X372" i="17"/>
  <c r="X373" i="17"/>
  <c r="X374" i="17"/>
  <c r="X375" i="17"/>
  <c r="X376" i="17"/>
  <c r="X377" i="17"/>
  <c r="X378" i="17"/>
  <c r="X379" i="17"/>
  <c r="X380" i="17"/>
  <c r="X381" i="17"/>
  <c r="X382" i="17"/>
  <c r="X383" i="17"/>
  <c r="X384" i="17"/>
  <c r="X385" i="17"/>
  <c r="X386" i="17"/>
  <c r="X387" i="17"/>
  <c r="X388" i="17"/>
  <c r="X389" i="17"/>
  <c r="X390" i="17"/>
  <c r="W2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146" i="17"/>
  <c r="W147" i="17"/>
  <c r="W148" i="17"/>
  <c r="W149" i="17"/>
  <c r="W150" i="17"/>
  <c r="W151" i="17"/>
  <c r="W152" i="17"/>
  <c r="W153" i="17"/>
  <c r="W154" i="17"/>
  <c r="W155" i="17"/>
  <c r="W156" i="17"/>
  <c r="W157" i="17"/>
  <c r="W158" i="17"/>
  <c r="W159" i="17"/>
  <c r="W160" i="17"/>
  <c r="W161" i="17"/>
  <c r="W162" i="17"/>
  <c r="W163" i="17"/>
  <c r="W164" i="17"/>
  <c r="W165" i="17"/>
  <c r="W166" i="17"/>
  <c r="W167" i="17"/>
  <c r="W168" i="17"/>
  <c r="W169" i="17"/>
  <c r="W170" i="17"/>
  <c r="W171" i="17"/>
  <c r="W172" i="17"/>
  <c r="W173" i="17"/>
  <c r="W174" i="17"/>
  <c r="W175" i="17"/>
  <c r="W176" i="17"/>
  <c r="W177" i="17"/>
  <c r="W178" i="17"/>
  <c r="W179" i="17"/>
  <c r="W180" i="17"/>
  <c r="W181" i="17"/>
  <c r="W182" i="17"/>
  <c r="W183" i="17"/>
  <c r="W184" i="17"/>
  <c r="W185" i="17"/>
  <c r="W186" i="17"/>
  <c r="W187" i="17"/>
  <c r="W188" i="17"/>
  <c r="W189" i="17"/>
  <c r="W190" i="17"/>
  <c r="W191" i="17"/>
  <c r="W192" i="17"/>
  <c r="W193" i="17"/>
  <c r="W194" i="17"/>
  <c r="W195" i="17"/>
  <c r="W196" i="17"/>
  <c r="W197" i="17"/>
  <c r="W198" i="17"/>
  <c r="W199" i="17"/>
  <c r="W200" i="17"/>
  <c r="W201" i="17"/>
  <c r="W202" i="17"/>
  <c r="W203" i="17"/>
  <c r="W204" i="17"/>
  <c r="W205" i="17"/>
  <c r="W206" i="17"/>
  <c r="W207" i="17"/>
  <c r="W208" i="17"/>
  <c r="W209" i="17"/>
  <c r="W210" i="17"/>
  <c r="W211" i="17"/>
  <c r="W212" i="17"/>
  <c r="W213" i="17"/>
  <c r="W214" i="17"/>
  <c r="W215" i="17"/>
  <c r="W216" i="17"/>
  <c r="W217" i="17"/>
  <c r="W218" i="17"/>
  <c r="W219" i="17"/>
  <c r="W220" i="17"/>
  <c r="W221" i="17"/>
  <c r="W222" i="17"/>
  <c r="W223" i="17"/>
  <c r="W224" i="17"/>
  <c r="W225" i="17"/>
  <c r="W226" i="17"/>
  <c r="W227" i="17"/>
  <c r="W228" i="17"/>
  <c r="W229" i="17"/>
  <c r="W230" i="17"/>
  <c r="W231" i="17"/>
  <c r="W232" i="17"/>
  <c r="W233" i="17"/>
  <c r="W234" i="17"/>
  <c r="W235" i="17"/>
  <c r="W236" i="17"/>
  <c r="W237" i="17"/>
  <c r="W238" i="17"/>
  <c r="W239" i="17"/>
  <c r="W240" i="17"/>
  <c r="W241" i="17"/>
  <c r="W242" i="17"/>
  <c r="W243" i="17"/>
  <c r="W244" i="17"/>
  <c r="W245" i="17"/>
  <c r="W246" i="17"/>
  <c r="W247" i="17"/>
  <c r="W248" i="17"/>
  <c r="W249" i="17"/>
  <c r="W250" i="17"/>
  <c r="W251" i="17"/>
  <c r="W252" i="17"/>
  <c r="W253" i="17"/>
  <c r="W254" i="17"/>
  <c r="W255" i="17"/>
  <c r="W256" i="17"/>
  <c r="W257" i="17"/>
  <c r="W258" i="17"/>
  <c r="W259" i="17"/>
  <c r="W260" i="17"/>
  <c r="W261" i="17"/>
  <c r="W262" i="17"/>
  <c r="W263" i="17"/>
  <c r="W264" i="17"/>
  <c r="W265" i="17"/>
  <c r="W266" i="17"/>
  <c r="W267" i="17"/>
  <c r="W268" i="17"/>
  <c r="W269" i="17"/>
  <c r="W270" i="17"/>
  <c r="W271" i="17"/>
  <c r="W272" i="17"/>
  <c r="W273" i="17"/>
  <c r="W274" i="17"/>
  <c r="W275" i="17"/>
  <c r="W276" i="17"/>
  <c r="W277" i="17"/>
  <c r="W278" i="17"/>
  <c r="W279" i="17"/>
  <c r="W280" i="17"/>
  <c r="W281" i="17"/>
  <c r="W282" i="17"/>
  <c r="W283" i="17"/>
  <c r="W284" i="17"/>
  <c r="W285" i="17"/>
  <c r="W286" i="17"/>
  <c r="W287" i="17"/>
  <c r="W288" i="17"/>
  <c r="W289" i="17"/>
  <c r="W290" i="17"/>
  <c r="W291" i="17"/>
  <c r="W292" i="17"/>
  <c r="W293" i="17"/>
  <c r="W294" i="17"/>
  <c r="W295" i="17"/>
  <c r="W296" i="17"/>
  <c r="W297" i="17"/>
  <c r="W298" i="17"/>
  <c r="W299" i="17"/>
  <c r="W300" i="17"/>
  <c r="W301" i="17"/>
  <c r="W302" i="17"/>
  <c r="W303" i="17"/>
  <c r="W304" i="17"/>
  <c r="W305" i="17"/>
  <c r="W306" i="17"/>
  <c r="W307" i="17"/>
  <c r="W308" i="17"/>
  <c r="W309" i="17"/>
  <c r="W310" i="17"/>
  <c r="W311" i="17"/>
  <c r="W312" i="17"/>
  <c r="W313" i="17"/>
  <c r="W314" i="17"/>
  <c r="W315" i="17"/>
  <c r="W316" i="17"/>
  <c r="W317" i="17"/>
  <c r="W318" i="17"/>
  <c r="W319" i="17"/>
  <c r="W320" i="17"/>
  <c r="W321" i="17"/>
  <c r="W322" i="17"/>
  <c r="W323" i="17"/>
  <c r="W324" i="17"/>
  <c r="W325" i="17"/>
  <c r="W326" i="17"/>
  <c r="W327" i="17"/>
  <c r="W328" i="17"/>
  <c r="W329" i="17"/>
  <c r="W330" i="17"/>
  <c r="W331" i="17"/>
  <c r="W332" i="17"/>
  <c r="W333" i="17"/>
  <c r="W334" i="17"/>
  <c r="W335" i="17"/>
  <c r="W336" i="17"/>
  <c r="W337" i="17"/>
  <c r="W338" i="17"/>
  <c r="W339" i="17"/>
  <c r="W340" i="17"/>
  <c r="W341" i="17"/>
  <c r="W342" i="17"/>
  <c r="W343" i="17"/>
  <c r="W344" i="17"/>
  <c r="W345" i="17"/>
  <c r="W346" i="17"/>
  <c r="W347" i="17"/>
  <c r="W348" i="17"/>
  <c r="W349" i="17"/>
  <c r="W350" i="17"/>
  <c r="W351" i="17"/>
  <c r="W352" i="17"/>
  <c r="W353" i="17"/>
  <c r="W354" i="17"/>
  <c r="W355" i="17"/>
  <c r="W356" i="17"/>
  <c r="W357" i="17"/>
  <c r="W358" i="17"/>
  <c r="W359" i="17"/>
  <c r="W360" i="17"/>
  <c r="W361" i="17"/>
  <c r="W362" i="17"/>
  <c r="W363" i="17"/>
  <c r="W364" i="17"/>
  <c r="W365" i="17"/>
  <c r="W366" i="17"/>
  <c r="W367" i="17"/>
  <c r="W368" i="17"/>
  <c r="W369" i="17"/>
  <c r="W370" i="17"/>
  <c r="W371" i="17"/>
  <c r="W372" i="17"/>
  <c r="W373" i="17"/>
  <c r="W374" i="17"/>
  <c r="W375" i="17"/>
  <c r="W376" i="17"/>
  <c r="W377" i="17"/>
  <c r="W378" i="17"/>
  <c r="W379" i="17"/>
  <c r="W380" i="17"/>
  <c r="W381" i="17"/>
  <c r="W382" i="17"/>
  <c r="W383" i="17"/>
  <c r="W384" i="17"/>
  <c r="W385" i="17"/>
  <c r="W386" i="17"/>
  <c r="W387" i="17"/>
  <c r="W388" i="17"/>
  <c r="W389" i="17"/>
  <c r="W390" i="17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C3" i="4" a="1"/>
  <c r="C4" i="4" a="1"/>
  <c r="C5" i="4" a="1"/>
  <c r="C6" i="4" a="1"/>
  <c r="C7" i="4" a="1"/>
  <c r="C8" i="4" a="1"/>
  <c r="C9" i="4" a="1"/>
  <c r="C10" i="4" a="1"/>
  <c r="C11" i="4" a="1"/>
  <c r="C12" i="4" a="1"/>
  <c r="C13" i="4" a="1"/>
  <c r="C14" i="4" a="1"/>
  <c r="C15" i="4" a="1"/>
  <c r="C16" i="4" a="1"/>
  <c r="C17" i="4" a="1"/>
  <c r="C18" i="4" a="1"/>
  <c r="C19" i="4" a="1"/>
  <c r="C20" i="4" a="1"/>
  <c r="C21" i="4" a="1"/>
  <c r="C22" i="4" a="1"/>
  <c r="C23" i="4" a="1"/>
  <c r="C24" i="4" a="1"/>
  <c r="C25" i="4" a="1"/>
  <c r="C26" i="4" a="1"/>
  <c r="C27" i="4" a="1"/>
  <c r="C28" i="4" a="1"/>
  <c r="C29" i="4" a="1"/>
  <c r="C30" i="4" a="1"/>
  <c r="C31" i="4" a="1"/>
  <c r="C32" i="4" a="1"/>
  <c r="C33" i="4" a="1"/>
  <c r="C34" i="4" a="1"/>
  <c r="C35" i="4" a="1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<sst xmlns="http://schemas.openxmlformats.org/spreadsheetml/2006/main" count="26897" uniqueCount="2185">
  <si>
    <t>Name</t>
  </si>
  <si>
    <t xml:space="preserve">Job </t>
  </si>
  <si>
    <t>Role</t>
  </si>
  <si>
    <t>ThanLV</t>
  </si>
  <si>
    <t>Project Manager</t>
  </si>
  <si>
    <t>PM</t>
  </si>
  <si>
    <t>HieuND97</t>
  </si>
  <si>
    <t>NhutNM5</t>
  </si>
  <si>
    <t>TuyenNH1</t>
  </si>
  <si>
    <t>CC</t>
  </si>
  <si>
    <t>SA</t>
  </si>
  <si>
    <t>HienDT25</t>
  </si>
  <si>
    <t>PMO</t>
  </si>
  <si>
    <t>ThongNH7</t>
  </si>
  <si>
    <t>Solution Architect</t>
  </si>
  <si>
    <t>VuCH2</t>
  </si>
  <si>
    <t>BaoNQ12</t>
  </si>
  <si>
    <t>AnhHY</t>
  </si>
  <si>
    <t>Application Developer</t>
  </si>
  <si>
    <t>BE</t>
  </si>
  <si>
    <t>TamVM7</t>
  </si>
  <si>
    <t>FE</t>
  </si>
  <si>
    <t>AnPD3</t>
  </si>
  <si>
    <t>ToaiND2</t>
  </si>
  <si>
    <t>NhuLH18</t>
  </si>
  <si>
    <t>MinhNQ12</t>
  </si>
  <si>
    <t>Business Analyst</t>
  </si>
  <si>
    <t>BA</t>
  </si>
  <si>
    <t>NgocNTM37</t>
  </si>
  <si>
    <t>NhiPTT8</t>
  </si>
  <si>
    <t>PhatNQ15</t>
  </si>
  <si>
    <t>NhuNQ16</t>
  </si>
  <si>
    <t>TienPTC10</t>
  </si>
  <si>
    <t>DuyNL15</t>
  </si>
  <si>
    <t>ManTDM2</t>
  </si>
  <si>
    <t>TaiGH</t>
  </si>
  <si>
    <t>ViNNT7</t>
  </si>
  <si>
    <t>TienNTT</t>
  </si>
  <si>
    <t>SyPV1</t>
  </si>
  <si>
    <t>KhanhTD17</t>
  </si>
  <si>
    <t>GiangTM4</t>
  </si>
  <si>
    <t>KhoiND3</t>
  </si>
  <si>
    <t>HangHT50</t>
  </si>
  <si>
    <t>Manual Test</t>
  </si>
  <si>
    <t>Test</t>
  </si>
  <si>
    <t>HoaLTM6</t>
  </si>
  <si>
    <t>DatPT102</t>
  </si>
  <si>
    <t>KhanhPHP1</t>
  </si>
  <si>
    <t>KhaHB</t>
  </si>
  <si>
    <t>DevOps</t>
  </si>
  <si>
    <t>TuanVHA2</t>
  </si>
  <si>
    <t>AnaNBP</t>
  </si>
  <si>
    <t>NhungPTM2</t>
  </si>
  <si>
    <t>ThiLH5</t>
  </si>
  <si>
    <t>VanNV5</t>
  </si>
  <si>
    <t>HuyNVM1</t>
  </si>
  <si>
    <t>Intern</t>
  </si>
  <si>
    <t>DuyLNH2</t>
  </si>
  <si>
    <t>BaoPTT2</t>
  </si>
  <si>
    <t>HuyDM17</t>
  </si>
  <si>
    <t>MinhTT23</t>
  </si>
  <si>
    <t>OJT</t>
  </si>
  <si>
    <t>TamTT45</t>
  </si>
  <si>
    <t>TanLM6</t>
  </si>
  <si>
    <t>TramNBP</t>
  </si>
  <si>
    <t>NgocTTK10</t>
  </si>
  <si>
    <t>LinhNTT201</t>
  </si>
  <si>
    <t>MinhNN73</t>
  </si>
  <si>
    <t>employee_id</t>
  </si>
  <si>
    <t>full_name</t>
  </si>
  <si>
    <t>account</t>
  </si>
  <si>
    <t>contract_type</t>
  </si>
  <si>
    <t>hire_date</t>
  </si>
  <si>
    <t>job_title</t>
  </si>
  <si>
    <t>toeic_score</t>
  </si>
  <si>
    <t>certificates</t>
  </si>
  <si>
    <t>department</t>
  </si>
  <si>
    <t>location</t>
  </si>
  <si>
    <t>parent_department</t>
  </si>
  <si>
    <t>child_department</t>
  </si>
  <si>
    <t>main_skill</t>
  </si>
  <si>
    <t>seniority(main)</t>
  </si>
  <si>
    <t>current_skiill</t>
  </si>
  <si>
    <t>seniority(current)</t>
  </si>
  <si>
    <t>An NL</t>
  </si>
  <si>
    <t>user001</t>
  </si>
  <si>
    <t>OFF</t>
  </si>
  <si>
    <t>Senior Project Manager</t>
  </si>
  <si>
    <t>955</t>
  </si>
  <si>
    <t>EnglishScore;Project Management Professional (PMP)</t>
  </si>
  <si>
    <t>FHM CMS</t>
  </si>
  <si>
    <t>HCM</t>
  </si>
  <si>
    <t>FHM</t>
  </si>
  <si>
    <t>Project Management</t>
  </si>
  <si>
    <t/>
  </si>
  <si>
    <t>Middle</t>
  </si>
  <si>
    <t>Binh TT</t>
  </si>
  <si>
    <t>user002</t>
  </si>
  <si>
    <t>Cuong HP</t>
  </si>
  <si>
    <t>user003</t>
  </si>
  <si>
    <t>Associate Project Manager</t>
  </si>
  <si>
    <t>910</t>
  </si>
  <si>
    <t>PROFESSIONAL SCRUM MASTER™ I;EnglishScore;PROFESSIONAL SCRUM MASTER™ II;Oracle Cloud Infrastructure 2023 Certified Foundations Associate;Oracle Cloud Data Management 2023 Certified Foundations Associate;Oracle Cloud Infrastructure 2023 AI Certified Foundations Associate;Core Designer Certificate;Advanced Designer Certificate;Oracle Cloud Infrastructure for Sunbird Ed Specialty;Aptis General - Listening Reading Speaking Writing - Level B2</t>
  </si>
  <si>
    <t xml:space="preserve">.NET Framework </t>
  </si>
  <si>
    <t>Junior</t>
  </si>
  <si>
    <t>Dung QA</t>
  </si>
  <si>
    <t>user004</t>
  </si>
  <si>
    <t>620</t>
  </si>
  <si>
    <t>C++ Standard Template Library;EnglishScore;FSOFT Foreign Language Proficiency Test - TOEIC Test;PROFESSIONAL SCRUM MASTER™ I;TOEIC (Internal);PMI Agile Certified Practitioner (PMI-ACP)®</t>
  </si>
  <si>
    <t>Giang MK</t>
  </si>
  <si>
    <t>user005</t>
  </si>
  <si>
    <t>Senior Software Engineer</t>
  </si>
  <si>
    <t>EnglishScore;Azure Fundamentals</t>
  </si>
  <si>
    <t>.NET Framework</t>
  </si>
  <si>
    <t>Hai PL</t>
  </si>
  <si>
    <t>user006</t>
  </si>
  <si>
    <t>Google Cloud Certified Professional Cloud Developer;Google Cloud Certified - Associate Cloud Engineer;Microsoft Certified: Azure Fundamentals;Microsoft Certified: Azure Developer Associate;Microsoft Certified: Azure Data Engineer Associate;Microsoft Certified: Azure Solutions Architect Expert;Microsoft Certified: DevOps Engineer Expert;Cloud Architect using Microsoft Azure;EnglishScore;FSOFT Foreign Language Proficiency Test - TOEIC Test;GitHub Copilot;Agile Scrum Foundation;Secure Coding</t>
  </si>
  <si>
    <t>Azure Cloud</t>
  </si>
  <si>
    <t>Hieu DN</t>
  </si>
  <si>
    <t>user007</t>
  </si>
  <si>
    <t>755</t>
  </si>
  <si>
    <t>Google Cloud Certified Professional Cloud Developer;Core Designer Certificate;Advanced Designer Certificate;Microsoft Certified: Azure Data Engineer Associate;Microsoft Certified: Azure Database Administrator Associate;Microsoft Certified: Azure IoT Developer Specialty;Microsoft Certified: Azure Solutions Architect Expert;Microsoft Certified: DevOps Engineer Expert;Google Cloud Certified - Associate Cloud Engineer;Microsoft Certified: Azure Fundamentals;Microsoft Certified: Azure Developer Associate;FSOFT Foreign Language Proficiency Test - TOEIC Test;EnglishScore;Cloud Architect using Microsoft Azure</t>
  </si>
  <si>
    <t>Senior</t>
  </si>
  <si>
    <t>Hung LH</t>
  </si>
  <si>
    <t>user008</t>
  </si>
  <si>
    <t>Associate Solution Architect</t>
  </si>
  <si>
    <t>735</t>
  </si>
  <si>
    <t>Microsoft Certified: Azure Solutions Architect Expert;Developing ASP.NET MVC Web Applications;Microsoft Certified: Azure Developer Associate;PROFESSIONAL SCRUM MASTER™ I;Microsoft Certified Solutions Associate: Web Applications;Cloud Native Application Architecture;Th?c s? K? thu?t Ph?n m?m (AI MSE);Google Cloud Certified: Cloud Digital Leader;Agile Development;Data Mining Foundations and Practice;Microsoft Certified: Azure DevOps Engineer Expert;Core Designer Certificate;Advanced Designer Certificate;Microsoft Specialist: Programming in C#;Microsoft Certified: Azure Fundamentals;EnglishScore;Microsoft Certified: Azure Architect Technologies;AWS Cloud Architect;FSOFT Foreign Language Proficiency Test - TOEIC Test;Associate Traditional Web Developer O11</t>
  </si>
  <si>
    <t>Khanh BT</t>
  </si>
  <si>
    <t>user009</t>
  </si>
  <si>
    <t>Advanced Designer Certificate;Core Designer Certificate;EnglishScore;FSOFT Foreign Language Proficiency Test - TOEIC Test;GitHub Copilot;Google Cloud Certified - Associate Cloud Engineer;AWS Certified Developer - Associate;Microsoft Certified: Azure AI Engineer Associate;PROFESSIONAL SCRUM MASTER™ I;PROFESSIONAL SCRUM MASTER™ II;Enrich skills to succeed - Go Platform;AWS Certified Solutions Architect - Associate;Microsoft Certified: Azure AI Fundamentals;Microsoft Certified: Azure Data Fundamentals</t>
  </si>
  <si>
    <t>Java Framework</t>
  </si>
  <si>
    <t>Lam AK</t>
  </si>
  <si>
    <t>user010</t>
  </si>
  <si>
    <t>550</t>
  </si>
  <si>
    <t>EnglishScore</t>
  </si>
  <si>
    <t>ReactJS Framework</t>
  </si>
  <si>
    <t>Linh NL</t>
  </si>
  <si>
    <t>user011</t>
  </si>
  <si>
    <t>Long TT</t>
  </si>
  <si>
    <t>user012</t>
  </si>
  <si>
    <t>EnglishScore;Developer Certificate;GitHub Copilot;Microsoft Certified: Azure Fundamentals;Java Programming;Agile Scrum Foundation</t>
  </si>
  <si>
    <t>F1 JDC</t>
  </si>
  <si>
    <t>F1</t>
  </si>
  <si>
    <t>Minh HP</t>
  </si>
  <si>
    <t>user013</t>
  </si>
  <si>
    <t>665</t>
  </si>
  <si>
    <t>Cloud Developer;EnglishScore;Product Manager</t>
  </si>
  <si>
    <t>Nam QA</t>
  </si>
  <si>
    <t>user014</t>
  </si>
  <si>
    <t>Senior Business Analyst</t>
  </si>
  <si>
    <t>710</t>
  </si>
  <si>
    <t>EnglishScore;Japanese Language Proficiency Test N2;FSOFT Foreign Language Proficiency Test - TOEIC Test;Introduction to Data Science in Python;FSOFT Customer Interview Training;Interview Skill for Interviewer</t>
  </si>
  <si>
    <t>Ngoc MK</t>
  </si>
  <si>
    <t>user015</t>
  </si>
  <si>
    <t>Associate Business Analyst</t>
  </si>
  <si>
    <t>Japanese Language Proficiency Test N3</t>
  </si>
  <si>
    <t>Nhat PL</t>
  </si>
  <si>
    <t>user016</t>
  </si>
  <si>
    <t>EnglishScore;Business Analytics;Developer Certificate;Generative AI Practitioner Certificate;ML Practitioner Certificate;AI in Office;Core Designer Certificate;Advanced Designer Certificate</t>
  </si>
  <si>
    <t>Phong DN</t>
  </si>
  <si>
    <t>user017</t>
  </si>
  <si>
    <t>Japanese Language Proficiency Test N2</t>
  </si>
  <si>
    <t>Phuc LH</t>
  </si>
  <si>
    <t>user018</t>
  </si>
  <si>
    <t>Japanese Language Proficiency Test N2;Japanese Language Proficiency Test N3;TOEIC Listening &amp; Reading;Professional Scrum Product Owner I;Core Designer Certificate;Business Intelligence Analytics;Programming for Data Science with Python;Introduction to Python;Microsoft Certified: Azure Fundamentals;Professional Scrum Product Owner II;Certification of Capability in Business Analysis (CCBA);Introduction to Version Control</t>
  </si>
  <si>
    <t>Quan BT</t>
  </si>
  <si>
    <t>user019</t>
  </si>
  <si>
    <t>SQL;Japanese Language Proficiency Test N2</t>
  </si>
  <si>
    <t>Thao AK</t>
  </si>
  <si>
    <t>user020</t>
  </si>
  <si>
    <t>Trang NL</t>
  </si>
  <si>
    <t>user021</t>
  </si>
  <si>
    <t>Truc TT</t>
  </si>
  <si>
    <t>user022</t>
  </si>
  <si>
    <t>690</t>
  </si>
  <si>
    <t>Microsoft Certified: Azure Data Fundamentals;PROFESSIONAL SCRUM MASTER™ I</t>
  </si>
  <si>
    <t>Tuan HP</t>
  </si>
  <si>
    <t>user023</t>
  </si>
  <si>
    <t>EnglishScore;Developer Certificate;GitHub Copilot;Microsoft Certified: Azure Fundamentals;Java Programming;SQL</t>
  </si>
  <si>
    <t>Van QA</t>
  </si>
  <si>
    <t>user024</t>
  </si>
  <si>
    <t>595</t>
  </si>
  <si>
    <t>FSOFT Foreign Language Proficiency Test - TOEIC Test;ISTQB Certified Tester - Foundation Level;EnglishScore</t>
  </si>
  <si>
    <t>DevOps &amp; CI/CD Engineering</t>
  </si>
  <si>
    <t>Vy MK</t>
  </si>
  <si>
    <t>user025</t>
  </si>
  <si>
    <t>575</t>
  </si>
  <si>
    <t>Effective Problem-Solving and Decision-Making;Developing Web Apps (OutSystems 11);EnglishScore;FSOFT Foreign Language Proficiency Test - TOEIC Test</t>
  </si>
  <si>
    <t>An PL</t>
  </si>
  <si>
    <t>user026</t>
  </si>
  <si>
    <t>EnglishScore;Developer Certificate;GitHub Copilot;Microsoft Certified: Azure Fundamentals;Agile Scrum Foundation</t>
  </si>
  <si>
    <t>Binh DN</t>
  </si>
  <si>
    <t>user027</t>
  </si>
  <si>
    <t>Cloud Developer;EnglishScore;Product Manager;GitHub Copilot;React Developer;Microsoft Certified: Azure Fundamentals;Agile Scrum Foundation</t>
  </si>
  <si>
    <t>Cuong LH</t>
  </si>
  <si>
    <t>user028</t>
  </si>
  <si>
    <t>Dung BT</t>
  </si>
  <si>
    <t>user029</t>
  </si>
  <si>
    <t>Principal Test Analyst</t>
  </si>
  <si>
    <t>Giang AK</t>
  </si>
  <si>
    <t>user030</t>
  </si>
  <si>
    <t>Hai NL</t>
  </si>
  <si>
    <t>user031</t>
  </si>
  <si>
    <t>Senior Software Tester</t>
  </si>
  <si>
    <t>EnglishScore;ISTQB Certified Tester Advanced Level - Test Analyst</t>
  </si>
  <si>
    <t>Hieu TT</t>
  </si>
  <si>
    <t>user032</t>
  </si>
  <si>
    <t>Hung HP</t>
  </si>
  <si>
    <t>user033</t>
  </si>
  <si>
    <t>EnglishScore;PROFESSIONAL SCRUM MASTER™ I;Developing ASP.NET MVC Web Applications;Microsoft Specialist: Programming in C#;FSOFT Foreign Language Proficiency Test - TOEIC Test;Microsoft Certified: Azure Fundamentals;Microsoft Certified: Azure DevOps Engineer Expert;Microsoft Certified: DevOps Engineer Expert;Microsoft Certified: Azure Administrator Associate;TOEIC (Internal);TOEIC Listening &amp; Reading;Microsoft Certified: Azure Solutions Architect Expert;Microsoft Certified: Identity and Access Administrator Associate;Microsoft Certified: Security, Compliance, and Identity Fundamentals;Microsoft Certified: Azure Data Engineer Associate;Microsoft Certified: Azure Data Fundamentals;Microsoft Certified: Azure Network Engineer Associate;Microsoft Certified: Azure Developer Associate</t>
  </si>
  <si>
    <t>Khanh QA</t>
  </si>
  <si>
    <t>user034</t>
  </si>
  <si>
    <t>FHM JFL</t>
  </si>
  <si>
    <t>Lam MK</t>
  </si>
  <si>
    <t>user035</t>
  </si>
  <si>
    <t>ISTQB Foundation;EnglishScore;Automation Testing;API Testing</t>
  </si>
  <si>
    <t>IVS</t>
  </si>
  <si>
    <t>Linh PL</t>
  </si>
  <si>
    <t>user036</t>
  </si>
  <si>
    <t>EnglishScore;Business Analytics;Agile Scrum Foundation;Japanese Language Proficiency Test N3;Generative AI Practitioner Certificate</t>
  </si>
  <si>
    <t>Long DN</t>
  </si>
  <si>
    <t>user037</t>
  </si>
  <si>
    <t>Minh LH</t>
  </si>
  <si>
    <t>user038</t>
  </si>
  <si>
    <t>EnglishScore;Developer Certificate;GitHub Copilot;Microsoft Certified: Azure Fundamentals</t>
  </si>
  <si>
    <t>Nam BT</t>
  </si>
  <si>
    <t>user039</t>
  </si>
  <si>
    <t>Intern - DEV</t>
  </si>
  <si>
    <t>Ngoc AK</t>
  </si>
  <si>
    <t>user040</t>
  </si>
  <si>
    <t>Nhat NL</t>
  </si>
  <si>
    <t>user041</t>
  </si>
  <si>
    <t>Phong TT</t>
  </si>
  <si>
    <t>user042</t>
  </si>
  <si>
    <t>Phuc HP</t>
  </si>
  <si>
    <t>user043</t>
  </si>
  <si>
    <t>OJT - DEV</t>
  </si>
  <si>
    <t>Quan QA</t>
  </si>
  <si>
    <t>user044</t>
  </si>
  <si>
    <t>Thao MK</t>
  </si>
  <si>
    <t>user045</t>
  </si>
  <si>
    <t>Trang PL</t>
  </si>
  <si>
    <t>user046</t>
  </si>
  <si>
    <t>Intern - Tester</t>
  </si>
  <si>
    <t>Truc DN</t>
  </si>
  <si>
    <t>user047</t>
  </si>
  <si>
    <t>Tuan LH</t>
  </si>
  <si>
    <t>user048</t>
  </si>
  <si>
    <t>Van BT</t>
  </si>
  <si>
    <t>user049</t>
  </si>
  <si>
    <t>PRO</t>
  </si>
  <si>
    <t>895</t>
  </si>
  <si>
    <t>IELTS 6.5;AWS Cloud Architect;Java Programming;EnglishScore;Data Structures and Algorithms;ML Practitioner Certificate;MLOps Practitioner Certificate;Core Designer Certificate;Advanced Designer Certificate;Developer Certificate;Google Data Analytics</t>
  </si>
  <si>
    <t xml:space="preserve">No </t>
  </si>
  <si>
    <t>Full Name</t>
  </si>
  <si>
    <t>Account</t>
  </si>
  <si>
    <t>Contract Type</t>
  </si>
  <si>
    <t>Hire Date</t>
  </si>
  <si>
    <t>Job Title</t>
  </si>
  <si>
    <t>Toeic Score</t>
  </si>
  <si>
    <t>Certificates</t>
  </si>
  <si>
    <t>Department</t>
  </si>
  <si>
    <t>Location</t>
  </si>
  <si>
    <t>Parent Department</t>
  </si>
  <si>
    <t>Child Department</t>
  </si>
  <si>
    <t>Main Skill</t>
  </si>
  <si>
    <t>Seniority(Main)</t>
  </si>
  <si>
    <t>Current Skill</t>
  </si>
  <si>
    <t>Seniority(Current)</t>
  </si>
  <si>
    <t>Job Rank</t>
  </si>
  <si>
    <t>Customer Co</t>
  </si>
  <si>
    <t>Customer code</t>
  </si>
  <si>
    <t>Project Dept</t>
  </si>
  <si>
    <t>Project co</t>
  </si>
  <si>
    <t>Project Co2</t>
  </si>
  <si>
    <t>Project Code3</t>
  </si>
  <si>
    <t>Project code 2</t>
  </si>
  <si>
    <t>Project Type</t>
  </si>
  <si>
    <t>Chu Chiêu Dủ An</t>
  </si>
  <si>
    <t>EnglishScore;Developer Certificate;Advanced Designer Certificate;ML Practitioner Certificate;MLOps Practitioner Certificate;Core Designer Certificate;GitHub Copilot;Data Engineering with Microsoft Azure;TOEIC Listening &amp; Reading</t>
  </si>
  <si>
    <t>DEVE03</t>
  </si>
  <si>
    <t>FR</t>
  </si>
  <si>
    <t>FSO.HCM.FHM.CMS</t>
  </si>
  <si>
    <t>FRDLO</t>
  </si>
  <si>
    <t>FMCS3</t>
  </si>
  <si>
    <t>External</t>
  </si>
  <si>
    <t>Bùi Tuấn Anh</t>
  </si>
  <si>
    <t>Software Engineer</t>
  </si>
  <si>
    <t>Java Web Developer;EnglishScore</t>
  </si>
  <si>
    <t>IT Service</t>
  </si>
  <si>
    <t>DEVE02</t>
  </si>
  <si>
    <t>Portal_EU01</t>
  </si>
  <si>
    <t>Huỳnh Ngọc Minh Anh</t>
  </si>
  <si>
    <t>945</t>
  </si>
  <si>
    <t>EnglishScore;PROFESSIONAL SCRUM MASTER™ I</t>
  </si>
  <si>
    <t>BANE02</t>
  </si>
  <si>
    <t>Casio-Europe</t>
  </si>
  <si>
    <t>JOCAR_Replace</t>
  </si>
  <si>
    <t>Hoàng Yến Anh</t>
  </si>
  <si>
    <t>JJCM</t>
  </si>
  <si>
    <t>FVD2025</t>
  </si>
  <si>
    <t>Nguyễn Hà Kim Anh</t>
  </si>
  <si>
    <t>IELTS 6.5</t>
  </si>
  <si>
    <t>SPMA01</t>
  </si>
  <si>
    <t>SBR_Buhin26</t>
  </si>
  <si>
    <t>Nông Minh Anh</t>
  </si>
  <si>
    <t>TOEIC Listening &amp; Reading;Japanese Language Proficiency Test N3;GitHub Copilot</t>
  </si>
  <si>
    <t>SBR</t>
  </si>
  <si>
    <t>SDX_Y3</t>
  </si>
  <si>
    <t>Phạm Lê Thế Anh</t>
  </si>
  <si>
    <t>640</t>
  </si>
  <si>
    <t>EnglishScore;Microsoft Certified: Azure Developer Associate;Software Engineer Intern;Advanced Designer Certificate;IELTS 5.5;Microsoft Certified: Azure Fundamentals</t>
  </si>
  <si>
    <t>AWS Cloud</t>
  </si>
  <si>
    <t>Sodexo</t>
  </si>
  <si>
    <t>CDX_MS</t>
  </si>
  <si>
    <t>Trần Quỳnh Anh</t>
  </si>
  <si>
    <t>SonyGS</t>
  </si>
  <si>
    <t>SF_Link_2026</t>
  </si>
  <si>
    <t>Nguyễn Thị Duy An</t>
  </si>
  <si>
    <t>EnglishScore;Model Context Protocol: Advanced Topics;Introduction to Agent Skills;Cluade Code in Action;Introduction to Model Context Protocol;Claude Code 101;Claude with the Anthropic API;Introduction to Claude Cowork;Introduction to subagents;ISTQB Certified Tester - Foundation Level;Agile Software Developer;Oracle Cloud Infrastructure 2023 Certified Foundations Associate;Oracle Cloud Infrastructure for Sunbird Ed Specialty</t>
  </si>
  <si>
    <t>TEST04</t>
  </si>
  <si>
    <t>Phạm Duy An</t>
  </si>
  <si>
    <t>STL_AG_02</t>
  </si>
  <si>
    <t>Phan Đình Thiên Ân</t>
  </si>
  <si>
    <t>GitHub Copilot;EnglishScore;Japanese Language Proficiency Test N5;TOEIC Listening &amp; Reading;JUNIOR ANGULAR DEVELOPER;PROFESSIONAL SCRUM MASTER™ I;Oracle Cloud Infrastructure for Sunbird Ed Specialty;Oracle Cloud Infrastructure 2023 AI Certified Foundations Associate;Core Designer Certificate;Advanced Designer Certificate;Microsoft Certified: Azure Fundamentals;NVIDIA Getting Started with AI on Jetson Nano;Oracle Cloud Data Management 2023 Certified Foundations Associate;Oracle Cloud Infrastructure 2023 Certified Foundations Associate;Microsoft Certified: Azure AI Engineer Associate</t>
  </si>
  <si>
    <t>ANA</t>
  </si>
  <si>
    <t>SIQAX3</t>
  </si>
  <si>
    <t>Phạm Trường An</t>
  </si>
  <si>
    <t>Cloud Developer using Microsoft Azure;EnglishScore;Core Designer Certificate;Advanced Designer Certificate;Cloud Architect using Microsoft Azure;IELTS 5.0;Microsoft Certified: Azure Developer Associate;Microsoft Certified: Azure Fundamentals;Microsoft Certified: Azure Data Fundamentals</t>
  </si>
  <si>
    <t>SmartGroup</t>
  </si>
  <si>
    <t>C99.CMS.AUD.IPDS 2026</t>
  </si>
  <si>
    <t>Trần Võ Hoàng Trọng Ân</t>
  </si>
  <si>
    <t>GitHub Copilot</t>
  </si>
  <si>
    <t>COX-AM</t>
  </si>
  <si>
    <t>FSO.HCM.FHM.AKAT</t>
  </si>
  <si>
    <t>Võ Gia Ân</t>
  </si>
  <si>
    <t>Associate Software Engineer</t>
  </si>
  <si>
    <t>DEVE01</t>
  </si>
  <si>
    <t>C99.I5.LOG 2026</t>
  </si>
  <si>
    <t>Lương Xuân Bách</t>
  </si>
  <si>
    <t>FRWMS2026</t>
  </si>
  <si>
    <t>Phạm Công Bằng</t>
  </si>
  <si>
    <t>Senior Solution Architect</t>
  </si>
  <si>
    <t>800</t>
  </si>
  <si>
    <t>TOEFL ITP;EnglishScore</t>
  </si>
  <si>
    <t>Software Solution Architecture</t>
  </si>
  <si>
    <t>SARE03</t>
  </si>
  <si>
    <t>NEWKONG2</t>
  </si>
  <si>
    <t>Đinh Thái Bảo</t>
  </si>
  <si>
    <t>PROFESSIONAL SCRUM MASTER™ I;Advanced Designer Certificate;MLOps Practitioner Certificate;Core Designer Certificate;ML Practitioner Certificate;Developer Certificate;Oracle Cloud Data Management 2023 Certified Foundations Associate;SQL (Advanced);Google Analytics Certification;Oracle Cloud Infrastructure 2023 AI Certified Foundations Associate;ISTQB Certified Tester Advanced Level - Test Analyst;ISTQB Certified Tester - Foundation Level;FSOFT Foreign Language Proficiency Test - TOEIC Test;Product Manager;EnglishScore</t>
  </si>
  <si>
    <t>FXSS</t>
  </si>
  <si>
    <t>Nguyễn Quốc Bảo</t>
  </si>
  <si>
    <t>SARE01</t>
  </si>
  <si>
    <t>SCU100</t>
  </si>
  <si>
    <t>Phạm Hoàng Bảo</t>
  </si>
  <si>
    <t>AWS Certified Solutions Architect - Associate;Oracle Cloud Infrastructure for Sunbird Ed Specialty;Advanced Designer Certificate;Core Designer Certificate;EnglishScore</t>
  </si>
  <si>
    <t>ISCUBE</t>
  </si>
  <si>
    <t>Phạm Trần Huy Bảo</t>
  </si>
  <si>
    <t>950</t>
  </si>
  <si>
    <t>Vietnamese Standardized Test of English Proficiency (VSTEP) - Level 3/CEFR B1;Microsoft Certified: Azure Fundamentals;Full Stack Web Developer;Core Designer Certificate;Advanced Designer Certificate;EnglishScore;Java Fundamentals;Advanced Java Programming Techniques;Intermediate JavaScript;Front End Web Developer</t>
  </si>
  <si>
    <t>Trần Gia Bảo</t>
  </si>
  <si>
    <t>Associate Data Engineer</t>
  </si>
  <si>
    <t>SQL (Basic)</t>
  </si>
  <si>
    <t>DE</t>
  </si>
  <si>
    <t>DSEN01</t>
  </si>
  <si>
    <t>Trần Hoài Bảo</t>
  </si>
  <si>
    <t>Cloud Architect using Microsoft Azure;EnglishScore;AWS Cloud Architect;Microsoft Certified: Azure Solutions Architect Expert;Microsoft Certified: Azure Administrator Associate;Professional Scrum Product Owner I;Cloud Developer;Cloud Developer using Microsoft Azure;NVIDIA Getting Started with AI on Jetson Nano;Oracle Cloud Data Management 2023 Certified Foundations Associate;Oracle Cloud Infrastructure 2023 Certified Foundations Associate;PROFESSIONAL SCRUM MASTER™ I;Microsoft Certified: Azure Developer Associate;Microsoft Certified: Azure Fundamentals;Microsoft Certified: Azure Data Fundamentals</t>
  </si>
  <si>
    <t>Trần Lê Chi Bảo</t>
  </si>
  <si>
    <t>BANE01</t>
  </si>
  <si>
    <t>Văn Quốc Bảo</t>
  </si>
  <si>
    <t>880</t>
  </si>
  <si>
    <t>EnglishScore;Generative AI Practitioner Certificate;Professional Scrum Developer I;Oracle Cloud Infrastructure for Sunbird Ed Specialty;Core Designer Certificate;Advanced Designer Certificate;NVIDIA Getting Started with AI on Jetson Nano;PROFESSIONAL SCRUM MASTER™ I</t>
  </si>
  <si>
    <t>C99.I5.WM.AA 2026</t>
  </si>
  <si>
    <t>Lê Thái Bình</t>
  </si>
  <si>
    <t>Microsoft Certified: Azure AI Apps and Agents Developer Associate;Microsoft Certified: Agentic AI Business Solutions Architect;Vietnamese Standardized Test of English Proficiency (VSTEP) - Level 4/CEFR B2;GitHub Copilot</t>
  </si>
  <si>
    <t>Thạch Thanh Bình</t>
  </si>
  <si>
    <t>Advanced Designer Certificate;Core Designer Certificate;Agile with Atlassian Jira;Communication in the 21st Century Workplace;Project Management: The Basics for Success;Microsoft Certified: Azure Fundamentals;FSOFT Foreign Language Proficiency Test - TOEIC Test;EnglishScore</t>
  </si>
  <si>
    <t>MetalAlpha</t>
  </si>
  <si>
    <t>Y In Byă</t>
  </si>
  <si>
    <t>EnglishScore;Advanced Designer Certificate</t>
  </si>
  <si>
    <t>MOC</t>
  </si>
  <si>
    <t>J_POLARIS</t>
  </si>
  <si>
    <t>Đỗ Minh Chánh</t>
  </si>
  <si>
    <t>Claude Certified Architect - Foundations;Japanese Language Proficiency Test N2;TOEIC Listening &amp; Reading;AWS Certified Developer - Associate;AWS Certified Solutions Architect - Associate;Salesforce Certified Associate</t>
  </si>
  <si>
    <t>JIT</t>
  </si>
  <si>
    <t>FSO.HCM.FHM.JPG</t>
  </si>
  <si>
    <t>OPNEXT88</t>
  </si>
  <si>
    <t>Nguyễn Ngọc Bảo Chân</t>
  </si>
  <si>
    <t>865</t>
  </si>
  <si>
    <t>Data Analysis and Visualization with Microsoft Power BI;EnglishScore;FSOFT Foreign Language Proficiency Test - TOEIC Test;Business Intelligence Analytics;Tiếng Trung;A Life of Happiness and Fulfillment;AI for Everyone</t>
  </si>
  <si>
    <t>OddsPark</t>
  </si>
  <si>
    <t>FR.SF.2025</t>
  </si>
  <si>
    <t>Lê Thị Xuân Chi</t>
  </si>
  <si>
    <t>Oracle Cloud Infrastructure for Sunbird Ed Specialty;Advanced Designer Certificate;EnglishScore</t>
  </si>
  <si>
    <t>Low-Code &amp; No-Code Development</t>
  </si>
  <si>
    <t>FR VDMC Operation 2026</t>
  </si>
  <si>
    <t>Đặng Ngọc Chính</t>
  </si>
  <si>
    <t>PMI Agile Certified Practitioner (PMI-ACP)®;Project Management Professional (PMP);Phần cứng máy tính;Excel Skills for Business: Essentials;Developer Certificate;MLOps Practitioner Certificate;Core Designer Certificate;ML Practitioner Certificate;Advanced Designer Certificate;Google Project Management;Project Initiation: Starting a Successful Project;Project Planning: Putting It All Together;Foundations of Project Management;Project Execution: Running the Project;EnglishScore;FSOFT Foreign Language Proficiency Test - TOEIC Test</t>
  </si>
  <si>
    <t>SPMA02</t>
  </si>
  <si>
    <t>Nguyễn Nhân Chính</t>
  </si>
  <si>
    <t>Lê Thị Chung</t>
  </si>
  <si>
    <t>EnglishScore;ISTQB Certified Tester Advanced Level - Test Analyst;Oracle Cloud Infrastructure for Sunbird Ed Specialty;Advanced Designer Certificate;Core Designer Certificate;Certified Tester ISTQB Foundation Level</t>
  </si>
  <si>
    <t>TEST03</t>
  </si>
  <si>
    <t>Đặng Hồ Tuấn Cường</t>
  </si>
  <si>
    <t>Dương Mạnh Cường</t>
  </si>
  <si>
    <t>Software Development Head</t>
  </si>
  <si>
    <t>960</t>
  </si>
  <si>
    <t>Japanese Language Proficiency Test N2;EnglishScore;FSOFT Foreign Language Proficiency Test - TOEIC Test;Project Management Professional (PMP);AWS Certified Solutions Architect - Associate;Microsoft Certified Solutions Associate: Web Applications;Microsoft Specialist: Programming in HTML5 with JavaScript and CSS3;Predix Certified Developer;Self Awareness and the Effective Leader;Leadership Communication for Maximum Impact: Storytelling;Advanced Designer Certificate;Microsoft Certified Professional;Microsoft Certified Solutions Developer: Web Applications;PROFESSIONAL SCRUM MASTER™ I;Microsoft Certified: Azure Architect Technologies;Microsoft Certified: Azure Solutions Architect Expert</t>
  </si>
  <si>
    <t>SGMT01</t>
  </si>
  <si>
    <t>Nguyễn Kiên Cường</t>
  </si>
  <si>
    <t>Advanced Designer Certificate;Core Designer Certificate;NVIDIA Getting Started with AI on Jetson Nano;MLOps Practitioner Certificate;TOEIC Listening &amp; Reading;Developer Certificate;ML Practitioner Certificate;EnglishScore;AWS Certified Solutions Architect - Associate;GitHub Copilot</t>
  </si>
  <si>
    <t>NodeJs Server Implementation</t>
  </si>
  <si>
    <t>C99.I5.SANS 2026</t>
  </si>
  <si>
    <t>Nguyễn Công Đắc</t>
  </si>
  <si>
    <t>GitHub Copilot;EnglishScore;Cloud Developer;AWS Cloud Architect;PROFESSIONAL SCRUM MASTER™ I</t>
  </si>
  <si>
    <t>CAD Engineering</t>
  </si>
  <si>
    <t>Expert</t>
  </si>
  <si>
    <t>DEVE04</t>
  </si>
  <si>
    <t>Mai Thanh Đại</t>
  </si>
  <si>
    <t>785</t>
  </si>
  <si>
    <t>Google Cloud Certified Generative AI Leader;EnglishScore;AWS Certified Solutions Architect - Associate</t>
  </si>
  <si>
    <t>SARE02</t>
  </si>
  <si>
    <t>Hien</t>
  </si>
  <si>
    <t>Ngô Minh Đại</t>
  </si>
  <si>
    <t>Senior Auto Test Engineer</t>
  </si>
  <si>
    <t>ATES04</t>
  </si>
  <si>
    <t>Phan Văn Đại</t>
  </si>
  <si>
    <t>Lý Công Đăng</t>
  </si>
  <si>
    <t>Nguyễn Hoàng Hải Đăng</t>
  </si>
  <si>
    <t>Principal Software Engineer</t>
  </si>
  <si>
    <t>EnglishScore;FSOFT Foreign Language Proficiency Test - TOEIC Test;Advanced Designer Certificate;Core Designer Certificate;Google Cloud Certified  - Associate Cloud Engineer;AWS Certified Solutions Architect - Associate;Google Cloud Certified Generative AI Leader;Microsoft Certified: Azure Fundamentals;Oracle Certified Associate, Java SE 8 Programmer;Microsoft Certified: Azure Data Fundamentals</t>
  </si>
  <si>
    <t>Artificial Intelligence (AI)</t>
  </si>
  <si>
    <t>DEVE05</t>
  </si>
  <si>
    <t>C99.I5.VS 2026</t>
  </si>
  <si>
    <t>Phan Hải Đăng</t>
  </si>
  <si>
    <t>FSOFT Foreign Language Proficiency Test - TOEIC Test;Certified HIPAA Privacy Associate (CHPA);SQL;EnglishScore;Predix Certified Developer;GitHub Copilot;PROFESSIONAL SCRUM MASTER™ I;Enrich skills to succeed - .NET Technology;Enrich skills to succeed - Ruby Platform;Google Analytics Certification;SI Associate Certification Program;SQL (Intermediate);SQL (Basic);SQL (Advanced);Mendix Rapid Developer;Oracle Cloud Data Management 2023 Certified Foundations Associate;Oracle Cloud Infrastructure 2023 Certified Foundations Associate;NVIDIA Getting Started with AI on Jetson Nano;Core Designer Certificate;Advanced Designer Certificate;AWS Certified Cloud Practitioner</t>
  </si>
  <si>
    <t>C/C++</t>
  </si>
  <si>
    <t>Python Platform</t>
  </si>
  <si>
    <t>Nguyễn Đức Danh</t>
  </si>
  <si>
    <t>Chou Tùng Đạt</t>
  </si>
  <si>
    <t>Developing ASP.NET MVC Web Applications;C# Fundamentals;Microsoft Certified: Azure DevOps Engineer Expert;FSOFT Foreign Language Proficiency Test - TOEIC Test;TOEIC (Internal);EnglishScore;Cloud DevOps Engineer;Microsoft Certified: Azure Architect Technologies;Microsoft Specialist: Programming in C#;Associate Traditional Web Developer O11;Microsoft Certified: Azure Developer Associate;GitHub Copilot</t>
  </si>
  <si>
    <t>FHM.One</t>
  </si>
  <si>
    <t>Hoàng Cao Đạt</t>
  </si>
  <si>
    <t>TOEIC Listening &amp; Reading;Japanese Language Proficiency Test N1</t>
  </si>
  <si>
    <t>BANE03</t>
  </si>
  <si>
    <t>FSU-FHM</t>
  </si>
  <si>
    <t>FSO.HCM.FHM.META</t>
  </si>
  <si>
    <t>Internal</t>
  </si>
  <si>
    <t>Lương Hồ Đắc Đạt</t>
  </si>
  <si>
    <t>Advanced Designer Certificate;Core Designer Certificate;NVIDIA Getting Started with AI on Jetson Nano;GitHub Copilot;Oracle Cloud Infrastructure 2025 Certified Foundations Associate;Oracle Data Platform 2025 Certified Foundations Associate;AWS Certified Solutions Architect - Associate;Google Cloud Certified Generative AI Leader;Enrich skills to succeed - Low-Code;ML Practitioner Certificate;Developer Certificate;MLOps Practitioner Certificate;EnglishScore</t>
  </si>
  <si>
    <t>Fullstack QE/QC</t>
  </si>
  <si>
    <t>Nguyễn Duy Đạt</t>
  </si>
  <si>
    <t>FSOFT Foreign Language Proficiency Test - TOEIC Test;SQL;EnglishScore;Design for Performance and Scalability;Introduction to SQL;GitHub Copilot;AWS Cloud Architect;Cloud Developer;Design for Availability, Reliability, and Resiliency;Design for Security;Java Web Developer;Cloud DevOps Engineer;Java Programming;Advanced Designer Certificate;Core Designer Certificate;Oracle Cloud Infrastructure for Sunbird Ed Specialty;Digital Transformation for Business Leaders</t>
  </si>
  <si>
    <t>Nguyễn Lê Thành Đạt</t>
  </si>
  <si>
    <t>Phạm Thành Đạt</t>
  </si>
  <si>
    <t>user050</t>
  </si>
  <si>
    <t>Trần Bá Đạt</t>
  </si>
  <si>
    <t>user051</t>
  </si>
  <si>
    <t>Oracle Cloud Infrastructure 2023 AI Certified Foundations Associate;Alteryx Foundation Micro Credential;Enrich skills to succeed - Automation Test;ISTQB Certified Tester Advanced Level - Test Analyst;Machine Learning Fundamentals;Enrich skills to succeed - Manual Test;Advanced Designer Certificate;Core Designer Certificate;ML Practitioner Certificate;MLOps Practitioner Certificate;Developer Certificate;SQL (Advanced);The Fundamentals of Digital Marketing;SQL (Basic);SQL (Intermediate);Oracle Cloud Data Management 2023 Certified Foundations Associate;Oracle Cloud Infrastructure 2023 Certified Foundations Associate;Google Analytics Certification;ISTQB Certified Tester - Foundation Level;EnglishScore</t>
  </si>
  <si>
    <t>Trần Quốc Đạt</t>
  </si>
  <si>
    <t>user052</t>
  </si>
  <si>
    <t>190</t>
  </si>
  <si>
    <t>FSOFT Foreign Language Proficiency Test - TOEIC Test;EnglishScore;Salesforce Certified Platform Developer I;Developing Microsoft SharePoint Server 2013 Core Solutions;Softskill - Communication in the 21st Century Workplace;C#;CSS;HTML;Java;JavaScript;Leadership Communication for Maximum Impact: Storytelling;C++</t>
  </si>
  <si>
    <t>SAIN</t>
  </si>
  <si>
    <t>Nguyễn Thị Thúy Diễm</t>
  </si>
  <si>
    <t>user053</t>
  </si>
  <si>
    <t>AWS Fundamentals: Addressing Security Risk;AWS Cloud Technical Essentials;AWS Fundamentals: Migrating to the Cloud;NVIDIA Getting Started with AI on Jetson Nano;Advanced Designer Certificate;Core Designer Certificate;EnglishScore;Developer Certificate;MLOps Practitioner Certificate;ML Practitioner Certificate;Creative Problem Solving;Digital Transformation</t>
  </si>
  <si>
    <t>FRSPL26</t>
  </si>
  <si>
    <t>Trần Văn Định</t>
  </si>
  <si>
    <t>user054</t>
  </si>
  <si>
    <t>Thái Văn Đồng</t>
  </si>
  <si>
    <t>user055</t>
  </si>
  <si>
    <t>Microsoft Certified: AI Transformation Leader;Cloud Developer;Data Analyst;GitHub Copilot;FSOFT Foreign Language Proficiency Test - TOEIC Test;EnglishScore</t>
  </si>
  <si>
    <t>Android Platform</t>
  </si>
  <si>
    <t>Võ Sỹ Giang Đông</t>
  </si>
  <si>
    <t>user056</t>
  </si>
  <si>
    <t>PROFESSIONAL SCRUM MASTER™ I;Project Management Professional (PMP);EnglishScore;AWS Certified Solutions Architect - Associate;FSOFT Foreign Language Proficiency Test - TOEIC Test;Cloud Computing for Business Leaders</t>
  </si>
  <si>
    <t>Trương Quý Đức</t>
  </si>
  <si>
    <t>user057</t>
  </si>
  <si>
    <t>Mai Tiến Dũng</t>
  </si>
  <si>
    <t>user058</t>
  </si>
  <si>
    <t>EnglishScore;Cloud Developer</t>
  </si>
  <si>
    <t>Phan Ngọc Dũng</t>
  </si>
  <si>
    <t>user059</t>
  </si>
  <si>
    <t>IT Basic for Comtors;Agile with Atlassian Jira;Advanced Designer Certificate;Core Designer Certificate;FSOFT Foreign Language Proficiency Test - TOEIC Test;EnglishScore;Generative AI Practitioner Certificate</t>
  </si>
  <si>
    <t>UBT.ODC</t>
  </si>
  <si>
    <t>Đỗ Thanh Dương</t>
  </si>
  <si>
    <t>user060</t>
  </si>
  <si>
    <t>EnglishScore;AWS Certified Solutions Architect - Associate;Microsoft Specialist: Programming in C#;Developing ASP.NET MVC Web Applications;Project Management Professional (PMP);PROFESSIONAL SCRUM MASTER™ I;PROFESSIONAL SCRUM MASTER™ II;Microsoft Certified: Azure Fundamentals;Microsoft Certified: Azure Developer Associate;Agile with Atlassian Jira;Managing Employee Performance;FSOFT Foreign Language Proficiency Test - TOEIC Test;PMI Agile Certified Practitioner (PMI-ACP)®</t>
  </si>
  <si>
    <t>SPMA03</t>
  </si>
  <si>
    <t>UBT</t>
  </si>
  <si>
    <t>FSO.HCM.FHM.ADG</t>
  </si>
  <si>
    <t>Đặng Vũ Tùng Dương</t>
  </si>
  <si>
    <t>user061</t>
  </si>
  <si>
    <t>830</t>
  </si>
  <si>
    <t>Cloud DevOps Engineer;EnglishScore;SQL (Basic);PROFESSIONAL SCRUM MASTER™ II;PMI Agile Certified Practitioner (PMI-ACP)®;PROFESSIONAL SCRUM MASTER™ I</t>
  </si>
  <si>
    <t>Scrum Master</t>
  </si>
  <si>
    <t>Nguyễn Đông Dương</t>
  </si>
  <si>
    <t>user062</t>
  </si>
  <si>
    <t>ISTQB Foundation Level CTFL Training for 2021;ISTQB Certified Tester - Foundation Level;EnglishScore;Enrich skills to succeed - Manual Test;Japanese Language Proficiency Test N5</t>
  </si>
  <si>
    <t>C99.I5.WM.AM 2026</t>
  </si>
  <si>
    <t>Nguyễn Thanh Dương</t>
  </si>
  <si>
    <t>user063</t>
  </si>
  <si>
    <t>EnglishScore;Oracle Certified Associate, Java SE 8 Programmer I;Cloud Developer;AWS Cloud Architect;Intermediate Python;FSOFT Foreign Language Proficiency Test - TOEIC Test;React Developer Certified Level 1;Advanced Designer Certificate;NVIDIA Getting Started with AI on Jetson Nano;PROFESSIONAL SCRUM MASTER™ I;Professional Scrum Product Owner I;AWS Certified Data Analytics - Specialty</t>
  </si>
  <si>
    <t>Quan Huỳnh Quang Dương</t>
  </si>
  <si>
    <t>user064</t>
  </si>
  <si>
    <t>Pre-Associate Data Engineer</t>
  </si>
  <si>
    <t>IELTS 7.5</t>
  </si>
  <si>
    <t>DSEN00</t>
  </si>
  <si>
    <t>C99.CMS.AUD.AE 2026</t>
  </si>
  <si>
    <t>Lê Đình Duy</t>
  </si>
  <si>
    <t>user065</t>
  </si>
  <si>
    <t>EnglishScore;Core Designer Certificate;Advanced Designer Certificate;Oracle Cloud Infrastructure 2023 Certified Foundations Associate;A Life of Happiness and Fulfillment;Mendix Rapid Developer</t>
  </si>
  <si>
    <t>iOS Platform</t>
  </si>
  <si>
    <t>Flutter UI Framework</t>
  </si>
  <si>
    <t>Nguyễn Hoàng Duy</t>
  </si>
  <si>
    <t>user066</t>
  </si>
  <si>
    <t>Japanese Language Proficiency Test N5;Cloud DevOps Engineer;EnglishScore</t>
  </si>
  <si>
    <t>PHP Platform</t>
  </si>
  <si>
    <t>Nguyễn Lê Duy</t>
  </si>
  <si>
    <t>user067</t>
  </si>
  <si>
    <t>Phạm Văn Duy</t>
  </si>
  <si>
    <t>user068</t>
  </si>
  <si>
    <t>Trần Quốc Duy</t>
  </si>
  <si>
    <t>user069</t>
  </si>
  <si>
    <t>815</t>
  </si>
  <si>
    <t>Microsoft Certified: Azure Developer Associate;Microsoft Certified: Azure Administrator Associate;Oracle Certified Professional, Java SE 6 Programmer;Microsoft Certified: Azure Architect Technologies;Microsoft Certified: Azure DevOps Engineer Expert;Core Designer Certificate;Microsoft Certified: Azure AI Engineer Associate;AWS Certified Solutions Architect - Associate;EnglishScore;FSOFT Foreign Language Proficiency Test - TOEIC Test;TOEIC (Internal);Microsoft Certified: Azure Solutions Architect Expert</t>
  </si>
  <si>
    <t>Võ Phương Duy</t>
  </si>
  <si>
    <t>user070</t>
  </si>
  <si>
    <t>NVIDIA Getting Started with AI on Jetson Nano;Microsoft Certified: Azure Fundamentals;FSOFT Foreign Language Proficiency Test - TOEIC Test;GitHub Copilot;Associate Traditional Web Developer O11;EnglishScore;React</t>
  </si>
  <si>
    <t>Võ Thanh Duy</t>
  </si>
  <si>
    <t>user071</t>
  </si>
  <si>
    <t>EnglishScore;GitHub Copilot</t>
  </si>
  <si>
    <t>Nguyễn Ngọc Trường Giang</t>
  </si>
  <si>
    <t>user072</t>
  </si>
  <si>
    <t>TOEIC Listening &amp; Reading</t>
  </si>
  <si>
    <t>J_RSDB200</t>
  </si>
  <si>
    <t>Phạm Thanh Giang</t>
  </si>
  <si>
    <t>user073</t>
  </si>
  <si>
    <t>Principal BA Consultant</t>
  </si>
  <si>
    <t>Japanese Language Proficiency Test N2;EnglishScore</t>
  </si>
  <si>
    <t>BANE05</t>
  </si>
  <si>
    <t>Lê Minh Hải</t>
  </si>
  <si>
    <t>user074</t>
  </si>
  <si>
    <t>Japanese Language Proficiency Test N3;EnglishScore;FSOFT Foreign Language Proficiency Test - TOEIC Test;PROFESSIONAL SCRUM MASTER™ I;Advanced Designer Certificate;Microsoft Certified: Azure Fundamentals;Microsoft Certified: Azure Data Fundamentals;Microsoft Certified: Azure Data Engineer Associate</t>
  </si>
  <si>
    <t>CL555.DE.PrintLab 2026</t>
  </si>
  <si>
    <t>Nguyễn Hoàng Hải</t>
  </si>
  <si>
    <t>user075</t>
  </si>
  <si>
    <t>React Developer Certified Level 1;Vue.js Developer Level I;React Developer Certified Level 2;Backend Development with Node.js;TOEIC Listening &amp; Reading;React Developer Certified Level 3;AWS Certified Solutions Architect - Associate;React;Go Language (Golang)</t>
  </si>
  <si>
    <t>VueJS Framework</t>
  </si>
  <si>
    <t>DiscovEdu</t>
  </si>
  <si>
    <t>Nguyễn Lê Thanh Hải</t>
  </si>
  <si>
    <t>user076</t>
  </si>
  <si>
    <t>Nguyễn Phương Hải</t>
  </si>
  <si>
    <t>user077</t>
  </si>
  <si>
    <t>Introduction to Data Analysis with Pandas and NumPy;EnglishScore;Design for Availability, Reliability, and Resiliency;Digital Transformation for Business Leaders;Data Analyst;Advanced Data Wrangling;AWS Cloud Architect;Design for Security;Cloud DevOps Engineer;AWS Cloud Fundamentals;Design for Performance and Scalability;Data Visualization with Matplotlib and Seaborn;Build CI/CD Pipelines, Monitoring, and Logging;Microservices at Scale using AWS and Kubernetes;Advanced Designer Certificate;Oracle Cloud Data Management 2023 Certified Foundations Associate;Oracle Cloud Infrastructure for Sunbird Ed Specialty;Oracle Cloud Infrastructure 2023 Certified Foundations Associate</t>
  </si>
  <si>
    <t>Nguyễn Thanh Hải</t>
  </si>
  <si>
    <t>user078</t>
  </si>
  <si>
    <t>PROFESSIONAL SCRUM MASTER™ I;ISTQB Certified Tester Advanced Level - Test Analyst;Enrich skills to succeed - Quality Assurance;Oracle Cloud Infrastructure for Sunbird Ed Specialty;Advanced Designer Certificate;EnglishScore;ISTQB Certified Tester - Foundation Level;Japanese Language Proficiency Test N5</t>
  </si>
  <si>
    <t>Trần Ngọc Hải</t>
  </si>
  <si>
    <t>user079</t>
  </si>
  <si>
    <t>Vietnamese Standardized Test of English Proficiency (VSTEP) - Level 3/CEFR B1</t>
  </si>
  <si>
    <t>Hoàng Thị Hằng</t>
  </si>
  <si>
    <t>user080</t>
  </si>
  <si>
    <t>TEST05</t>
  </si>
  <si>
    <t>Lê Thị Thúy Hằng</t>
  </si>
  <si>
    <t>user081</t>
  </si>
  <si>
    <t>Excel Skills for Business: Intermediate II;Core Designer Certificate;Advanced Designer Certificate;FSOFT Foreign Language Proficiency Test - TOEIC Test;EnglishScore</t>
  </si>
  <si>
    <t>Bùi Tấn Hạnh</t>
  </si>
  <si>
    <t>user082</t>
  </si>
  <si>
    <t>PROFESSIONAL SCRUM MASTER™ I;Microsoft Certified: Azure Fundamentals;Microsoft Certified: Azure Data Fundamentals;Cloud Developer;Java Web Developer;AWS Cloud Architect;EnglishScore;AWS Certified Developer - Associate</t>
  </si>
  <si>
    <t>Võ Thị Kim Hạnh</t>
  </si>
  <si>
    <t>user083</t>
  </si>
  <si>
    <t>FSOFT Foreign Language Proficiency Test - TOEIC Test;EnglishScore;PROFESSIONAL SCRUM MASTER™ I;Truyền thông và Mạng máy tính;Điện toán đám mây;Working with SQL;SQL Căn bản;Foundation Certificate in Software Testing;NVIDIA Getting Started with AI on Jetson Nano;Oracle Cloud Infrastructure for Sunbird Ed Specialty;Core Designer Certificate;ISTQB Certified Tester Advanced Level - Test Analyst;Phần mềm máy tính</t>
  </si>
  <si>
    <t>FRSME26</t>
  </si>
  <si>
    <t>Nguyễn Ngọc Hà</t>
  </si>
  <si>
    <t>user084</t>
  </si>
  <si>
    <t>React;AI Programming with Python;Cloud Developer;AWS Cloud Architect;GitHub Copilot;Google Cloud Certified Generative AI Leader;Full Stack JavaScript Developer;Cloud DevOps Engineer;Cloud Developer using Microsoft Azure;EnglishScore;ML Practitioner Certificate;MLOps Practitioner Certificate;Advanced Designer Certificate;Core Designer Certificate;Developer Certificate;AWS Certified Developer - Associate;NVIDIA Getting Started with AI on Jetson Nano;Microsoft Certified: Azure Fundamentals;Microsoft Certified: Azure AI Engineer Associate;TOEIC Listening &amp; Reading;Microsoft Certified: Azure Data Fundamentals</t>
  </si>
  <si>
    <t>Ngô Nguyễn Thu Hà</t>
  </si>
  <si>
    <t>user085</t>
  </si>
  <si>
    <t>Trương Phan Văn Hào</t>
  </si>
  <si>
    <t>user086</t>
  </si>
  <si>
    <t>Certified SAFe 6 Scrum Master;PROFESSIONAL SCRUM MASTER™ I;Microsoft Certified: Azure Data Fundamentals;Microsoft Certified: Azure Developer Associate;Java Web Developer Nanodegree;Japanese Language Proficiency Test N3;Katalon Practitioner Certification;Katalon Professional Level Certification;Katalon Expert Certification;Oracle Cloud Infrastructure 2024 Certified Foundations Associate;Core Designer Certificate;Advanced Designer Certificate;Google Cloud Certified Professional Data Engineer;Google Cloud Certified Professional Cloud DevOps Engineer;Google Cloud Certified Professional Cloud Network Engineer;Google Cloud Certified Professional Cloud Architect;Google Cloud Certified Professional Cloud Database Engineer;Oracle Cloud Infrastructure 2023 Certified Foundations Associate;Oracle Cloud Infrastructure for Sunbird Ed Specialty;Oracle Cloud Data Management 2023 Certified Foundations Associate;Oracle Cloud Infrastructure 2023 AI Certified Foundations Associate;PROFESSIONAL SCRUM MASTER™ II;Google Cloud Certified - Associate Cloud Engineer;EnglishScore;SQL;Agile Software Developer;Front End Web Developer;AWS Cloud Architect</t>
  </si>
  <si>
    <t>Database Engineering</t>
  </si>
  <si>
    <t>Huỳnh Trần Công Hậu</t>
  </si>
  <si>
    <t>user087</t>
  </si>
  <si>
    <t>EnglishScore;Java Web Developer;Google Ads Display Certification;Cloud Developer;NVIDIA Getting Started with AI on Jetson Nano</t>
  </si>
  <si>
    <t>Nguyễn Ngọc Hậu</t>
  </si>
  <si>
    <t>user088</t>
  </si>
  <si>
    <t>EnglishScore;Japanese Language Proficiency Test N3</t>
  </si>
  <si>
    <t>Võ Thị Ngọc Hiền</t>
  </si>
  <si>
    <t>user089</t>
  </si>
  <si>
    <t>ISTQB advanced level - Test Manager;ISTQB® Certified Tester - AI Testing (ISTQB CT-AI);FSOFT Foreign Language Proficiency Test - TOEIC Test;EnglishScore;ISTQB Certified Tester - Foundation Level;Core Designer Certificate;Advanced Designer Certificate;ISTQB Certified Tester Advanced Level - Test Analyst;PROFESSIONAL SCRUM MASTER™ II;PROFESSIONAL SCRUM MASTER™ I</t>
  </si>
  <si>
    <t>Trương Song Hiệp</t>
  </si>
  <si>
    <t>user090</t>
  </si>
  <si>
    <t>Nguyễn Đông Hiếu</t>
  </si>
  <si>
    <t>user091</t>
  </si>
  <si>
    <t>Nguyễn Quang Minh Hiếu</t>
  </si>
  <si>
    <t>user092</t>
  </si>
  <si>
    <t>Japanese Language Proficiency Test N2;TOEIC Listening &amp; Reading</t>
  </si>
  <si>
    <t>Đỗ Huy Hoàng</t>
  </si>
  <si>
    <t>user093</t>
  </si>
  <si>
    <t>845</t>
  </si>
  <si>
    <t>Google Cloud Certified Generative AI Leader;TOEIC (Internal);Microsoft Certified: Azure AI Engineer Associate;Microsoft Certified: Azure Data Scientist Associate;EnglishScore;Developing ASP.NET MVC Web Applications;FSOFT Foreign Language Proficiency Test - TOEIC Test;Microsoft Certified: Azure Architect Technologies;Associate Traditional Web Developer O11;Microsoft Specialist: Programming in C#;Core Designer Certificate;Advanced Designer Certificate;AWS Certified SysOps Administrator - Associate;AWS Certified Cloud Practitioner;Microsoft Certified: Azure Solutions Architect Expert;Microsoft Certified: Azure Database Administrator Associate</t>
  </si>
  <si>
    <t>Hoàng Kim Bảo Hoàng</t>
  </si>
  <si>
    <t>user094</t>
  </si>
  <si>
    <t>Core Designer Certificate;Advanced Designer Certificate;EnglishScore;Japanese Language Proficiency Test N1;Data Visualization;FSOFT Foreign Language Proficiency Test - TOEIC Test</t>
  </si>
  <si>
    <t>Nguyễn Huy Hoàng</t>
  </si>
  <si>
    <t>user095</t>
  </si>
  <si>
    <t>Introduction to Blockchain Technologies;Digital Transformation;Budgeting and Scheduling Projects;Digital Business Models;Microsoft Certified: Azure Administrator Associate;EnglishScore;FSOFT Foreign Language Proficiency Test - TOEIC Test;Microsoft Certified: Azure DevOps Engineer Expert;AWS Certified Solutions Architect - Associate</t>
  </si>
  <si>
    <t>Nguyễn Minh Hoàng</t>
  </si>
  <si>
    <t>user096</t>
  </si>
  <si>
    <t>FSOFT Foreign Language Proficiency Test - TOEIC Test;Cloud Developer using Microsoft Azure;EnglishScore</t>
  </si>
  <si>
    <t>Nguyễn Vũ Hoàng</t>
  </si>
  <si>
    <t>user097</t>
  </si>
  <si>
    <t>Japanese Language Proficiency Test N4</t>
  </si>
  <si>
    <t>Phạm Huy Hoàng</t>
  </si>
  <si>
    <t>user098</t>
  </si>
  <si>
    <t>NVIDIA Getting Started with AI on Jetson Nano;Mendix Rapid Developer;AWS Certified Solutions Architect - Associate;Oracle Certified Associate, Java SE 8 Programmer I;AWS Certified Cloud Practitioner;IELTS 7.0;OKR Certification: Leadership and Goal Setting;Microsoft Azure Fundamentals AZ-900 Exam Prep;GitHub Copilot;Microsoft Certified: Azure AI Apps and Agents Developer Associate;EnglishScore;Cloud Developer using Microsoft Azure</t>
  </si>
  <si>
    <t>Vũ Văn Hoàng</t>
  </si>
  <si>
    <t>user099</t>
  </si>
  <si>
    <t>925</t>
  </si>
  <si>
    <t>EnglishScore;Cloud Developer;GitHub Copilot;AWS Certified Developer - Associate;Core Designer Certificate;Advanced Designer Certificate;SQL (Advanced);Oracle Cloud Infrastructure for Sunbird Ed Specialty;Microsoft 365 Fundamentals;Microsoft Certified: Dynamics 365 Fundamentals (CRM);Google Cloud Certified Professional Cloud Architect;Microsoft 365 Certified: Fundamentals;Google Cloud Certified Cloud  Digital Leader;Microsoft Certified: Security, Compliance, and Identity Fundamentals;NVIDIA Getting Started with AI on Jetson Nano;Oracle Cloud Infrastructure 2023 Certified Foundations Associate;Mendix Rapid Developer;Oracle Cloud Infrastructure 2023 AI Certified Foundations Associate;Google Cloud Certified Professional Cloud Developer;Oracle Cloud Data Management 2023 Certified Foundations Associate;Microsoft Certified: Azure AI Fundamentals;Google Cloud Certified - Associate Cloud Engineer;Microsoft Certified: Azure Data Scientist Associate;Microsoft Certified: Azure Data Engineer Associate;Microsoft Certified: Azure Fundamentals;Microsoft Certified: Azure AI Engineer Associate</t>
  </si>
  <si>
    <t>Phạm Dương Hòa</t>
  </si>
  <si>
    <t>user100</t>
  </si>
  <si>
    <t>TNK_BIM</t>
  </si>
  <si>
    <t>Nguyễn Thị Hồng</t>
  </si>
  <si>
    <t>user101</t>
  </si>
  <si>
    <t>ISTQB Certified Tester - Foundation Level;Oracle Cloud Infrastructure for Sunbird Ed Specialty;Oracle Cloud Infrastructure 2023 Certified Foundations Associate;ISTQB Certified Tester Advanced Level - Test Analyst;Oracle Cloud Infrastructure 2023 AI Certified Foundations Associate;EnglishScore;FSOFT Foreign Language Proficiency Test - TOEIC Test</t>
  </si>
  <si>
    <t>TNK</t>
  </si>
  <si>
    <t>user102</t>
  </si>
  <si>
    <t>PROFESSIONAL SCRUM MASTER™ II;PMI Agile Certified Practitioner (PMI-ACP)®;Project Management Professional (PMP);ISTQB Certified Tester Advanced Level - Test Analyst;ISTQB Certified Tester, Fulled Advanced Level (CTAL-TM, CTAL-TA, CTAL-TTA);Microsoft Certified: Azure Data Fundamentals;ISTQB Certified Tester Advanced Level - Test Manager;TMMi Professional;Japanese Language Proficiency Test N3;EnglishScore;FSOFT Foreign Language Proficiency Test - TOEIC Test;Advanced Designer Certificate;Core Designer Certificate;ISTQB Certified Tester – Technical Test Analyst;ISTQB Certified Tester - Foundation Level</t>
  </si>
  <si>
    <t>Nguyễn Thị Dương Hồng</t>
  </si>
  <si>
    <t>user103</t>
  </si>
  <si>
    <t>EnglishScore;Core Designer Certificate</t>
  </si>
  <si>
    <t>Nguyễn Thị Huệ</t>
  </si>
  <si>
    <t>user104</t>
  </si>
  <si>
    <t>EnglishScore;FSOFT Foreign Language Proficiency Test - TOEIC Test;PMI Agile Certified Practitioner (PMI-ACP)®;Enrich skills to succeed - Scrum Master;ISTQB Certified Tester Advanced Level - Test Analyst;Enrich skills to succeed - Software QA and QC;Foundation Certificate in Software Testing;Aptis General - Listening Reading Speaking Writing - Level B2;Oracle Cloud Data Management 2023 Certified Foundations Associate;Oracle Cloud Infrastructure for Sunbird Ed Specialty;Advanced Designer Certificate;PROFESSIONAL SCRUM MASTER™ I</t>
  </si>
  <si>
    <t>Trần Thị Mỹ Huệ</t>
  </si>
  <si>
    <t>user105</t>
  </si>
  <si>
    <t>GitHub Copilot;EnglishScore;Business Analytics;Programming for Data Science with Python;ISTQB Certified Tester - Foundation Level;PROFESSIONAL SCRUM MASTER™ I;NVIDIA Getting Started with AI on Jetson Nano;Core Designer Certificate;Advanced Designer Certificate;Mendix Rapid Developer;Oracle Cloud Infrastructure 2023 Certified Foundations Associate;Oracle Cloud Data Management 2023 Certified Foundations Associate;ISTQB Certified Tester Advanced Level - Test Analyst;Enrich skills to succeed - Quality Assurance;SI Associate Certification Program</t>
  </si>
  <si>
    <t>Automation Test</t>
  </si>
  <si>
    <t>Hồ Nguyễn Phi Hùng</t>
  </si>
  <si>
    <t>user106</t>
  </si>
  <si>
    <t>Google Cloud Certified Generative AI Leader;Oracle Cloud Infrastructure 2025 Certified AI Foundations Associate;Microsoft Certified: Agentic AI Business Solutions Architect;Microsoft Certified: AI Transformation Leader;GitHub Copilot;Microsoft Certified: Azure AI Engineer Associate</t>
  </si>
  <si>
    <t>Nguyễn Đăng Hưng</t>
  </si>
  <si>
    <t>user107</t>
  </si>
  <si>
    <t>LYFT</t>
  </si>
  <si>
    <t>Nguyễn Duy Hùng</t>
  </si>
  <si>
    <t>user108</t>
  </si>
  <si>
    <t>Microsoft Certified: DevOps Engineer Expert;Microsoft Certified: Azure Data Scientist Associate;Microsoft Certified: Azure Developer Associate;Advanced Designer Certificate;Microsoft Certified Solutions Associate: Web Applications;Microsoft Specialist: Programming in C#;Microsoft Certified: Azure Architect Technologies;Developing ASP.NET MVC Web Applications;EnglishScore;FSOFT Foreign Language Proficiency Test - TOEIC Test;Microsoft Certified: Azure Solutions Architect Expert;Cloud Architect using Microsoft Azure</t>
  </si>
  <si>
    <t>BCAU</t>
  </si>
  <si>
    <t>C99.I5.EVBS 2026</t>
  </si>
  <si>
    <t>Nguyễn Hào Hùng</t>
  </si>
  <si>
    <t>user109</t>
  </si>
  <si>
    <t>EnglishScore;Professional Scrum Product Owner II</t>
  </si>
  <si>
    <t>Nguyễn Văn Hưng</t>
  </si>
  <si>
    <t>user110</t>
  </si>
  <si>
    <t>NVIDIA Getting Started with AI on Jetson Nano;EnglishScore;Microsoft Certified: AI Business Professional;Microsoft Certified: Azure AI Apps and Agents Developer Associate;Microsoft Certified: Agentic AI Business Solutions Architect;AWS Certified Solutions Architect - Associate;GitHub Copilot;Google Cloud Certified Generative AI Leader;AWS Certified Developer - Associate;React Developer Certified Level 2;Advanced Designer Certificate;Core Designer Certificate;Developer Certificate;MLOps Certificate;ML Practitioner Certificate;React Developer Certified Level 3</t>
  </si>
  <si>
    <t>Phạm Nguyễn Việt Hưng</t>
  </si>
  <si>
    <t>user111</t>
  </si>
  <si>
    <t>Từ Quốc Hưng</t>
  </si>
  <si>
    <t>user112</t>
  </si>
  <si>
    <t>EnglishScore;AWS Cloud Architect;Cloud Developer</t>
  </si>
  <si>
    <t>Trương Tấn Hùng</t>
  </si>
  <si>
    <t>user113</t>
  </si>
  <si>
    <t>EnglishScore;Software Engineer;Generative AI Leader</t>
  </si>
  <si>
    <t>NSIB2</t>
  </si>
  <si>
    <t>Hoàng Bùi Lan Hương</t>
  </si>
  <si>
    <t>user114</t>
  </si>
  <si>
    <t>NML</t>
  </si>
  <si>
    <t>Hoàng Thị Thu Hương</t>
  </si>
  <si>
    <t>user115</t>
  </si>
  <si>
    <t>EnglishScore;Japanese Language Proficiency Test N4;Japanese Language Proficiency Test N5;Oracle Cloud Infrastructure for Sunbird Ed Specialty;Core Designer Certificate;Advanced Designer Certificate;PROFESSIONAL SCRUM MASTER™ II;NVIDIA Getting Started with AI on Jetson Nano;PMI Agile Certified Practitioner (PMI-ACP)®;PROFESSIONAL SCRUM MASTER™ I</t>
  </si>
  <si>
    <t>Angular Framework</t>
  </si>
  <si>
    <t>Đỗ Ngọc Hữu</t>
  </si>
  <si>
    <t>user116</t>
  </si>
  <si>
    <t>EnglishScore;GitHub Copilot;AWS Cloud Architect;Cloud Developer;Cloud DevOps Engineer;Core Designer Certificate;Advanced Designer Certificate;Oracle Cloud Infrastructure for Sunbird Ed Specialty;Leadership Through Design Innovation;Relationship Management;Leadership Communication for Maximum Impact: Storytelling;Communication in the 21st Century Workplace</t>
  </si>
  <si>
    <t>RecoPF2</t>
  </si>
  <si>
    <t>Bùi Quốc Huy</t>
  </si>
  <si>
    <t>user117</t>
  </si>
  <si>
    <t>PMI Agile Certified Practitioner (PMI-ACP)®;EnglishScore</t>
  </si>
  <si>
    <t>Nguyễn Phan Thu Huyền</t>
  </si>
  <si>
    <t>user118</t>
  </si>
  <si>
    <t>Lý Minh Huy</t>
  </si>
  <si>
    <t>user119</t>
  </si>
  <si>
    <t>EnglishScore;React and Redux;React Fundamentals;React</t>
  </si>
  <si>
    <t>Nguyễn Đức Đình Huy</t>
  </si>
  <si>
    <t>user120</t>
  </si>
  <si>
    <t>EnglishScore;Java Programming</t>
  </si>
  <si>
    <t>Nguyễn Hoàng Quang Huy</t>
  </si>
  <si>
    <t>user121</t>
  </si>
  <si>
    <t>Nguyễn Quang Huy</t>
  </si>
  <si>
    <t>user122</t>
  </si>
  <si>
    <t>Core Design Certificate;Advanced Designer Certificate;Japanese Language Proficiency Test N2;PMI Agile Certified Practitioner (PMI-ACP)®</t>
  </si>
  <si>
    <t>BrSE</t>
  </si>
  <si>
    <t>SPMA04</t>
  </si>
  <si>
    <t>Phan Lê Huy</t>
  </si>
  <si>
    <t>user123</t>
  </si>
  <si>
    <t>AWS Certified Solutions Architect - Associate;EnglishScore;React Developer Certified Level 2;Japanese Language Proficiency Test N5;Full Stack JavaScript Developer;Intermediate JavaScript;Google Cloud Certified - Associate Cloud Engineer;Google Cloud Certified  - Associate Cloud Engineer;SQL (Intermediate);Advanced Designer Certificate;Oracle Cloud Data Management 2023 Certified Foundations Associate;Angular Certified Developer;NVIDIA Getting Started with AI on Jetson Nano;JUNIOR ANGULAR DEVELOPER</t>
  </si>
  <si>
    <t>Hồ Bình Kha</t>
  </si>
  <si>
    <t>user124</t>
  </si>
  <si>
    <t>Nguyễn Đức Kha</t>
  </si>
  <si>
    <t>user125</t>
  </si>
  <si>
    <t>Nguyễn Vũ Khang</t>
  </si>
  <si>
    <t>user126</t>
  </si>
  <si>
    <t>EnglishScore;SQL;Intermediate JavaScript;Oracle Cloud Infrastructure for Sunbird Ed Specialty;SQL (Advanced);Core Designer Certificate;Advanced Designer Certificate;Microsoft Certified: Administering Windows Server Hybrid Core Infrastructure;Configuring Windows Server Hybrid Advanced Services;Microsoft Certified: Windows Server Hybrid Administrator Associate;Microsoft Certified: Dynamics 365 Fundamentals (ERP);Oracle Cloud Infrastructure 2023 Certified Foundations Associate;Mendix Rapid Developer;Oracle Cloud Data Management 2023 Certified Foundations Associate;Oracle Cloud Infrastructure 2023 AI Certified Foundations Associate;Microsoft Certified: Azure Fundamentals;Microsoft Certified: Azure AI Engineer Associate;Microsoft Certified: Azure Data Fundamentals;Microsoft Certified: Dynamics 365 Fundamentals;Microsoft 365 Fundamentals;Microsoft Certified: Security, Compliance, and Identity Fundamentals;Microsoft Certified: Power Platform Fundamentals;Microsoft Certified: Azure AI Fundamentals</t>
  </si>
  <si>
    <t>AVENIR2SUPP</t>
  </si>
  <si>
    <t>Bùi Đỗ Bảo Khanh</t>
  </si>
  <si>
    <t>user127</t>
  </si>
  <si>
    <t>PROFESSIONAL SCRUM MASTER™ I;Microsoft Certified: Azure Cosmos DB Developer Specialty;Enrich skills to succeed - .NET Technology;Microsoft Certified: Azure Developer Associate;Microsoft Certified: Azure Data Fundamentals;Microsoft Certified: Azure Fundamentals;EnglishScore;Core Designer Certificate;PMI Agile Certified Practitioner (PMI-ACP)®;Advanced Designer Certificate</t>
  </si>
  <si>
    <t>Bùi Văn Khánh</t>
  </si>
  <si>
    <t>user128</t>
  </si>
  <si>
    <t>EnglishScore;React;Cloud Developer;Java Web Developer;NVIDIA Getting Started with AI on Jetson Nano;Oracle Certified Associate, Java SE 8 Programmer I</t>
  </si>
  <si>
    <t>Kiều Quang Khánh</t>
  </si>
  <si>
    <t>user129</t>
  </si>
  <si>
    <t>Enrich skills to succeed - Software Testing Engineering;BSQL4T - Basic SQL for Tester;EnglishScore;SQL Căn bản;Basic Algorithms</t>
  </si>
  <si>
    <t>Nguyễn Văn Khánh</t>
  </si>
  <si>
    <t>user130</t>
  </si>
  <si>
    <t>Microsoft Certified: Azure Security Engineer Associate;Cloud DevOps Engineer;FSOFT Foreign Language Proficiency Test - TOEIC Test;EnglishScore;TOEIC (Internal);Microsoft Certified: Azure DevOps Engineer Expert;AI Programming with Python;Microsoft Specialist: Programming in C#;Microsoft Certified: Azure Developer Associate;Microsoft Certified: Azure Fundamentals</t>
  </si>
  <si>
    <t>Phạm Hoàng Phương Khanh</t>
  </si>
  <si>
    <t>user131</t>
  </si>
  <si>
    <t>Trần Công Khiêm</t>
  </si>
  <si>
    <t>user132</t>
  </si>
  <si>
    <t>EnglishScore;Microsoft Certified: Azure Solutions Architect Expert;AWS Certified Solutions Architect - Associate;Cloud Architect using Microsoft Azure;AWS Cloud Architect;Microsoft Certified: Azure Architect Technologies;Microsoft Certified: Azure AI Engineer Associate;FSOFT Foreign Language Proficiency Test - TOEIC Test;TOEIC (Internal);C# (Basic);Core Designer Certificate;ML Practitioner Certificate;Developer Certificate;Advanced Designer Certificate</t>
  </si>
  <si>
    <t>Mai Anh Khoa</t>
  </si>
  <si>
    <t>user133</t>
  </si>
  <si>
    <t>Nguyễn Đăng Khoa</t>
  </si>
  <si>
    <t>user134</t>
  </si>
  <si>
    <t>Nguyễn Duy Khoa</t>
  </si>
  <si>
    <t>user135</t>
  </si>
  <si>
    <t>Software Tester</t>
  </si>
  <si>
    <t>Quality Assurance Initial;Software Testing Foundation;FSOFT Foreign Language Proficiency Test - TOEIC Test;EnglishScore</t>
  </si>
  <si>
    <t>TEST02</t>
  </si>
  <si>
    <t>Võ Minh Khoa</t>
  </si>
  <si>
    <t>user136</t>
  </si>
  <si>
    <t>Google Cloud Certified Professional Cloud Architect;Google Cloud Certified - Associate Cloud Engineer;TOEIC Listening &amp; Reading</t>
  </si>
  <si>
    <t>Mạc Minh Khôi</t>
  </si>
  <si>
    <t>user137</t>
  </si>
  <si>
    <t>GitHub Copilot;EnglishScore;Japanese Language Proficiency Test N5;Full Stack JavaScript Developer;Advanced Designer Certificate;Oracle Cloud Infrastructure for Sunbird Ed Specialty;Oracle Cloud Infrastructure 2023 AI Certified Foundations Associate;Oracle Cloud Infrastructure 2023 Certified Foundations Associate;Expert Angular Developer;NVIDIA Getting Started with AI on Jetson Nano;Angular Certified Developer;JUNIOR ANGULAR DEVELOPER</t>
  </si>
  <si>
    <t>Nguyễn Minh Khôi</t>
  </si>
  <si>
    <t>user138</t>
  </si>
  <si>
    <t>Programming for Data Science with Python;EnglishScore;Monolith to Microservices at Scale;Develop and Deploy Serverless Apps;Cloud Developer;Programming for Data Science with R;AWS Cloud Fundamentals;Oracle Cloud Infrastructure 2025 Certified AI Foundations Associate;Google Cloud Certified Generative AI Leader;ML Practitioner Certificate;Oracle Cloud Infrastructure 2024 Certified Foundations Associate;Core Designer Certificate;Developer Certificate;Advanced Designer Certificate;Oracle Cloud Infrastructure for Sunbird Ed Specialty;Introduction to SQL;SQL;Microsoft Certified: AI Business Professional;Microsoft Certified: Azure AI Apps and Agents Developer Associate;Microsoft Certified: Agentic AI Business Solutions Architect;Introduction to Python;Digital Transformation for Business Leaders;GitHub Copilot;Oracle Cloud Infrastructure 2025 Certified Generative AI Professional</t>
  </si>
  <si>
    <t>Phạm Đăng Khôi</t>
  </si>
  <si>
    <t>user139</t>
  </si>
  <si>
    <t>Microsoft Certified: Azure AI Engineer Associate;Oracle Cloud Infrastructure 2025 Certified AI Foundations Associate;GitHub Copilot</t>
  </si>
  <si>
    <t>Nguyễn Hữu Khương</t>
  </si>
  <si>
    <t>user140</t>
  </si>
  <si>
    <t>AWS Cloud Architect;FSOFT Foreign Language Proficiency Test - TOEIC Test;EnglishScore;Cloud DevOps Engineer;Cloud Developer;PROFESSIONAL SCRUM MASTER™ II</t>
  </si>
  <si>
    <t>Nguyễn Huỳnh Quốc Khương</t>
  </si>
  <si>
    <t>user141</t>
  </si>
  <si>
    <t>FSOFT Foreign Language Proficiency Test - TOEIC Test;EnglishScore;Teamwork and Creativity</t>
  </si>
  <si>
    <t>Trương Nhất Kiên</t>
  </si>
  <si>
    <t>user142</t>
  </si>
  <si>
    <t>EnglishScore;Core Designer Certificate;Advanced Designer Certificate;Oracle Cloud Infrastructure for Sunbird Ed Specialty</t>
  </si>
  <si>
    <t>Đặng Tuấn Kiệt</t>
  </si>
  <si>
    <t>user143</t>
  </si>
  <si>
    <t>Nguyễn Tuấn Kiệt</t>
  </si>
  <si>
    <t>user144</t>
  </si>
  <si>
    <t>Java Web Developer;Certificate of English Proficiency;EnglishScore;Core Designer Certificate;Advanced Designer Certificate</t>
  </si>
  <si>
    <t>Trần Anh Kiệt</t>
  </si>
  <si>
    <t>user145</t>
  </si>
  <si>
    <t>C99.DLS.FAC.NAP 2026</t>
  </si>
  <si>
    <t>Nguyễn Trần Trọng Kim</t>
  </si>
  <si>
    <t>user146</t>
  </si>
  <si>
    <t>Data Engineering with AWS;Data Analysis and Visualization with Microsoft Power BI;EnglishScore</t>
  </si>
  <si>
    <t>Trần Hoàng Bích Kim</t>
  </si>
  <si>
    <t>user147</t>
  </si>
  <si>
    <t>970</t>
  </si>
  <si>
    <t>Introduction to Machine Learning with TensorFlow;User Experience;EnglishScore;Product Manager;AWS Cloud Fundamentals;GitHub Copilot;Japanese Language Proficiency Test N1;AWS Certified Cloud Practitioner;Chinese Proficiency Test HSK (Level 5);IELTS 7.5;Professional Scrum Product Owner II;Professional Scrum Product Owner I</t>
  </si>
  <si>
    <t>FHM.Bench.2026</t>
  </si>
  <si>
    <t>Trương Đình Kỳ</t>
  </si>
  <si>
    <t>user148</t>
  </si>
  <si>
    <t>FSO.HCM.FHM.GA</t>
  </si>
  <si>
    <t>Tống Thanh Lâm</t>
  </si>
  <si>
    <t>user149</t>
  </si>
  <si>
    <t>Digital Project Management;Japanese Language Proficiency Test N2;Core Designer Certificate;Advanced Designer Certificate</t>
  </si>
  <si>
    <t>Trần Thanh Lâm</t>
  </si>
  <si>
    <t>user150</t>
  </si>
  <si>
    <t>Oracle Certified Associate, Java SE 8 Programmer I;AWS Certified Solutions Architect - Associate;EnglishScore;Cloud DevOps Engineer;FSOFT Foreign Language Proficiency Test - TOEIC Test;Oracle Cloud Data Management 2023 Certified Foundations Associate;Core Designer Certificate;Advanced Designer Certificate;Oracle Cloud Infrastructure for Sunbird Ed Specialty;PROFESSIONAL SCRUM MASTER™ II;PMI Agile Certified Practitioner (PMI-ACP)®</t>
  </si>
  <si>
    <t>Trần Thị Nhật Lệ</t>
  </si>
  <si>
    <t>user151</t>
  </si>
  <si>
    <t>N1 online;FSOFT Foreign Language Proficiency Test - TOEIC Test;EnglishScore;Project Management Professional (PMP);PMI Agile Certified Practitioner (PMI-ACP)®</t>
  </si>
  <si>
    <t>Comtor</t>
  </si>
  <si>
    <t>Phan Thị Liên</t>
  </si>
  <si>
    <t>user152</t>
  </si>
  <si>
    <t>990</t>
  </si>
  <si>
    <t>PROFESSIONAL SCRUM MASTER™ II;ISTQB Certified Tester Advanced Level - Test Analyst;MongoDB Associate Developer;Advanced Designer Certificate;Core Designer Certificate;Oracle Cloud Infrastructure for Sunbird Ed Specialty;Katalon Practitioner Certification;Katalon Professional Level Certification;NVIDIA Getting Started with AI on Jetson Nano;ISTQB Certified Tester - Foundation Level;Certified Tester ISTQB Foundation Level;ISTQB Certified Tester Advanced Level - Test Manager;EnglishScore;AWS Cloud Architect</t>
  </si>
  <si>
    <t>FHM.GDA.Airbus.SKANR</t>
  </si>
  <si>
    <t>Trịnh Thị Hồng Liễu</t>
  </si>
  <si>
    <t>user153</t>
  </si>
  <si>
    <t>FSOFT Foreign Language Proficiency Test - TOEIC Test;SQL;EnglishScore;ISTQB Certified Tester - Foundation Level;ISTQB Certified Tester Advanced Level - Test Manager;PROFESSIONAL SCRUM MASTER™ I;PMI Agile Certified Practitioner (PMI-ACP)®</t>
  </si>
  <si>
    <t>Airbus</t>
  </si>
  <si>
    <t>FSO.HCM.FHM.GDA</t>
  </si>
  <si>
    <t>Bùi Yến Linh</t>
  </si>
  <si>
    <t>user154</t>
  </si>
  <si>
    <t>Microsoft Certified: AI Business Professional;Google Cloud Certified Generative AI Leader;Certified Mid-Level React Developer;GitHub Copilot</t>
  </si>
  <si>
    <t>Huỳnh Minh Linh</t>
  </si>
  <si>
    <t>user155</t>
  </si>
  <si>
    <t>EnglishScore;Cloud Developer;Java Web Developer;Advanced Designer Certificate;Core Designer Certificate;Oracle Cloud Infrastructure 2023 Certified Foundations Associate</t>
  </si>
  <si>
    <t>Lâm Bảo Linh</t>
  </si>
  <si>
    <t>user156</t>
  </si>
  <si>
    <t>EnglishScore;Advanced Designer Certificate;Core Designer Certificate</t>
  </si>
  <si>
    <t>Lê Thị Diệu Linh</t>
  </si>
  <si>
    <t>user157</t>
  </si>
  <si>
    <t>Core Designer Certificate;Advanced Designer Certificate;Japanese Language Proficiency Test N5;Microsoft Certified: Azure Developer Associate;EnglishScore;FSOFT Foreign Language Proficiency Test - TOEIC Test;Microsoft Certified: Azure Fundamentals;Microsoft Specialist: Programming in C#;TOEIC (Internal);Microsoft Certified: Azure Data Fundamentals;Microsoft Certified: Azure Data Scientist Associate;ISTQB Certified Tester - Foundation Level;ISTQB Certified Tester Advanced Level - Test Analyst;Enrich skills to succeed - Quality Assurance</t>
  </si>
  <si>
    <t>Nguyễn Quốc Linh</t>
  </si>
  <si>
    <t>user158</t>
  </si>
  <si>
    <t>EnglishScore;FSOFT Foreign Language Proficiency Test - TOEIC Test;Managing Project Risks and Changes;Digital Transformation;AWS Certified Solutions Architect - Associate;Predix Certified Developer</t>
  </si>
  <si>
    <t>Nguyễn Thùy Linh</t>
  </si>
  <si>
    <t>user159</t>
  </si>
  <si>
    <t>Nguyễn Thị Thùy Linh</t>
  </si>
  <si>
    <t>user160</t>
  </si>
  <si>
    <t>FHM.EFW 2026</t>
  </si>
  <si>
    <t>Phạm Vũ Tấn Linh</t>
  </si>
  <si>
    <t>user161</t>
  </si>
  <si>
    <t>EnglishScore;FSOFT Foreign Language Proficiency Test - TOEIC Test;Cloud Developer</t>
  </si>
  <si>
    <t>DEVE06</t>
  </si>
  <si>
    <t>Trần Đức Linh</t>
  </si>
  <si>
    <t>user162</t>
  </si>
  <si>
    <t>Advanced Designer Certificate;Core Designer Certificate;GitHub Copilot;EnglishScore;Microsoft Certified: Azure Fundamentals</t>
  </si>
  <si>
    <t>Võ Hồng Linh</t>
  </si>
  <si>
    <t>user163</t>
  </si>
  <si>
    <t>Google Ads Display Certification;Oracle Certified Associate, Java SE 8 Programmer;FSOFT Foreign Language Proficiency Test - TOEIC Test;Professional Traditional Web Developer;Associate Reactive Web Developer;AWS Certified Solutions Architect - Professional;Associate Traditional Web Developer O11;Oracle Certified Professional, Java SE 8 Programmer;AWS Certified Solutions Architect - Associate;AWS Certified Data Analytics - Specialty;AWS Certified DevOps Engineer - Professional</t>
  </si>
  <si>
    <t>Nguyễn Tấn Lộc</t>
  </si>
  <si>
    <t>user164</t>
  </si>
  <si>
    <t>Enrich skills to succeed - Front-end Web Development;EnglishScore;Cloud Developer;Full Stack Web Developer;AWS Cloud Architect;React</t>
  </si>
  <si>
    <t>user165</t>
  </si>
  <si>
    <t>EnglishScore;Cloud Developer;Aptis ESOL General - Level B2;Advanced Designer Certificate;Core Designer Certificate;Oracle Cloud Infrastructure for Sunbird Ed Specialty;Mendix Rapid Developer</t>
  </si>
  <si>
    <t>Trương Phi Tấn Lộc</t>
  </si>
  <si>
    <t>user166</t>
  </si>
  <si>
    <t>EnglishScore;AWS Solutions Architect - Associate;AWS Certified Cloud Practitioner</t>
  </si>
  <si>
    <t>Đào Văn Lợi</t>
  </si>
  <si>
    <t>user167</t>
  </si>
  <si>
    <t>EnglishScore;SQL;Advanced Designer Certificate;Oracle Cloud Infrastructure for Sunbird Ed Specialty;ISTQB Certified Tester Advanced Level - Test Analyst;Excel Skills for Business: Intermediate II;ISTQB Certified Tester - Foundation Level</t>
  </si>
  <si>
    <t>Huỳnh Hữu Lợi</t>
  </si>
  <si>
    <t>user168</t>
  </si>
  <si>
    <t>EnglishScore;Cloud DevOps using Microsoft Azure;Cloud Architect using Microsoft Azure;Cloud Developer using Microsoft Azure;Microsoft Certified: Azure Developer Associate;Microsoft Certified: Azure Fundamentals</t>
  </si>
  <si>
    <t>Nguyễn Lâm Thành Lợi</t>
  </si>
  <si>
    <t>user169</t>
  </si>
  <si>
    <t>AI Agents Essentials;Now Assist Skill Kit Fundamentals;Build Custom AI Solutions;Now Assist Essentials;Data Engineering;Experimental Design and Recommendations;Cloud Fundamentals;Unsupervised Learning;Introduction to Machine Learning with Pytorch;Cloud Developer;Data Analyst;AI Programming with Python;Cloud Data Warehouses;Data Engineering with AWS;Introduction to Data Science;AWS Cloud Architect;Cloud DevOps Engineer;Supervised Learning;Programming for Data Science with Python;Automate Data Pipelines;Advanced Data Wrangling;Introduction to Neural Networks with PyTorch;Monolith to Microservices at Scale;Build CI/CD Pipelines, Monitoring, and Logging;Java Programming;Microservices at Scale using AWS and Kubernetes;Data Scientist;Data Modeling;Japanese Language Proficiency Test N4;Core Designer Certificate;Advanced Designer Certificate;Oracle Cloud Infrastructure 2023 Certified Foundations Associate;Oracle Cloud Infrastructure for Sunbird Ed Specialty;Oracle Cloud Data Management 2023 Certified Foundations Associate</t>
  </si>
  <si>
    <t>Lê Hoàng Long</t>
  </si>
  <si>
    <t>user170</t>
  </si>
  <si>
    <t>PROFESSIONAL SCRUM MASTER™ II;EnglishScore;GitHub Copilot;React;AWS Cloud Architect</t>
  </si>
  <si>
    <t>Nguyễn Doãn Hải Long</t>
  </si>
  <si>
    <t>user171</t>
  </si>
  <si>
    <t>Core Designer Certificate;EnglishScore;PROFESSIONAL SCRUM MASTER™ I;AWS Certified Solutions Architect - Professional;AWS Certified Developer - Associate;Oracle Certified Associate, Java SE 8 Programmer;Oracle Certified Professional, Java SE 8 Programmer;AWS Certified Solutions Architect - Associate;Implementing an Azure Data Solution;FSOFT Foreign Language Proficiency Test - TOEIC Test;Microsoft Certified: Azure Data Engineer Associate;AWS Certified Data Analytics - Specialty;AWS Certified DevOps Engineer - Professional;Google Cloud Certified - Associate Cloud Engineer;Microsoft Certified: Azure Data Fundamentals;NVIDIA Getting Started with AI on Jetson Nano</t>
  </si>
  <si>
    <t>Phạm Quang Long</t>
  </si>
  <si>
    <t>user172</t>
  </si>
  <si>
    <t>Lìu Fuy Loon</t>
  </si>
  <si>
    <t>user173</t>
  </si>
  <si>
    <t>GitHub Copilot;Associate Traditional Web Developer O11;Advanced Designer Certificate;FSOFT Foreign Language Proficiency Test - TOEIC Test;EnglishScore;Agile Software Developer;AWS Certified Solutions Architect - Associate;AWS Certified Developer - Associate;Mendix Rapid Developer;Microsoft Certified: Azure Developer Associate;AWS Certified Data Analytics - Specialty;Microsoft Certified: Azure Fundamentals;Microsoft Certified: Azure Data Fundamentals;AWS Certified Solutions Architect - Professional;Microsoft Certified: Azure Data Engineer Associate;Microsoft Certified: Azure AI Engineer Associate;Microsoft Certified: DevOps Engineer Expert;Google Ads Search Certification;Google Ads Display Certification</t>
  </si>
  <si>
    <t>Nguyễn Vũ Luân</t>
  </si>
  <si>
    <t>user174</t>
  </si>
  <si>
    <t>Nguyễn Đình Lương</t>
  </si>
  <si>
    <t>user175</t>
  </si>
  <si>
    <t>AWS Certified Solutions Architect - Associate;EnglishScore;Predix Certified Developer;FSOFT Foreign Language Proficiency Test - TOEIC Test;PROFESSIONAL SCRUM MASTER™ I;Associate Traditional Web Developer O11;Certified SAFe 5 Advanced Scrum Master;Certified SAFe 5 DevOps Practitioner;PMI Agile Certified Practitioner (PMI-ACP)®</t>
  </si>
  <si>
    <t>Võ Văn Lượt</t>
  </si>
  <si>
    <t>user176</t>
  </si>
  <si>
    <t>Core Designer Certificate;Advanced Designer Certificate;Mendix Rapid Developer;Oracle Cloud Infrastructure for Sunbird Ed Specialty;NVIDIA Getting Started with AI on Jetson Nano;EnglishScore;AI in Office</t>
  </si>
  <si>
    <t>Bùi Thị Thảo Ly</t>
  </si>
  <si>
    <t>user177</t>
  </si>
  <si>
    <t>Employee Experience Executive</t>
  </si>
  <si>
    <t>SQL (Basic);SQL (Intermediate);AI in Office;EnglishScore;Digital Marketing;Google Analytics Certification</t>
  </si>
  <si>
    <t>ERP Business Support</t>
  </si>
  <si>
    <t>EXEX00</t>
  </si>
  <si>
    <t>Nguyễn Thị Phương Mai</t>
  </si>
  <si>
    <t>user178</t>
  </si>
  <si>
    <t>FSOFT Foreign Language Proficiency Test - TOEIC Test;EnglishScore;Certified Tester ISTQB Foundation Level;Enrich skills to succeed - Software Testing Engineering;PROFESSIONAL SCRUM MASTER™ I;Advanced Designer Certificate;Core Designer Certificate</t>
  </si>
  <si>
    <t>Nguyễn Thị Tuyết Mai</t>
  </si>
  <si>
    <t>user179</t>
  </si>
  <si>
    <t>EnglishScore;FSOFT Foreign Language Proficiency Test - TOEIC Test;Advanced Designer Certificate;Core Designer Certificate;ISTQB Certified Tester Advanced Level - Test Analyst;Enrich skills to succeed - Software QA and QC</t>
  </si>
  <si>
    <t>Trần Phi Mai</t>
  </si>
  <si>
    <t>user180</t>
  </si>
  <si>
    <t>Microsoft Certified: Azure Data Fundamentals;Enrich skills to succeed - .NET Technology;EnglishScore;Cloud Developer using Microsoft Azure;SQL;Enrich skills to succeed - .NET</t>
  </si>
  <si>
    <t>Phan Văn Mạnh</t>
  </si>
  <si>
    <t>user181</t>
  </si>
  <si>
    <t>NVIDIA Getting Started with AI on Jetson Nano;Advanced Designer Certificate;Core Designer Certificate;Oracle Cloud Infrastructure for Sunbird Ed Specialty;EnglishScore;Japanese Language Proficiency Test N5;Cloud DevOps Engineer</t>
  </si>
  <si>
    <t>Trần Duy Minh Mẫn</t>
  </si>
  <si>
    <t>user182</t>
  </si>
  <si>
    <t>Đào Lê Minh</t>
  </si>
  <si>
    <t>user183</t>
  </si>
  <si>
    <t>NVIDIA Getting Started with AI on Jetson Nano;Project Management Professional (PMP);EnglishScore;Product Manager</t>
  </si>
  <si>
    <t>Đỗ Nhật Minh</t>
  </si>
  <si>
    <t>user184</t>
  </si>
  <si>
    <t>EnglishScore;Java Web Developer;ISTQB Certified Tester Advanced Level - Test Analyst;Core Designer Certificate;Advanced Designer Certificate;PROFESSIONAL SCRUM MASTER™ I;ISTQB Certified Tester - Foundation Level;Enrich skills to succeed - Quality Assurance</t>
  </si>
  <si>
    <t>Lê Hoàng Minh</t>
  </si>
  <si>
    <t>user185</t>
  </si>
  <si>
    <t>Senior DevOps Engineer</t>
  </si>
  <si>
    <t>EnglishScore;GitHub Copilot;Claude Certified Architect - Foundations (CCA-F);FSOFT Foreign Language Proficiency Test - TOEIC Test;Microsoft Certified: Azure Data Fundamentals;AWS Certified Solutions Architect - Associate;AWS Certified Solutions Architect - Professional;Microsoft Certified: Azure Fundamentals;AWS Certified Data Analytics - Specialty;Core Designer Certificate;Advanced Designer Certificate;Oracle Cloud Infrastructure for Sunbird Ed Specialty</t>
  </si>
  <si>
    <t>DEVO04</t>
  </si>
  <si>
    <t>Nguyễn Anh Minh</t>
  </si>
  <si>
    <t>user186</t>
  </si>
  <si>
    <t>975</t>
  </si>
  <si>
    <t>Introduction to Data Science;EnglishScore;Digital Transformation for Business Leaders;Data Engineering;Experimental Design and Recommendations;Introduction to Data Science in Python;NVIDIA Getting Started with AI on Jetson Nano;Project Management: The Basics for Success;Agile with Atlassian Jira;Managing Emotions in Times of Uncertainty &amp; Stress</t>
  </si>
  <si>
    <t>Nguyễn Công Minh</t>
  </si>
  <si>
    <t>user187</t>
  </si>
  <si>
    <t>SQL (Intermediate)</t>
  </si>
  <si>
    <t>Nguyễn Lê Minh</t>
  </si>
  <si>
    <t>user188</t>
  </si>
  <si>
    <t>Core Designer Certificate;Advanced Designer Certificate;NVIDIA Getting Started with AI on Jetson Nano;Japanese Language Proficiency Test N3;Japanese Language Proficiency Test N2;Professional Scrum Product Owner I;Introduction to Programming;User Experience;SQL;FSOFT Foreign Language Proficiency Test - TOEIC Test;Data Analysis and Visualization with Microsoft Power BI;EnglishScore</t>
  </si>
  <si>
    <t>Nguyễn Ngọc Minh</t>
  </si>
  <si>
    <t>user189</t>
  </si>
  <si>
    <t>Core Designer Certificate;Advanced Designer Certificate;Oracle Cloud Infrastructure 2024 Data Certified Foundations Associate;Oracle Cloud Infrastructure 2024 Certified AI Foundations Associate;EnglishScore;NVIDIA Getting Started with AI on Jetson Nano;Oracle Cloud Infrastructure 2023 Certified Foundations Associate;Oracle Cloud Infrastructure for Sunbird Ed Specialty;Microsoft Certified: Azure Developer Associate</t>
  </si>
  <si>
    <t>user190</t>
  </si>
  <si>
    <t>Nguyễn Quốc Minh</t>
  </si>
  <si>
    <t>user191</t>
  </si>
  <si>
    <t>Võ Đức Minh</t>
  </si>
  <si>
    <t>user192</t>
  </si>
  <si>
    <t>FSOFT Foreign Language Proficiency Test - TOEIC Test;ISTQB Certified Tester Advanced Level - Test Manager;EnglishScore;Business Analytics;ISTQB Certified Tester Advanced Level - Test Analyst;Core Designer Certificate;Advanced Designer Certificate;Oracle Cloud Infrastructure for Sunbird Ed Specialty;SQL (Advanced);NVIDIA Getting Started with AI on Jetson Nano;PMI Agile Certified Practitioner (PMI-ACP)®;PROFESSIONAL SCRUM MASTER™ I;Oracle Cloud Data Management 2023 Certified Foundations Associate;Oracle Cloud Infrastructure 2023 Certified Foundations Associate;Certified Tester ISTQB Foundation Level;CSS (Basic);Problem Solving (Basic);SQL (Basic);SQL (Intermediate);Oracle Cloud Infrastructure 2023 AI Certified Foundations Associate;Mendix Rapid Developer;Successful Negotiation: Essential Strategies and Skills;Programming for Everybody 
(Getting Started with Python);Penetration Testing, Incident Response and Forensics;Software Security;Business Analytics Nanodegree</t>
  </si>
  <si>
    <t>Vũ Ngọc Minh</t>
  </si>
  <si>
    <t>user193</t>
  </si>
  <si>
    <t>Advanced Designer Certificate;Core Designer Certificate;NVIDIA Getting Started with AI on Jetson Nano;Microsoft Certified: Azure Fundamentals;Expert Angular Developer;EnglishScore;SQL;Agile Software Developer;Cloud Developer;React;AWS Cloud Architect;Java Programming;Google Cloud Certified Generative AI Leader;GitHub Copilot;ML Practitioner Certificate;MLOps Practitioner Certificate;Developer Certificate</t>
  </si>
  <si>
    <t>Nguyễn Vũ Hà Mi</t>
  </si>
  <si>
    <t>user194</t>
  </si>
  <si>
    <t>EnglishScore;SQL;ISTQB Certified Tester - Agile Tester;ISTQB Certified Tester Advanced Level - Test Analyst;Enrich skills to succeed - Manual Test;Vietnamese Standardized Test of English Proficiency (VSTEP) - Level 3/CEFR B1;ISTQB Foundation Level -  CTFL;ISTQB Certified Tester - Foundation Level</t>
  </si>
  <si>
    <t>Đặng Thị Nga Mỹ</t>
  </si>
  <si>
    <t>user195</t>
  </si>
  <si>
    <t>Mendix Rapid Developer;ISTQB Certified Tester - Foundation Level;Associate Traditional Web Developer O11;EnglishScore;SQL;ISTQB Certified Tester Advanced Level - Test Manager</t>
  </si>
  <si>
    <t>Nguyễn Ngọc Trà My</t>
  </si>
  <si>
    <t>user196</t>
  </si>
  <si>
    <t>Associate DevOps Engineer</t>
  </si>
  <si>
    <t>GitHub Copilot;IELTS 6.5;AZ-104:  Azure Administrator Associate</t>
  </si>
  <si>
    <t>DEVO01</t>
  </si>
  <si>
    <t>Võ Thị Mai Mỹ</t>
  </si>
  <si>
    <t>user197</t>
  </si>
  <si>
    <t>EnglishScore;Oracle Cloud Infrastructure for Sunbird Ed Specialty;Advanced Designer Certificate;Core Designer Certificate;NVIDIA Getting Started with AI on Jetson Nano</t>
  </si>
  <si>
    <t>Nguyễn Hoài Nam</t>
  </si>
  <si>
    <t>user198</t>
  </si>
  <si>
    <t>Cloud Developer;EnglishScore;AWS Cloud Architect;Cloud DevOps Engineer;Intermediate JavaScript;JavaScript;Python Core;C#;Enrich skills to succeed - Front-end Web Development;Full Stack JavaScript Developer</t>
  </si>
  <si>
    <t>Nguyễn Trung Nam</t>
  </si>
  <si>
    <t>user199</t>
  </si>
  <si>
    <t>AI Programming with Python;EnglishScore;Pearson Test of English (PTE);Advanced Designer Certificate;Core Designer Certificate;Microsoft Certified: Azure Fundamentals;Enrich skills to succeed - .NET Technology;Microsoft Certified: Azure Data Fundamentals;Microsoft Certified: Azure Developer Associate;Microsoft Certified: DevOps Engineer Expert;Microsoft Certified: Azure Data Engineer Associate;Microsoft Certified: Azure Cosmos DB Developer Specialty;Japanese Language Proficiency Test N3</t>
  </si>
  <si>
    <t>Trần Nhật Nam</t>
  </si>
  <si>
    <t>user200</t>
  </si>
  <si>
    <t>DevOps Engineer</t>
  </si>
  <si>
    <t>Microsoft Certified: Azure Fundamentals;Microsoft Certified: Azure Developer Associate;AWS Certified Solutions Architect - Associate;Microsoft Certified: Azure Data Engineer Associate;Oracle Cloud Infrastructure for Sunbird Ed Specialty;Advanced Designer Certificate;Core Designer Certificate;EnglishScore;Microservices at Scale using AWS and Kubernetes;Advanced Java Programming Techniques;Developer Certificate;MLOps Practitioner Certificate;Generative AI Practitioner Certificate;ML Practitioner Certificate;AWS Certified Developer - Associate;GitHub Copilot;Java Programming;Cloud DevOps Engineer;Intermediate Python;Java Fundamentals</t>
  </si>
  <si>
    <t>DEVO02</t>
  </si>
  <si>
    <t>Nguyễn Thúy Nga</t>
  </si>
  <si>
    <t>user201</t>
  </si>
  <si>
    <t>Nguyễn Phước Nghĩa</t>
  </si>
  <si>
    <t>user202</t>
  </si>
  <si>
    <t>Core Designer Certificate;Advanced Designer Certificate;EnglishScore;FSOFT Foreign Language Proficiency Test - TOEIC Test;GitHub Copilot;Digital Transformation for Business Leaders;TOEIC (Internal);Oracle Certified Associate, Java SE 8 Programmer I;Java Web Developer;TOEIC Listening &amp; Reading;Excel Skills for Business: Intermediate II</t>
  </si>
  <si>
    <t>Nguyễn Thanh Nghĩa</t>
  </si>
  <si>
    <t>user203</t>
  </si>
  <si>
    <t>Oracle Cloud Infrastructure 2023 Certified Foundations Associate;Oracle Cloud Data Management 2023 Certified Foundations Associate;Oracle Cloud Infrastructure for Sunbird Ed Specialty;Advanced Designer Certificate;Core Designer Certificate;EnglishScore;Cloud Developer using Microsoft Azure;React;Aptis ESOL General - Level B1;Full Stack Web Developer</t>
  </si>
  <si>
    <t>Nguyễn Trọng Nghĩa</t>
  </si>
  <si>
    <t>user204</t>
  </si>
  <si>
    <t>Java Web Developer;EnglishScore;Vietnamese Standardized Test of English Proficiency (VSTEP) - Level 3/CEFR B1</t>
  </si>
  <si>
    <t>Võ Lê Anh Nghĩa</t>
  </si>
  <si>
    <t>user205</t>
  </si>
  <si>
    <t>Lê Lý Bảo Ngọc</t>
  </si>
  <si>
    <t>user206</t>
  </si>
  <si>
    <t>PMI Agile Certified Practitioner (PMI-ACP)®;Japanese Language Proficiency Test N2;PROFESSIONAL SCRUM MASTER™ I;Project Management Professional (PMP);EnglishScore</t>
  </si>
  <si>
    <t>Nguyễn Thị Minh Ngọc</t>
  </si>
  <si>
    <t>user207</t>
  </si>
  <si>
    <t>CHSNext</t>
  </si>
  <si>
    <t>Chiêm Đình Nguyên</t>
  </si>
  <si>
    <t>user208</t>
  </si>
  <si>
    <t>The Degree of Bachelor;EnglishScore;React</t>
  </si>
  <si>
    <t>CHS</t>
  </si>
  <si>
    <t>Đỗ Trương Đông Nguyên</t>
  </si>
  <si>
    <t>user209</t>
  </si>
  <si>
    <t>EnglishScore;Android Kotlin Developer;Claude Certified Architect - Foundations;GitHub Copilot;Microsoft Certified: Azure Cosmos DB Developer Specialty;Advanced Designer Certificate;Core Designer Certificate;Microsoft Certified: Azure Data Fundamentals;Microsoft Certified: Azure AI Engineer Associate;Microsoft Certified: Azure Fundamentals</t>
  </si>
  <si>
    <t>Mobile App Development</t>
  </si>
  <si>
    <t>Thái Nguyên</t>
  </si>
  <si>
    <t>user210</t>
  </si>
  <si>
    <t>Project Management Professional (PMP);EnglishScore;[FSO] DX - 2022: CHUYỂN ĐỔI SỐ CƠ BẢN</t>
  </si>
  <si>
    <t>Hồ Nguyễn Trí Nhân</t>
  </si>
  <si>
    <t>user211</t>
  </si>
  <si>
    <t>Microsoft Certified: Azure Developer Associate;Cloud DevOps using Microsoft Azure;Cloud Developer using Microsoft Azure;EnglishScore;Microsoft Certified: Azure Fundamentals</t>
  </si>
  <si>
    <t>Nguyễn Phi Nhạn</t>
  </si>
  <si>
    <t>user212</t>
  </si>
  <si>
    <t>965</t>
  </si>
  <si>
    <t>EnglishScore;ISTQB Certified Tester - Foundation Level;PROFESSIONAL SCRUM MASTER™ I;Product Strategy for Product Managers;Certified SAFe 5 Advanced Scrum Master;Certified SAFe 6 Scrum Master;Project Management Professional (PMP);PMI Agile Certified Practitioner (PMI-ACP)®</t>
  </si>
  <si>
    <t>Trần Cao Nhân</t>
  </si>
  <si>
    <t>user213</t>
  </si>
  <si>
    <t>Introduction to Transformer-Based Natural Language Processing;Cloud DevOps Engineer;Cloud Developer;AWS Cloud Architect;EnglishScore;FSOFT Foreign Language Proficiency Test - TOEIC Test</t>
  </si>
  <si>
    <t>Võ Chí Nhân</t>
  </si>
  <si>
    <t>user214</t>
  </si>
  <si>
    <t>Đặng Minh Nhật</t>
  </si>
  <si>
    <t>user215</t>
  </si>
  <si>
    <t>Nguyễn Long Nhật</t>
  </si>
  <si>
    <t>user216</t>
  </si>
  <si>
    <t>Nguyễn Quang Nhật</t>
  </si>
  <si>
    <t>user217</t>
  </si>
  <si>
    <t>FSOFT Customer Interview Training;Coaching Practices;NVIDIA Getting Started with AI on Jetson Nano;PROFESSIONAL SCRUM MASTER™ I;Oracle Certified Associate, Java SE 8 Programmer;Enrich skills to succeed - AWS Cloud;AWS Certified Developer - Associate;Microsoft Certified: Azure Fundamentals;PMI Agile Certified Practitioner (PMI-ACP)®;FPT_PMP Training;Core Designer Certificate;Advanced Designer Certificate;FSOFT Foreign Language Proficiency Test - TOEIC Test;Oracle Cloud Infrastructure 2025 Certified AI Foundations Associate;GitHub Copilot;Google Cloud Certified Generative AI Leader;EnglishScore</t>
  </si>
  <si>
    <t>Đoàn Thị Mai Nhi</t>
  </si>
  <si>
    <t>user218</t>
  </si>
  <si>
    <t>ISTQB Certified Tester - Foundation Level;Enrich skills to succeed - Quality Assurance;ISTQB Certified Tester Advanced Level - Test Analyst;Oracle Cloud Data Management 2023 Certified Foundations Associate;Core Designer Certificate;Advanced Designer Certificate;Enrich skills to succeed - Manual Test;Japanese Language Proficiency Test N3;EnglishScore</t>
  </si>
  <si>
    <t>Phan Thị Tuyết Nhi</t>
  </si>
  <si>
    <t>user219</t>
  </si>
  <si>
    <t>Lê Hồng Như</t>
  </si>
  <si>
    <t>user220</t>
  </si>
  <si>
    <t>Lê Thị Cẩm Như</t>
  </si>
  <si>
    <t>user221</t>
  </si>
  <si>
    <t>PROFESSIONAL SCRUM MASTER™ I</t>
  </si>
  <si>
    <t>Nguyễn Thị Hồng Nhung</t>
  </si>
  <si>
    <t>user222</t>
  </si>
  <si>
    <t>EnglishScore;SQL;AI in Office;Learn to Speak Korean 1;First Step Korean;Enrich skills to succeed - Database;ISTQB Certified Tester Advanced Level - Test Manager;ISTQB Certified Tester Advanced Level - Test Analyst;C# (Basic);Mendix Rapid Developer;SQL (Basic);NVIDIA Getting Started with AI on Jetson Nano;Enrich skills to succeed - Quality Assurance;TOEIC Listening &amp; Reading;Test of Proficiency in Korean (TOPIK) I - Level 1;Teamwork and Creativity;Enrich skills to succeed - Manual Test;Enrich skills to succeed - Java Technology;ISTQB Certified Tester - Foundation Level</t>
  </si>
  <si>
    <t>Nguyễn Huỳnh Như</t>
  </si>
  <si>
    <t>user223</t>
  </si>
  <si>
    <t>EnglishScore;Japanese Language Proficiency Test N5;ISTQB Certified Tester - Agile Tester;GitHub Copilot;ISTQB Certified Tester - Foundation Level</t>
  </si>
  <si>
    <t>Nguyễn Phổ Nhu</t>
  </si>
  <si>
    <t>user224</t>
  </si>
  <si>
    <t>EnglishScore;Certified Tester ISTQB Foundation Level</t>
  </si>
  <si>
    <t>Nguyễn Quỳnh Như</t>
  </si>
  <si>
    <t>user225</t>
  </si>
  <si>
    <t>Nguyễn Minh Nhựt</t>
  </si>
  <si>
    <t>user226</t>
  </si>
  <si>
    <t>Trần Nguyễn Thảo Như</t>
  </si>
  <si>
    <t>user227</t>
  </si>
  <si>
    <t>Japanese Language Proficiency Test N1</t>
  </si>
  <si>
    <t>Nguyễn Thị Kiều Oanh</t>
  </si>
  <si>
    <t>user228</t>
  </si>
  <si>
    <t>FSOFT Foreign Language Proficiency Test - TOEIC Test;ISTQB Certified Tester - Foundation Level;EnglishScore;Foundation Certificate in Software Testing;Advanced Designer Certificate;Core Designer Certificate;Oracle Cloud Infrastructure for Sunbird Ed Specialty;ISTQB Certified Tester Advanced Level - Test Analyst;Japanese Language Proficiency Test N5;Chinese Proficiency Test HSK (Level 2);NVIDIA Getting Started with AI on Jetson Nano</t>
  </si>
  <si>
    <t>Châu Thuận Phát</t>
  </si>
  <si>
    <t>user229</t>
  </si>
  <si>
    <t>Core Designer Certificate;Advanced Designer Certificate;EnglishScore;FSOFT Foreign Language Proficiency Test - TOEIC Test;Claude AI and Prompting for Everyone;Generative AI with Large Language Models;AWS Certified Solutions Architect - Associate</t>
  </si>
  <si>
    <t>Lý Hồng Phát</t>
  </si>
  <si>
    <t>user230</t>
  </si>
  <si>
    <t>Nguyễn Quang Phát</t>
  </si>
  <si>
    <t>user231</t>
  </si>
  <si>
    <t>Đinh Hoàng Phi</t>
  </si>
  <si>
    <t>user232</t>
  </si>
  <si>
    <t>PROFESSIONAL SCRUM MASTER™ I;FSOFT Foreign Language Proficiency Test - TOEIC Test;Project Management Professional (PMP);EnglishScore;PMI Agile Certified Practitioner (PMI-ACP)®;Certified SAFe 4 Scrum Master;NVIDIA Getting Started with AI on Jetson Nano</t>
  </si>
  <si>
    <t>Mã Hoàng Nhật Phi</t>
  </si>
  <si>
    <t>user233</t>
  </si>
  <si>
    <t>Oracle Certified Professional, Java SE 8 Programmer;Associate Traditional Web Developer O11;AWS Cloud Architect;Oracle Certified Associate, Java SE 8 Programmer;FSOFT Foreign Language Proficiency Test - TOEIC Test;AWS Certified Solutions Architect - Professional;AWS Certified Solutions Architect - Associate;AWS Certified Developer - Associate</t>
  </si>
  <si>
    <t>Nguyễn Huỳnh Anh Phi</t>
  </si>
  <si>
    <t>user234</t>
  </si>
  <si>
    <t>AWS Certified Solutions Architect - Associate;Microsoft Certified: Azure AI Engineer Associate;FSOFT Foreign Language Proficiency Test - TOEIC Test;Associate Traditional Web Developer O11;AWS Certified Developer - Associate;AWS Certified Big Data - Specialty;AWS Certified Data Analytics - Specialty;Predix Certified Developer;AWS Certified Solutions Architect - Professional;EnglishScore;Microsoft Certified: Azure Solutions Architect Expert;Microsoft Certified: Azure Solutions Architect Certification Transition;SQL (Basic);NVIDIA Getting Started with AI on Jetson Nano;Google Cloud Certified Professional Cloud Architect;Understanding Research Methods;Writing Professional Email and Memos;AWS Certified SysOps Administrator - Associate</t>
  </si>
  <si>
    <t>Lê Thanh Phong</t>
  </si>
  <si>
    <t>user235</t>
  </si>
  <si>
    <t>Nguyễn Đình Phong</t>
  </si>
  <si>
    <t>user236</t>
  </si>
  <si>
    <t>EnglishScore;Microsoft Certified: Azure Developer Associate;Designing and Implementing Microsoft DevOps Solutions;Advanced Designer Certificate;Core Designer Certificate;Full Stack Web Developer;Intermediate JavaScript;Microsoft Certified: Azure Solutions Architect Expert;Microsoft Certified: Azure Fundamentals</t>
  </si>
  <si>
    <t>Huỳnh Minh Phúc</t>
  </si>
  <si>
    <t>user237</t>
  </si>
  <si>
    <t>PMI Agile Certified Practitioner (PMI-ACP)®;Microsoft Certified: Azure AI Engineer Associate;Microsoft Certified: Azure Fundamentals;Microsoft Specialist: Programming in HTML5 with JavaScript and CSS3;AWS Certified Solutions Architect - Associate;EnglishScore</t>
  </si>
  <si>
    <t>Huỳnh Ngọc Phúc</t>
  </si>
  <si>
    <t>user238</t>
  </si>
  <si>
    <t>GitHub Copilot;EnglishScore;Generative AI Practitioner Certificate;Intermediate JavaScript;Oracle Cloud Infrastructure 2023 Certified Foundations Associate;Oracle Cloud Data Management 2023 Certified Foundations Associate;Oracle Cloud Infrastructure for Sunbird Ed Specialty;Advanced Designer Certificate;Core Designer Certificate</t>
  </si>
  <si>
    <t>Lê Nguyễn Thiên Phúc</t>
  </si>
  <si>
    <t>user239</t>
  </si>
  <si>
    <t>Nguyễn Hoàng Phúc</t>
  </si>
  <si>
    <t>user240</t>
  </si>
  <si>
    <t>Nguyễn Minh Phúc</t>
  </si>
  <si>
    <t>user241</t>
  </si>
  <si>
    <t>Japanese Language Proficiency Test N3;Japanese Language Proficiency Test N2</t>
  </si>
  <si>
    <t>Phan Thanh Phúc</t>
  </si>
  <si>
    <t>user242</t>
  </si>
  <si>
    <t>Core Designer Certificate;Advanced Designer Certificate;EnglishScore;Intermediate JavaScript;Introduction to Data Analytics</t>
  </si>
  <si>
    <t>Trần Hữu Phúc</t>
  </si>
  <si>
    <t>user243</t>
  </si>
  <si>
    <t>Hồ Dương Gia Phú</t>
  </si>
  <si>
    <t>user244</t>
  </si>
  <si>
    <t>Nguyễn Triệu Phú</t>
  </si>
  <si>
    <t>user245</t>
  </si>
  <si>
    <t>EnglishScore;Core Designer Certificate;Advanced Designer Certificate;Google Cloud Certified Generative AI Leader;NVIDIA Getting Started with AI on Jetson Nano;Google Play Store Listing Certificate</t>
  </si>
  <si>
    <t>Cao Huỳnh Phước</t>
  </si>
  <si>
    <t>user246</t>
  </si>
  <si>
    <t>AWS Certified Solutions Architect - Associate;FSOFT Foreign Language Proficiency Test - TOEIC Test;EnglishScore;Core Designer Certificate;Advanced Designer Certificate;Microsoft Certified: Azure DevOps Engineer Expert;Microsoft Certified: Azure Fundamentals;TOEIC (Internal);Enrich skills to succeed - Quality Assurance;ISTQB Certified Tester – Technical Test Analyst;Java Programming;ISTQB Certified Tester - Foundation Level</t>
  </si>
  <si>
    <t>Dương Lưu Phước</t>
  </si>
  <si>
    <t>user247</t>
  </si>
  <si>
    <t>DEVO03</t>
  </si>
  <si>
    <t>Hoàng Hà Phương</t>
  </si>
  <si>
    <t>user248</t>
  </si>
  <si>
    <t>CMTE02</t>
  </si>
  <si>
    <t>Nguyễn Trần Mạnh Phương</t>
  </si>
  <si>
    <t>user249</t>
  </si>
  <si>
    <t>EnglishScore;Cloud DevOps Engineer;Cloud Developer;FSOFT Foreign Language Proficiency Test - TOEIC Test</t>
  </si>
  <si>
    <t>Tôn Thất Phú</t>
  </si>
  <si>
    <t>user250</t>
  </si>
  <si>
    <t>Microsoft Certified: Azure Fundamentals;FSOFT Foreign Language Proficiency Test - TOEIC Test;EnglishScore;Cloud Architect using Microsoft Azure</t>
  </si>
  <si>
    <t>Huỳnh Thanh Quang</t>
  </si>
  <si>
    <t>user251</t>
  </si>
  <si>
    <t>Nguyễn Minh Quang</t>
  </si>
  <si>
    <t>user252</t>
  </si>
  <si>
    <t>AWS Cloud Practitioner Essentials;Data Analyst;Japanese Language Proficiency Test N2;AWS Cloud Architect;Cloud DevOps Engineer;TOEIC Listening &amp; Reading;EnglishScore;Cloud Developer</t>
  </si>
  <si>
    <t>Lê Minh Quân</t>
  </si>
  <si>
    <t>user253</t>
  </si>
  <si>
    <t>EnglishScore;FSOFT Foreign Language Proficiency Test - TOEIC Test;Developer Certificate;Cloud Developer;Oracle Certified Associate, Java SE 8 Programmer;Microsoft Certified: Azure Fundamentals;PMI Agile Certified Practitioner (PMI-ACP)®;Enrich skills to succeed - Scrum Master;PROFESSIONAL SCRUM MASTER™ I;Core Designer Certificate;Advanced Designer Certificate</t>
  </si>
  <si>
    <t>Nguyễn Hoàng Quân</t>
  </si>
  <si>
    <t>user254</t>
  </si>
  <si>
    <t>Trần Ngọc Quân</t>
  </si>
  <si>
    <t>user255</t>
  </si>
  <si>
    <t>EnglishScore;Programming for Data Science with Python;Data Analysis and Visualization with Microsoft Power BI</t>
  </si>
  <si>
    <t>Đỗ Anh Quốc</t>
  </si>
  <si>
    <t>user256</t>
  </si>
  <si>
    <t>Advanced Designer Certificate;Core Designer Certificate;EnglishScore</t>
  </si>
  <si>
    <t>FHM.AITransformation2026</t>
  </si>
  <si>
    <t>Lê Thị Quyên</t>
  </si>
  <si>
    <t>user257</t>
  </si>
  <si>
    <t>PROFESSIONAL SCRUM MASTER™ II;PMI Agile Certified Practitioner (PMI-ACP)®;PROFESSIONAL SCRUM MASTER™ I;EnglishScore;FSOFT Foreign Language Proficiency Test - TOEIC Test;ISTQB Certified Tester - Foundation Level;Core Designer Certificate;Advanced Designer Certificate</t>
  </si>
  <si>
    <t>Hoàng Hữu Quý</t>
  </si>
  <si>
    <t>user258</t>
  </si>
  <si>
    <t>EnglishScore;FSOFT Foreign Language Proficiency Test - TOEIC Test;Project Management Professional (PMP);Predix Certified Developer;Certification of Capability in Business Analysis (CCBA);Japanese Language Proficiency Test N2</t>
  </si>
  <si>
    <t>Trần Lê Như Quỳnh</t>
  </si>
  <si>
    <t>user259</t>
  </si>
  <si>
    <t>EnglishScore;Cloud Developer;NVIDIA Getting Started with AI on Jetson Nano;ISTQB Certified Tester - Foundation Level</t>
  </si>
  <si>
    <t>ATES03</t>
  </si>
  <si>
    <t>Đỗ Vũ Thành Sang</t>
  </si>
  <si>
    <t>user260</t>
  </si>
  <si>
    <t>Nguyễn Thanh Sang</t>
  </si>
  <si>
    <t>user261</t>
  </si>
  <si>
    <t>Developer Certificate;Advanced Designer Certificate;Core Designer Certificate;TOEIC (Internal);EnglishScore;FSOFT Foreign Language Proficiency Test - TOEIC Test;Microsoft Certified: Azure AI Fundamentals;Oracle Cloud Infrastructure 2025 Certified Foundations Associate;Microsoft Certified: AI Business Professional;Microsoft Certified: AI Transformation Leader;Oracle Cloud Infrastructure Certified AI Foundations Associate;Github Copilot;Oracle Cloud Infrastructure 2025 Certified AI Foundations Associate;Oracle Certified Associate, Java SE 8 Programmer I;Associate Traditional Web Developer O11;Oracle Certified Associate, Java SE 8 Programmer;Cloud DevOps Engineer;Cloud Developer;EnglishScore Core Skills - CEFR B1 - Intermediate;PMI Agile Certified Practitioner (PMI-ACP)®</t>
  </si>
  <si>
    <t>Trương Quang Sang</t>
  </si>
  <si>
    <t>user262</t>
  </si>
  <si>
    <t>Nguyễn Thế Sơn</t>
  </si>
  <si>
    <t>user263</t>
  </si>
  <si>
    <t>Professional Scrum Developer I;SQL (Basic);Data Streaming;Cloud DevOps Engineer;EnglishScore</t>
  </si>
  <si>
    <t>Trần Ngọc Sơn</t>
  </si>
  <si>
    <t>user264</t>
  </si>
  <si>
    <t>GitHub Copilot;EnglishScore;SQL;FSOFT Foreign Language Proficiency Test - TOEIC Test;Cloud Developer;Programming for Data Science with Python;NVIDIA Getting Started with AI on Jetson Nano</t>
  </si>
  <si>
    <t>user265</t>
  </si>
  <si>
    <t>Võ Trường Sơn</t>
  </si>
  <si>
    <t>user266</t>
  </si>
  <si>
    <t>EnglishScore;Core Designer Certificate;Advanced Designer Certificate</t>
  </si>
  <si>
    <t>Lê Thị Kim Sương</t>
  </si>
  <si>
    <t>user267</t>
  </si>
  <si>
    <t>Agile with Atlassian Jira;Coaching Practices;Associate Traditional Web Developer O11;PMI Agile Certified Practitioner (PMI-ACP)®;FSOFT Foreign Language Proficiency Test - TOEIC Test;EnglishScore;PROFESSIONAL SCRUM MASTER™ I;Japanese Language Proficiency Test N2;Project Management Professional (PMP)</t>
  </si>
  <si>
    <t>Nguyễn Thị Tuyết Sương</t>
  </si>
  <si>
    <t>user268</t>
  </si>
  <si>
    <t>415</t>
  </si>
  <si>
    <t>Introduction to Data Science in Python;Introduction and Programming with IoT Boards;EnglishScore</t>
  </si>
  <si>
    <t>Phạm Văn Sỹ</t>
  </si>
  <si>
    <t>user269</t>
  </si>
  <si>
    <t>Giảng Hán Tài</t>
  </si>
  <si>
    <t>user270</t>
  </si>
  <si>
    <t>Lê Văn Tài</t>
  </si>
  <si>
    <t>user271</t>
  </si>
  <si>
    <t>Nguyễn Hữu Tài</t>
  </si>
  <si>
    <t>user272</t>
  </si>
  <si>
    <t>EONHome.GridX 2025</t>
  </si>
  <si>
    <t>Trần Sỹ Tài</t>
  </si>
  <si>
    <t>user273</t>
  </si>
  <si>
    <t>EnglishScore;Cloud DevOps Engineer;GitHub Copilot;AWS Cloud Architect;Cloud Developer;PROFESSIONAL SCRUM MASTER™ I</t>
  </si>
  <si>
    <t>Software Programming Toolkit</t>
  </si>
  <si>
    <t>EON-Home</t>
  </si>
  <si>
    <t>FSO.HCM.FHM.EMU</t>
  </si>
  <si>
    <t>Nghiêm Hoàng Tâm</t>
  </si>
  <si>
    <t>user274</t>
  </si>
  <si>
    <t>Nguyễn Thế Thanh Tâm</t>
  </si>
  <si>
    <t>user275</t>
  </si>
  <si>
    <t>AWS Certified Solutions Architect - Associate;Microsoft Certified: AI Business Professional;AWS Certified AI Practitioner;AWS Cloud Architect;Develop and Deploy Serverless Apps;Intermediate JavaScript;Programming for Data Science with Python;EnglishScore;AWS Certified Developer - Associate;Oracle Cloud Infrastructure for Sunbird Ed Specialty;AWS Cloud Fundamentals;React;Cloud Developer;User Experience;Cloud Fundamentals;Monolith to Microservices at Scale;Professional Level Certification;Katalon Expert Certification;Katalon Practitioner Certification;Core Designer Certificate;Advanced Designer Certificate;NVIDIA Getting Started with AI on Jetson Nano;Microsoft Certified: Azure Fundamentals;Microsoft Certified: Azure Administrator Associate</t>
  </si>
  <si>
    <t>Trịnh Phương Tâm</t>
  </si>
  <si>
    <t>user276</t>
  </si>
  <si>
    <t>Certified Associate in Project Management (CAPM)®;Project Management Professional (PMP)</t>
  </si>
  <si>
    <t>Võ Minh Tâm</t>
  </si>
  <si>
    <t>user277</t>
  </si>
  <si>
    <t>Danh Ngọc Tân</t>
  </si>
  <si>
    <t>user278</t>
  </si>
  <si>
    <t>PMI Agile Certified Practitioner (PMI-ACP)®;EnglishScore;PROFESSIONAL SCRUM MASTER™ I;Japanese Language Proficiency Test N3</t>
  </si>
  <si>
    <t>Hồ Nhựt Tân</t>
  </si>
  <si>
    <t>user279</t>
  </si>
  <si>
    <t>Nguyễn Ngọc Tấn</t>
  </si>
  <si>
    <t>user280</t>
  </si>
  <si>
    <t>Budgeting and Scheduling Projects;Leadership Communication for Maximum Impact: Storytelling;Communication in the 21st Century Workplace;Career Brand Development and Self-Coaching;Core Designer Certificate;Advanced Designer Certificate;Academic Information Seeking;[FSOFT] AI cơ bản_AI for Everyone;Tự thu âm- Cắt ghép nhạc cơ bản;An Introduction to American Law;FSOFT Foreign Language Proficiency Test - TOEIC Test;EnglishScore;Associate Traditional Web Developer O11</t>
  </si>
  <si>
    <t>Phan Thanh Tân</t>
  </si>
  <si>
    <t>user281</t>
  </si>
  <si>
    <t>EnglishScore;Microsoft Certified Solutions Associate: Web Applications;Microsoft Technology Associate: Database Fundamentals;TOEIC (Internal);Cloud Developer using Microsoft Azure;FSOFT Foreign Language Proficiency Test - TOEIC Test;Microsoft Specialist: Programming in C#;Associate Traditional Web Developer O11;Developing ASP.NET MVC Web Applications;Google Cloud Certified - Associate Cloud Engineer;Oracle Cloud Infrastructure 2023 AI Certified Foundations Associate;Oracle Cloud Data Management 2023 Certified Foundations Associate;Oracle Cloud Infrastructure 2023 Certified Foundations Associate;Microsoft Certified: Security, Compliance, and Identity Fundamentals;Microsoft Certified: Identity and Access Administrator Associate;Microsoft Certified: Security Operations Analyst Associate;Microsoft 365 Certified: Fundamentals;Microsoft Certified: Power Platform Solution Architect Expert;Microsoft Certified Dynamics 365 Fundamentals (ERP);Adobe Certified Expert - Adobe Campaign Classic Business Practitioner;Adobe Certified Expert - Adobe Experience Manager Sites Business Practitioner;Adobe Certified Professional - Marketo Engage Business Practitioner;Microsoft Certified: Azure Data Fundamentals;Microsoft Certified: Azure Network Engineer Associate;Adobe Certified Expert - Adobe Analytics Developer;Microsoft Certified: Azure Solutions Architect Expert;Microsoft Certified: Power Platform Developer Associate;Microsoft Certified: Power BI Data Analyst Associate;Microsoft Certified: Azure Data Engineer Associate;Microsoft Certified: Azure Fundamentals;Administering Windows Server Hybrid Core Infrastructure;Microsoft Certified: Windows Server Hybrid Administrator Associate;Microsoft Certified: Power Platform Fundamentals;Microsoft Certified: Dynamics 365 Fundamentals (CRM);Microsoft Certified: Azure Database Administrator Associate;Microsoft Certified: Azure Administrator Associate;Microsoft Certified: Azure Developer Associate;Microsoft Certified: Azure Security Engineer Associate</t>
  </si>
  <si>
    <t>Nguyễn Hữu Quốc Thái</t>
  </si>
  <si>
    <t>user282</t>
  </si>
  <si>
    <t>Trần Minh Thái</t>
  </si>
  <si>
    <t>user283</t>
  </si>
  <si>
    <t>Core Designer Certificate;Microsoft Specialist: Programming in C#;Microsoft Certified: Azure Developer Associate;C# (Basic);Frontend Developer (React);EnglishScore;FSOFT Foreign Language Proficiency Test - TOEIC Test;Cloud Architect using Microsoft Azure;Microsoft Certified: Azure Security Engineer Associate</t>
  </si>
  <si>
    <t>Văn Đình Quảng Thái</t>
  </si>
  <si>
    <t>user284</t>
  </si>
  <si>
    <t>Japanese Language Proficiency Test N2;Enrich skills to succeed - ReactJS;TOEIC Listening &amp; Reading</t>
  </si>
  <si>
    <t>FHM.Management 2026</t>
  </si>
  <si>
    <t>Nguyễn Thị Hồng Thắm</t>
  </si>
  <si>
    <t>user285</t>
  </si>
  <si>
    <t>HR Generalist</t>
  </si>
  <si>
    <t>Alteryx Designer Core Data Transformation;Alteryx Designer Core Data Preparation;SQL (Basic);SQL (Intermediate);SQL (Advanced);FSOFT Foreign Language Proficiency Test - TOEIC Test;ISO 9001:2008;EnglishScore;ITIL 4 Foundation Certificate in IT Service Management;Oracle Cloud Infrastructure 2023 Certified Foundations Associate;Oracle Cloud Data Management 2023 Certified Foundations Associate</t>
  </si>
  <si>
    <t>HRGE01</t>
  </si>
  <si>
    <t>FHM.Sakura 2026</t>
  </si>
  <si>
    <t>Trần Nhật Thăng</t>
  </si>
  <si>
    <t>user286</t>
  </si>
  <si>
    <t>FSOFT Foreign Language Proficiency Test - TOEIC Test;Project Management Professional (PMP);EnglishScore;Product Design</t>
  </si>
  <si>
    <t>FSO.HCM.FHM.JFL</t>
  </si>
  <si>
    <t>Bùi Ngọc Thành</t>
  </si>
  <si>
    <t>user287</t>
  </si>
  <si>
    <t>EnglishScore;Core Designer Certificate;Advanced Designer Certificate;Oracle Cloud Infrastructure for Sunbird Ed Specialty;Certified Tester ISTQB Foundation Level;ISTQB Certified Tester - Foundation Level;ISTQB Certified Tester Advanced Level - Test Analyst</t>
  </si>
  <si>
    <t>Hoàng Thị Thanh</t>
  </si>
  <si>
    <t>user288</t>
  </si>
  <si>
    <t>Advanced Designer Certificate;Software Testing Foundation;EnglishScore;Oracle Cloud Infrastructure 2024 Certified Foundations Associate</t>
  </si>
  <si>
    <t>Nguyễn Hoàng Thanh</t>
  </si>
  <si>
    <t>user289</t>
  </si>
  <si>
    <t>PROFESSIONAL SCRUM MASTER™ II;Salesforce Certified Administrator;Salesforce Certified Sales Cloud Consultant;Certified SAFe 5 Advanced Scrum Master;Project Management Professional (PMP);FSOFT Foreign Language Proficiency Test - TOEIC Test;PMI Agile Certified Practitioner (PMI-ACP)®;Google Cloud Certified Generative AI Leader;PROFESSIONAL SCRUM MASTER™ I</t>
  </si>
  <si>
    <t>Nguyễn Kim Thành</t>
  </si>
  <si>
    <t>user290</t>
  </si>
  <si>
    <t>EnglishScore;Cloud Developer;Advanced Designer Certificate;Core Designer Certificate</t>
  </si>
  <si>
    <t>Vũ Đỗ Phương Thanh</t>
  </si>
  <si>
    <t>user291</t>
  </si>
  <si>
    <t>EnglishScore;ISTQB Certified Tester - Testing with Generative AI (CT-GenAI);SQL;NVIDIA Getting Started with AI on Jetson Nano;ISTQB Certified Tester Advanced Level - Test Analyst;ISTQB Certified Tester - Foundation Level</t>
  </si>
  <si>
    <t>Võ Quang Thành</t>
  </si>
  <si>
    <t>user292</t>
  </si>
  <si>
    <t>EnglishScore;FSOFT Foreign Language Proficiency Test - TOEIC Test;Microsoft Certified Azure DevOps Engineer Expert;Microsoft Certified: Azure Developer Associate</t>
  </si>
  <si>
    <t>Võ Xuân Thành</t>
  </si>
  <si>
    <t>user293</t>
  </si>
  <si>
    <t>Lê Văn Thân</t>
  </si>
  <si>
    <t>user294</t>
  </si>
  <si>
    <t>Dương Thanh Thảo</t>
  </si>
  <si>
    <t>user295</t>
  </si>
  <si>
    <t>Katalon Practitioner Certification;Katalon Professional Level Certification;Katalon Expert Certification;Project Management Professional (PMP);New Relic One Programmability;Full Stack Observability Practitioner Exam;NVIDIA Getting Started with AI on Jetson Nano;Mendix Rapid Developer;Oracle Cloud Infrastructure 2023 AI Certified Foundations Associate;SQL (Advanced);SI Associate Certification Program;EnglishScore</t>
  </si>
  <si>
    <t>Nguyễn Thị Bích Thảo</t>
  </si>
  <si>
    <t>user296</t>
  </si>
  <si>
    <t>PMI Agile Certified Practitioner (PMI-ACP)®;PROFESSIONAL SCRUM MASTER™ II;Project Management Professional (PMP);PROFESSIONAL SCRUM MASTER™ I;EnglishScore;Japanese Language Proficiency Test N2;Program Management Professional (PgMP)®;ISTQB Certified Tester - Foundation Level;FSOFT Foreign Language Proficiency Test - TOEIC Test</t>
  </si>
  <si>
    <t>Phạm Đức Thảo</t>
  </si>
  <si>
    <t>user297</t>
  </si>
  <si>
    <t>Associate Auto Test Engineer</t>
  </si>
  <si>
    <t>NVIDIA Getting Started with AI on Jetson Nano;EnglishScore;React</t>
  </si>
  <si>
    <t>ATES01</t>
  </si>
  <si>
    <t>Trần Thị Phương Thảo</t>
  </si>
  <si>
    <t>user298</t>
  </si>
  <si>
    <t>Japanese Language Proficiency Test N1;Professional Scrum Product Owner I;Core Designer Certificate;EnglishScore;Product Manager;GitHub Copilot;SQL;User Experience</t>
  </si>
  <si>
    <t>Nguyễn Ngọc Thiện</t>
  </si>
  <si>
    <t>user299</t>
  </si>
  <si>
    <t>GitHub Copilot;Google Cloud Certified Generative AI Leader;Japanese Language Proficiency Test N3</t>
  </si>
  <si>
    <t>Vũ Xuân Thiên</t>
  </si>
  <si>
    <t>user300</t>
  </si>
  <si>
    <t>980</t>
  </si>
  <si>
    <t>Core Designer Certificate;Advanced Designer Certificate;Google Cloud Certified  - Associate Cloud Engineer;AWS Certified Data Engineer - Associate;Microsoft Certified: Azure Developer Associate;PMI Agile Certified Practitioner (PMI-ACP)®;AWS Certified Solutions Architect - Associate;Microsoft Certified: Azure Fundamentals;Cloud Architect using Microsoft Azure;EnglishScore;Google Cloud Professional Devops Engineer</t>
  </si>
  <si>
    <t>Nguyễn Thị Bích Thiệt</t>
  </si>
  <si>
    <t>user301</t>
  </si>
  <si>
    <t>480</t>
  </si>
  <si>
    <t>EnglishScore;ISTQB Certified Tester Advanced Level - Test Analyst;FSOFT Foreign Language Proficiency Test - TOEIC Test;ISTQB Certified Tester - Testing with Generative AI (CT-GenAI);ISTQB Certified Tester - Foundation Level;Associate Traditional Web Developer O11;PMI Agile Certified Practitioner (PMI-ACP)®</t>
  </si>
  <si>
    <t>Lương Hà Thi</t>
  </si>
  <si>
    <t>user302</t>
  </si>
  <si>
    <t>Japanese Language Proficiency Test N2;Japanese Language Proficiency Test N3</t>
  </si>
  <si>
    <t>Nguyễn Hồng Thịnh</t>
  </si>
  <si>
    <t>user303</t>
  </si>
  <si>
    <t>Microsoft Certified: Agentic AI Business Solutions Architect;Microsoft Certified: AI Transformation Leader;Oracle Cloud Infrastructure 2025 Certified Foundations Associate;Microsoft Certified: Azure AI Engineer Associate;Microsoft Certified: AI Business Professional;Oracle Cloud Infrastructure 2025 Certified AI Foundations Associate;GitHub Copilot</t>
  </si>
  <si>
    <t>Ngô Nguyễn Quốc Thịnh</t>
  </si>
  <si>
    <t>user304</t>
  </si>
  <si>
    <t>GitHub Copilot;Design for Availability, Reliability, and Resiliency;Cloud Developer;Design for Security;Develop and Deploy Serverless Apps;Data Analyst;AWS Cloud Architect;Monolith to Microservices at Scale;AWS Cloud Fundamentals;Design for Performance and Scalability;Advanced Designer Certificate;TOEIC Listening &amp; Reading;Oracle Cloud Infrastructure for Sunbird Ed Specialty</t>
  </si>
  <si>
    <t>Trần Danh Thịnh</t>
  </si>
  <si>
    <t>user305</t>
  </si>
  <si>
    <t>Lê Nguyễn Thông</t>
  </si>
  <si>
    <t>user306</t>
  </si>
  <si>
    <t>Oracle Cloud Infrastructure 2025 Certified Generative AI Professional;GitHub Copilot;Oracle AI Vector Search Certified Professional;Oracle Cloud Infrastructure 2025 Certified Architect Associate;Claude Certified Architect - Foundations (CCA-F);EnglishScore;Core Designer Certificate;Advanced Designer Certificate</t>
  </si>
  <si>
    <t>Nguyễn Ngọc Thọ</t>
  </si>
  <si>
    <t>user307</t>
  </si>
  <si>
    <t>Google AI Essentials;EnglishScore;Advanced Designer Certificate</t>
  </si>
  <si>
    <t>Lê Tiến Thuận</t>
  </si>
  <si>
    <t>user308</t>
  </si>
  <si>
    <t>Nguyễn Văn Thuận</t>
  </si>
  <si>
    <t>user309</t>
  </si>
  <si>
    <t>EnglishScore;Japanese Language Proficiency Test N3;Effective Problem-Solving and Decision-Making;Japanese Language Proficiency Test N2;Oracle Cloud Infrastructure for Sunbird Ed Specialty;Core Designer Certificate;Advanced Designer Certificate;NVIDIA Getting Started with AI on Jetson Nano;Mendix Rapid Developer</t>
  </si>
  <si>
    <t>Hoàng Khải Thư</t>
  </si>
  <si>
    <t>user310</t>
  </si>
  <si>
    <t>FSOFT Foreign Language Proficiency Test - TOEIC Test;EnglishScore;ISTQB Certified Tester Advanced Level - Test Analyst;ISTQB Certified Tester - Foundation Level;PMI Agile Certified Practitioner (PMI-ACP)®</t>
  </si>
  <si>
    <t>Lê Thị Anh Thư</t>
  </si>
  <si>
    <t>user311</t>
  </si>
  <si>
    <t>EnglishScore;Introduction to Python;Programming for Data Science with Python;GitHub Copilot;ISTQB® Certified Tester - AI Testing (ISTQB CT-AI);Introduction to Version Control;ISTQB Certified Tester - Foundation Level;NVIDIA Getting Started with AI on Jetson Nano;ISTQB advanced level - Test Manager</t>
  </si>
  <si>
    <t>Nguyễn Văn Thường</t>
  </si>
  <si>
    <t>user312</t>
  </si>
  <si>
    <t>NVIDIA Getting Started with AI on Jetson Nano;Google Cloud Certified Generative AI Leader;GitHub Copilot;EnglishScore;React Developer Certified Level 2;Developer Certificate;ML Practitioner Certificate;MLOps Practitioner Certificate;Core Designer Certificate;Advanced Designer Certificate;React Developer Certified Level 3;Advanced Java Programming Techniques;Java Programming;Intermediate JavaScript;Java Fundamentals</t>
  </si>
  <si>
    <t>Nguyễn Văn Hoài Thương</t>
  </si>
  <si>
    <t>user313</t>
  </si>
  <si>
    <t>Phạm Ngọc Minh Thư</t>
  </si>
  <si>
    <t>user314</t>
  </si>
  <si>
    <t>Agile Software Developer;EnglishScore;Core Designer Certificate;Business Analytics;IT Basic for Comtors</t>
  </si>
  <si>
    <t>Cao Thị Phương Thủy</t>
  </si>
  <si>
    <t>user315</t>
  </si>
  <si>
    <t>Microsoft Certified: Azure Developer Associate;Microsoft Certified: Azure Fundamentals;EnglishScore;EnglishScore Speaking -CEFR B1 - Intermediate;GitHub Copilot;Microsoft Certified: DevOps Engineer Expert;PROFESSIONAL SCRUM MASTER™ I;Advanced Designer Certificate;Core Designer Certificate</t>
  </si>
  <si>
    <t>Đoàn Thị Bích Thùy</t>
  </si>
  <si>
    <t>user316</t>
  </si>
  <si>
    <t>EnglishScore;Microsoft Certified: Azure Fundamentals;FSOFT Foreign Language Proficiency Test - TOEIC Test;PROFESSIONAL SCRUM MASTER™ I;Japanese Language Proficiency Test N2;PMI Agile Certified Practitioner (PMI-ACP)®</t>
  </si>
  <si>
    <t>Ngô Thị Bích Thủy</t>
  </si>
  <si>
    <t>user317</t>
  </si>
  <si>
    <t>Phần cứng máy tính;BSQL4T - Basic SQL for Tester;Software Testing Foundation;Software Process Development for Developer - SPD4T;Core Designer Certificate;EnglishScore;FSOFT Foreign Language Proficiency Test - TOEIC Test</t>
  </si>
  <si>
    <t>Phạm Thị Thúy</t>
  </si>
  <si>
    <t>user318</t>
  </si>
  <si>
    <t>EnglishScore;Core Designer Certificate;Advanced Designer Certificate;ISTQB Certified Tester Advanced Level - Test Manager;FSOFT Foreign Language Proficiency Test - TOEIC Test;PMI Agile Certified Practitioner (PMI-ACP)®;Foundation Level Certification in Software Testing;ISTQB Certified Tester Advanced Level - Test Analyst</t>
  </si>
  <si>
    <t>Phan Thị Thúy</t>
  </si>
  <si>
    <t>user319</t>
  </si>
  <si>
    <t>EnglishScore;FSOFT Foreign Language Proficiency Test - TOEIC Test;ISTQB Certified Tester - Foundation Level;Microsoft Technology Associate: Database Fundamentals;ISTQB Certified Tester Advanced Level - Test Analyst;Oracle Cloud Infrastructure for Sunbird Ed Specialty;Enrich skills to succeed - Database Technology</t>
  </si>
  <si>
    <t>Trần Hồ Như Thủy</t>
  </si>
  <si>
    <t>user320</t>
  </si>
  <si>
    <t>Advanced Designer Certificate;Core Designer Certificate;EnglishScore;Cloud Architect using Microsoft Azure;Microsoft Certified Azure DevOps Engineer Expert;Microsoft Certified: Azure Fundamentals;Microsoft Certified: Azure Developer Associate;Microsoft Certified: Azure Data Engineer Associate;Microsoft Certified: Azure Cosmos DB Developer Specialty</t>
  </si>
  <si>
    <t>Trần Thị Thanh Thủy</t>
  </si>
  <si>
    <t>user321</t>
  </si>
  <si>
    <t>IT Terminology Advance 01 of Japanese;EnglishScore;FSOFT Foreign Language Proficiency Test - TOEIC Test</t>
  </si>
  <si>
    <t>CMTE03</t>
  </si>
  <si>
    <t>Châu Vĩnh Tiến</t>
  </si>
  <si>
    <t>user322</t>
  </si>
  <si>
    <t>Claude Certified Architect - Foundations (CCA-F);GitHub Copilot</t>
  </si>
  <si>
    <t>Nguyễn Ngọc Tiến</t>
  </si>
  <si>
    <t>user323</t>
  </si>
  <si>
    <t>EnglishScore;User Experience;Enrich skills to succeed - SQL;SQL (Basic);SQL (Advanced)</t>
  </si>
  <si>
    <t>Nguyễn Thanh Tiến</t>
  </si>
  <si>
    <t>user324</t>
  </si>
  <si>
    <t>Professional Scrum Product Owner I;Certified SAFe 5 Scrum Master;PMI Agile Certified Practitioner (PMI-ACP)®;PROFESSIONAL SCRUM MASTER™ II;Certified SAFe 5 Product Owner/Product Manager;Certified SAFe 5 Agile Product Manager;Certified SAFe 5 Agilist;Certified SAFe 5 Advanced Scrum Master;ISTQB Certified Tester - Foundation Level;Certified SAFe 5 DevOps Practitioner;EnglishScore;GitHub Copilot;FSOFT Foreign Language Proficiency Test - TOEIC Test;AWS Certified Solutions Architect - Associate;AWS Cloud Architect;Product Strategy for Product Managers;Predix Certified Developer;PROFESSIONAL SCRUM MASTER™ I;Cloud Fundamentals;Digital Project Management;Project Management Professional (PMP);Cloud DevOps Engineer</t>
  </si>
  <si>
    <t>Nguyễn Thị Thủy Tiên</t>
  </si>
  <si>
    <t>user325</t>
  </si>
  <si>
    <t>Phan Thị Cẩm Tiên</t>
  </si>
  <si>
    <t>user326</t>
  </si>
  <si>
    <t>Trần Đức Tiến</t>
  </si>
  <si>
    <t>user327</t>
  </si>
  <si>
    <t>Microsoft Certified: Azure Developer Associate;Microsoft Certified: Azure Fundamentals;EnglishScore;Core Designer Certificate;Advanced Designer Certificate;Cloud Developer using Microsoft Azure;Cloud Developer</t>
  </si>
  <si>
    <t>Trương Phước Tiến</t>
  </si>
  <si>
    <t>user328</t>
  </si>
  <si>
    <t>Vũ Thủy Tiên</t>
  </si>
  <si>
    <t>user329</t>
  </si>
  <si>
    <t>PROFESSIONAL SCRUM MASTER™ I;Japanese Language Proficiency Test N2</t>
  </si>
  <si>
    <t>Nguyễn Hữu Tin</t>
  </si>
  <si>
    <t>user330</t>
  </si>
  <si>
    <t>EnglishScore;React</t>
  </si>
  <si>
    <t>Nguyễn Trọng Tín</t>
  </si>
  <si>
    <t>user331</t>
  </si>
  <si>
    <t>Enrich skills to succeed - ReactJS;Japanese Language Proficiency Test N2</t>
  </si>
  <si>
    <t>Đoàn Công Toàn</t>
  </si>
  <si>
    <t>user332</t>
  </si>
  <si>
    <t>Hoàng Mạnh Toàn</t>
  </si>
  <si>
    <t>user333</t>
  </si>
  <si>
    <t>985</t>
  </si>
  <si>
    <t>Hoàng Thị Ngọc Trâm</t>
  </si>
  <si>
    <t>user334</t>
  </si>
  <si>
    <t>Japanese Language Proficiency Test N4;ISTQB Certified Tester - Foundation Level;NVIDIA Getting Started with AI on Jetson Nano;Web Development Fundamentals;HTML;SQL;Python Core;CSS;EnglishScore;ISTQB Certified Tester Advanced Level - Test Analyst;Duolingo Certified Educator;Japanese Language Proficiency Test N5;FSOFT Foreign Language Proficiency Test - TOEIC Test</t>
  </si>
  <si>
    <t>Trần Thị Hương Trầm</t>
  </si>
  <si>
    <t>user335</t>
  </si>
  <si>
    <t>SQL (Basic);Oracle Cloud Data Management 2023 Certified Foundations Associate;Mendix Rapid Developer;Oracle Cloud Infrastructure 2023 AI Certified Foundations Associate;Oracle Cloud Infrastructure 2023 Certified Foundations Associate;Core Designer Certificate;Advanced Designer Certificate;NVIDIA Getting Started with AI on Jetson Nano;FSOFT Foreign Language Proficiency Test - TOEIC Test;EnglishScore;ISTQB Certified Tester - Foundation Level;Japanese Language Proficiency Test N2</t>
  </si>
  <si>
    <t>Ngô Thị Trang</t>
  </si>
  <si>
    <t>user336</t>
  </si>
  <si>
    <t>Excel Skills for Business: Intermediate II;EnglishScore;Core Designer Certificate;Advanced Designer Certificate;Predix Certified Developer</t>
  </si>
  <si>
    <t>Nguyễn Thị Thu Trang</t>
  </si>
  <si>
    <t>user337</t>
  </si>
  <si>
    <t>Project Management Professional (PMP);SQL (Intermediate);NVIDIA Getting Started with AI on Jetson Nano;EnglishScore;Data Analysis and Visualization with Microsoft Power BI;FSOFT Foreign Language Proficiency Test - TOEIC Test;Program Management Professional (PgMP)®</t>
  </si>
  <si>
    <t>Nguyễn Phan Bảo Trân</t>
  </si>
  <si>
    <t>user338</t>
  </si>
  <si>
    <t>Microsoft Certified: AI Business Professional;GitHub Copilot;Microsoft Certified: AI Transformation Leader</t>
  </si>
  <si>
    <t>Hoàng Minh Triết</t>
  </si>
  <si>
    <t>user339</t>
  </si>
  <si>
    <t>Huỳnh Kim Trí</t>
  </si>
  <si>
    <t>user340</t>
  </si>
  <si>
    <t>Oracle Certified Associate, Java SE 8 Programmer I;EnglishScore;React;Core Designer Certificate;Advanced Designer Certificate;Generative AI Practitioner Certificate;ML Practitioner Certificate;MLOps Practitioner Certificate;Generative AI for Software Developers;Enrich skills to succeed - AWS Cloud;Microsoft Certified: Azure Fundamentals;AWS Certified Developer - Associate;AWS Certified Solutions Architect - Associate;Oracle Cloud Infrastructure for Sunbird Ed Specialty;Oracle Cloud Data Management 2023 Certified Foundations Associate;Oracle Cloud Infrastructure 2023 Certified Foundations Associate;Oracle Cloud Infrastructure 2023 AI Certified Foundations Associate</t>
  </si>
  <si>
    <t>Hồ Minh Trí</t>
  </si>
  <si>
    <t>user341</t>
  </si>
  <si>
    <t>FSOFT Foreign Language Proficiency Test - TOEIC Test;EnglishScore</t>
  </si>
  <si>
    <t>EDG 2026</t>
  </si>
  <si>
    <t>Lê Trọng Trí</t>
  </si>
  <si>
    <t>user342</t>
  </si>
  <si>
    <t>SI Associate Certification Program;Google Analytics for Beginners;Advanced Google Analytics;Google Analytics for Power Users;Google Ads - Measurement Certification;Getting Started With Google Analytics 360;Mendix Rapid Developer;Google Ads Search Certification;Shopping ads Certification;Google Ads Apps Certification;Google Ads Display Certification;Google Ads Video Certification;Oracle Cloud Data Management 2023 Certified Foundations Associate;Oracle Cloud Infrastructure 2023 Certified Foundations Associate;The Fundamentals of Digital Marketing;Advanced Designer Certificate;Katalon Practitioner Certification;Katalon Professional Level Certification;EnglishScore;FSOFT Foreign Language Proficiency Test - TOEIC Test;GitHub Copilot</t>
  </si>
  <si>
    <t>EDG</t>
  </si>
  <si>
    <t>FSO.HN.FHN.BU9</t>
  </si>
  <si>
    <t>Nguyễn Đình Trinh</t>
  </si>
  <si>
    <t>user343</t>
  </si>
  <si>
    <t>Agile Software Developer;Business Analytics Nanodegree;EnglishScore;Oracle Cloud Data Management 2023 Certified Foundations Associate;Oracle Cloud Infrastructure 2023 Certified Foundations Associate;Google Analytics Certification;The Fundamentals of Digital Marketing;Advanced Designer Certificate;Core Designer Certificate;Mendix Rapid Developer</t>
  </si>
  <si>
    <t>Nguyễn Minh Trí</t>
  </si>
  <si>
    <t>user344</t>
  </si>
  <si>
    <t>Microsoft Certified: Azure AI Fundamentals</t>
  </si>
  <si>
    <t>Võ Minh Trí</t>
  </si>
  <si>
    <t>user345</t>
  </si>
  <si>
    <t>Microsoft Certified: Azure Fundamentals;Microsoft Certified: Azure AI Engineer Associate;Microsoft Certified: Azure Developer Associate;Microsoft Certified: Azure Data Fundamentals;Oracle Cloud Infrastructure for Sunbird Ed Specialty;Full Stack Observability Practitioner Exam;SI Associate Certification Program;Oracle Cloud Infrastructure 2023 AI Certified Foundations Associate;SQL (Advanced);Oracle Cloud Data Management 2023 Certified Foundations Associate;Oracle Cloud Infrastructure 2023 Certified Foundations Associate;Mendix Rapid Developer;EnglishScore;AWS Cloud Architect;FSOFT Foreign Language Proficiency Test - TOEIC Test;GitHub Copilot</t>
  </si>
  <si>
    <t>Nguyễn Hoàng Trong</t>
  </si>
  <si>
    <t>user346</t>
  </si>
  <si>
    <t>Phan Tuấn Trọng</t>
  </si>
  <si>
    <t>user347</t>
  </si>
  <si>
    <t>AI Programming with Python;Core Designer Certificate;Advanced Designer Certificate;Cloud Architect using Microsoft Azure;EnglishScore;Software Process Development for Developer - SPD4D;Microsoft Certified: Azure Data Engineer Associate;Microsoft Certified: Azure Data Fundamentals;Microsoft Certified: Azure Developer Associate;Microsoft Certified: Azure DevOps Engineer Expert;Enrich skills to succeed - .NET Technology;Microsoft Certified: Azure Fundamentals</t>
  </si>
  <si>
    <t>Lê Trung Trực</t>
  </si>
  <si>
    <t>user348</t>
  </si>
  <si>
    <t>Japanese Language Proficiency Test N2;Oracle Cloud Infrastructure for Sunbird Ed Specialty;Core Designer Certificate;Advanced Designer Certificate;EnglishScore;FSOFT Foreign Language Proficiency Test - TOEIC Test</t>
  </si>
  <si>
    <t>Hoàng Lương Trung</t>
  </si>
  <si>
    <t>user349</t>
  </si>
  <si>
    <t>Angular (Basic);Expert Angular Developer;EnglishScore;ML Practitioner Certificate;Advanced Designer Certificate;Developer Certificate;MLOps Practitioner Certificate;Core Designer Certificate;FSOFT Foreign Language Proficiency Test - TOEIC Test;React;Cloud Developer;Full Stack JavaScript Developer</t>
  </si>
  <si>
    <t>Lê Minh Trung</t>
  </si>
  <si>
    <t>user350</t>
  </si>
  <si>
    <t>385</t>
  </si>
  <si>
    <t>FSOFT Foreign Language Proficiency Test - TOEIC Test;EnglishScore;Server Deployment and Containerization;Cloud DevOps Engineer;TOEIC (Internal);Intermediate Python;Cloud Developer;Advanced Designer Certificate;Core Designer Certificate;NVIDIA Getting Started with AI on Jetson Nano;Professional Scrum Product Owner I;PROFESSIONAL SCRUM MASTER™ I;AWS Certified Solutions Architect - Associate</t>
  </si>
  <si>
    <t>C99.CADS 2026</t>
  </si>
  <si>
    <t>Nguyễn Đức Trung</t>
  </si>
  <si>
    <t>user351</t>
  </si>
  <si>
    <t>PROFESSIONAL SCRUM MASTER™ I;Core Designer Certificate;Advanced Designer Certificate;Alteryx Designer Core Data Manipulation;Alteryx Foundation Micro Credential;Machine Learning Fundamentals;Alteryx Designer Core Data Preparation;Alteryx Designer Core Data Transformation;Oracle Cloud Infrastructure 2023 AI Certified Foundations Associate;NVIDIA Getting Started with AI on Jetson Nano;Data Analyst;EnglishScore;GitHub Copilot;FSOFT Foreign Language Proficiency Test - TOEIC Test;Digital Project Management</t>
  </si>
  <si>
    <t>Nguyễn Quang Trung</t>
  </si>
  <si>
    <t>user352</t>
  </si>
  <si>
    <t>EnglishScore;Japanese Language Proficiency Test N2;Generative AI Practitioner Certificate;Core Designer Certificate;Advanced Designer Certificate;NVIDIA Getting Started with AI on Jetson Nano</t>
  </si>
  <si>
    <t>Nguyễn Thành Trung</t>
  </si>
  <si>
    <t>user353</t>
  </si>
  <si>
    <t>Trần Khắc Trung</t>
  </si>
  <si>
    <t>user354</t>
  </si>
  <si>
    <t>180</t>
  </si>
  <si>
    <t>EnglishScore;Developing ASP.NET MVC Web Applications;FSOFT Foreign Language Proficiency Test - TOEIC Test;Microsoft Certified: Power BI Data Analyst Associate;Microsoft Certified: Azure Security Engineer Associate;Microsoft Certified: Azure Administrator Associate;Microsoft Certified: Azure Developer Associate;Microsoft Certified: Windows Server Hybrid Administrator Associate;Configuring Windows Server Hybrid Advanced Services;Microsoft Certified: Azure Fundamentals;Microsoft Certified: Azure Data Engineer Associate;Microsoft Certified: Azure Database Administrator Associate;Microsoft Certified: Azure Data Fundamentals;Microsoft Certified: Identity and Access Administrator Associate;Microsoft Certified: Azure Solutions Architect Expert;Microsoft Power Platform Solution Architect;Microsoft Certified: Azure Network Engineer Associate;Microsoft Certified: Security Operations Analyst Associate;Microsoft 365 Certified: Fundamentals</t>
  </si>
  <si>
    <t>Trần Minh Trung</t>
  </si>
  <si>
    <t>user355</t>
  </si>
  <si>
    <t>EnglishScore;TOEIC (Internal);Java Programming;SQL;AWS Certified Solutions Architect - Associate;FSOFT Foreign Language Proficiency Test - TOEIC Test;PROFESSIONAL SCRUM MASTER™ I;NVIDIA Getting Started with AI on Jetson Nano</t>
  </si>
  <si>
    <t>Nguyễn Nhựt Trường</t>
  </si>
  <si>
    <t>user356</t>
  </si>
  <si>
    <t>NVIDIA Getting Started with AI on Jetson Nano;Developer Certificate;Advanced Designer Certificate;Core Designer Certificate;Oracle Cloud Infrastructure for Sunbird Ed Specialty;EnglishScore</t>
  </si>
  <si>
    <t>Nguyễn Nhật Trường</t>
  </si>
  <si>
    <t>user357</t>
  </si>
  <si>
    <t>Cloud Data Warehouses with Azure;Advanced Data Wrangling;Data Engineering with Microsoft Azure;EnglishScore;Data Modeling;AWS Certified Solutions Architect - Associate;Design for Security;Spark and Data Lakes;Cloud Data Warehouses;FSOFT Foreign Language Proficiency Test - TOEIC Test;Java Programming;Cloud DevOps Engineer;Data lakes and Lakehouses with Spark and Azure Databricks;Design for Availability, Reliability, and Resiliency;Data Analyst;Automate Data Pipelines;Design for Performance and Scalability;AWS Cloud Architect;Data Pipelines with Azure;Data Engineering with AWS;Oracle Cloud Data Management 2023 Certified Foundations Associate;Oracle Cloud Infrastructure for Sunbird Ed Specialty;Oracle Cloud Infrastructure 2023 Certified Foundations Associate;Advanced Designer Certificate;Core Designer Certificate;AWS Builders Online Series;Developing an Agile Team;Agile with Atlassian Jira</t>
  </si>
  <si>
    <t>Vũ Ngọc Trường</t>
  </si>
  <si>
    <t>user358</t>
  </si>
  <si>
    <t>Đặng Công Tuấn</t>
  </si>
  <si>
    <t>user359</t>
  </si>
  <si>
    <t>Lê Minh Tuấn</t>
  </si>
  <si>
    <t>user360</t>
  </si>
  <si>
    <t>NVIDIA Getting Started with AI on Jetson Nano;Core Designer Certificate;Advanced Designer Certificate;EnglishScore;Cloud Developer;GitHub Copilot;Google Cloud Certified Generative AI Leader;Google Cloud Certified - Associate Cloud Engineer;Cloud DevOps Engineer;AWS Certified Solutions Architect - Associate</t>
  </si>
  <si>
    <t>BODC6</t>
  </si>
  <si>
    <t>Lê Nguyễn Anh Tuấn</t>
  </si>
  <si>
    <t>user361</t>
  </si>
  <si>
    <t>Nguyễn Công Minh Tuấn</t>
  </si>
  <si>
    <t>user362</t>
  </si>
  <si>
    <t>Võ Huỳnh Anh Tuấn</t>
  </si>
  <si>
    <t>user363</t>
  </si>
  <si>
    <t>Lê Trọng Tuấn Tú</t>
  </si>
  <si>
    <t>user364</t>
  </si>
  <si>
    <t>EnglishScore;ISTQB Certified Tester - Foundation Level;ISTQB Foundation Level -  CTFL;Enrich skills to succeed - Software Testing Engineering;Oracle Cloud Infrastructure for Sunbird Ed Specialty;Core Designer Certificate;Mendix Rapid Developer;Advanced Designer Certificate;ISTQB Certified Tester Advanced Level - Test Analyst;ISTQB Certified Tester, Advanced Level - Technical Test Analyst;NVIDIA Getting Started with AI on Jetson Nano;Vietnamese Standardized Test of English Proficiency (VSTEP) - Level 3/CEFR B1;Agile with Atlassian Jira;Account Management &amp; Sales Force Design;AI &amp; LAW;Communication Skills - Learn How To Communicate Effectively (FCU);Change Management;Successful Events: Event Planning, Marketing &amp; Management (Udemy);Business Analysis &amp; Process Management</t>
  </si>
  <si>
    <t>Phạm Thanh Tùng</t>
  </si>
  <si>
    <t>user365</t>
  </si>
  <si>
    <t>PROFESSIONAL SCRUM MASTER™ I;Advanced Designer Certificate;Oracle Cloud Infrastructure 2023 AI Certified Foundations Associate;Oracle Cloud Infrastructure 2023 Certified Foundations Associate;Oracle Cloud Infrastructure for Sunbird Ed Specialty;Oracle Cloud Data Management 2023 Certified Foundations Associate;Introduction to Data Science in Python;AWS Cloud Architect;EnglishScore;Japanese Language Proficiency Test N3;FSOFT Foreign Language Proficiency Test - TOEIC Test</t>
  </si>
  <si>
    <t>Phạm Thị Minh Tú</t>
  </si>
  <si>
    <t>user366</t>
  </si>
  <si>
    <t>Core Designer Certificate;Advanced Designer Certificate;EnglishScore;ISTQB® Certified Tester - AI Testing (ISTQB CT-AI);ISTQB Certified Tester Advanced Level - Test Manager;Microsoft Certified: Azure Data Fundamentals</t>
  </si>
  <si>
    <t>Đỗ Sĩ Tuyển</t>
  </si>
  <si>
    <t>user367</t>
  </si>
  <si>
    <t>Microsoft Certified: Azure Fundamentals;FSOFT Foreign Language Proficiency Test - TOEIC Test;EnglishScore</t>
  </si>
  <si>
    <t>Lê Kim Tuyền</t>
  </si>
  <si>
    <t>user368</t>
  </si>
  <si>
    <t>IELTS 6.0;Japanese Language Proficiency Test N2;PROFESSIONAL SCRUM MASTER™ I;Excel Skills for Business: Intermediate II</t>
  </si>
  <si>
    <t>Nguyễn Hoàng Tuyên</t>
  </si>
  <si>
    <t>user369</t>
  </si>
  <si>
    <t>Nguyễn Lê Phương Uyên</t>
  </si>
  <si>
    <t>user370</t>
  </si>
  <si>
    <t>AI for Everyone;EnglishScore;GitHub Copilot;Cloud Developer using Microsoft Azure;Microsoft Certified: Azure Fundamentals;Microsoft Certified: Azure Developer Associate</t>
  </si>
  <si>
    <t>Nguyễn Thị Kim Uyên</t>
  </si>
  <si>
    <t>user371</t>
  </si>
  <si>
    <t>EnglishScore;ISTQB Certified Tester Advanced Level - Test Analyst;Certified Tester ISTQB Foundation Level</t>
  </si>
  <si>
    <t>Nguyễn Thị Thúy Vân</t>
  </si>
  <si>
    <t>user372</t>
  </si>
  <si>
    <t>Phạm Trọng Văn</t>
  </si>
  <si>
    <t>user373</t>
  </si>
  <si>
    <t>Advanced Designer Certificate;Core Designer Certificate;Oracle Cloud Infrastructure for Sunbird Ed Specialty;EnglishScore;Data Engineering with AWS;Cloud Developer</t>
  </si>
  <si>
    <t>Tăng Tường Vân</t>
  </si>
  <si>
    <t>user374</t>
  </si>
  <si>
    <t>React Developer Certified Level 1;Enrich skills to succeed - Front-end Web Development;Angular Certified Developer;TOEIC Listening &amp; Reading;EnglishScore;React</t>
  </si>
  <si>
    <t>Đặng Triều Vĩ</t>
  </si>
  <si>
    <t>user375</t>
  </si>
  <si>
    <t>EnglishScore;NestJS Fundamentals;Core Designer Certificate;Advanced Designer Certificate</t>
  </si>
  <si>
    <t>Lê Thành Việt</t>
  </si>
  <si>
    <t>user376</t>
  </si>
  <si>
    <t>Lê Triệu Vỉ</t>
  </si>
  <si>
    <t>user377</t>
  </si>
  <si>
    <t>AZ-104:  Azure Administrator Associate;TOEIC Listening &amp; Reading;TOEIC Speaking and Writing;GitHub Copilot</t>
  </si>
  <si>
    <t>Hứa Quốc Vinh</t>
  </si>
  <si>
    <t>user378</t>
  </si>
  <si>
    <t>EnglishScore;Microsoft Certified: Azure Data Fundamentals;Microsoft Certified: Azure Fundamentals;Microsoft Certified: Azure AI Engineer Associate;Microsoft Certified: Azure AI Fundamentals;PROFESSIONAL SCRUM MASTER™ I;Enrich skills to succeed - .NET Technology;Oracle Cloud Infrastructure 2023 AI Certified Foundations Associate;Oracle Cloud Data Management 2023 Certified Foundations Associate;Cloud DevOps Engineer;SQL;Java Programming;Claude Certified Architect - Foundations (CCA-F);Oracle Cloud Infrastructure 2025 Certified Generative AI Professional;AWS Certified AI Practitioner;AWS Certified Machine Learning Engineer - Associate;GitHub Copilot</t>
  </si>
  <si>
    <t>Phan Công Vinh</t>
  </si>
  <si>
    <t>user379</t>
  </si>
  <si>
    <t>Trần Quốc Vinh</t>
  </si>
  <si>
    <t>user380</t>
  </si>
  <si>
    <t>EnglishScore;Databricks Certified Data Engineer Associate;SnowPro Associate: Platform Certification;Preliminary English Test - B2;Microsoft Certified: Azure Data Fundamentals;Microsoft Certified: Azure Fundamentals</t>
  </si>
  <si>
    <t>Vũ Vi Vi</t>
  </si>
  <si>
    <t>user381</t>
  </si>
  <si>
    <t>Châu Hồng Vũ</t>
  </si>
  <si>
    <t>user382</t>
  </si>
  <si>
    <t>Lương Lê Long Vũ</t>
  </si>
  <si>
    <t>user383</t>
  </si>
  <si>
    <t>Nguyễn Văn Vương</t>
  </si>
  <si>
    <t>user384</t>
  </si>
  <si>
    <t>Huỳnh Hoàng Vỹ</t>
  </si>
  <si>
    <t>user385</t>
  </si>
  <si>
    <t>Khương Kim Ái Vy</t>
  </si>
  <si>
    <t>user386</t>
  </si>
  <si>
    <t>Java Fundamentals;JavaScript basics;Python Fundamentals;Basic Algorithms;Oracle Cloud Infrastructure for Sunbird Ed Specialty;Core Designer Certificate;Advanced Designer Certificate;ISTQB Certified Tester Advanced Level - Test Analyst;NVIDIA Getting Started with AI on Jetson Nano;ISTQB Certified Tester - Foundation Level;Enrich skills to succeed - Manual Test;C++ Fundamentals;EnglishScore</t>
  </si>
  <si>
    <t>Trần Khắc Vỹ</t>
  </si>
  <si>
    <t>user387</t>
  </si>
  <si>
    <t>Trần Khánh Vy</t>
  </si>
  <si>
    <t>user388</t>
  </si>
  <si>
    <t>EnglishScore;ISTQB Certified Tester Advanced Level - Test Manager;ISTQB Certified Tester - Testing with Generative AI (CT-GenAI);ISTQB Certified Tester Advanced Level - Test Analyst;Certified Tester ISTQB Foundation Level</t>
  </si>
  <si>
    <t>J_SORAGIFT2</t>
  </si>
  <si>
    <t>Trần Nguyễn Thị Như Ý</t>
  </si>
  <si>
    <t>user389</t>
  </si>
  <si>
    <t>Chinese Proficiency Test HSK (Level 6);Japanese Language Proficiency Test N1</t>
  </si>
  <si>
    <t>no</t>
  </si>
  <si>
    <t>v0.10.5</t>
  </si>
  <si>
    <t>v0.10.8</t>
  </si>
  <si>
    <t>v0.10.10</t>
  </si>
  <si>
    <t>v0.10.12</t>
  </si>
  <si>
    <t>v0.10.13</t>
  </si>
  <si>
    <t>v0.0.15</t>
  </si>
  <si>
    <t>Total Worklog (h)</t>
  </si>
  <si>
    <t>Total</t>
  </si>
  <si>
    <t>unlogged_days</t>
  </si>
  <si>
    <t>8/10</t>
  </si>
  <si>
    <t>8/11</t>
  </si>
  <si>
    <t>8/12</t>
  </si>
  <si>
    <t>8/13</t>
  </si>
  <si>
    <t>8/14</t>
  </si>
  <si>
    <t>8/17</t>
  </si>
  <si>
    <t>8/18</t>
  </si>
  <si>
    <t>8/19</t>
  </si>
  <si>
    <t>8/20</t>
  </si>
  <si>
    <t>8/21</t>
  </si>
  <si>
    <t>8/24</t>
  </si>
  <si>
    <t>8/25</t>
  </si>
  <si>
    <t>8/26</t>
  </si>
  <si>
    <t>8/27</t>
  </si>
  <si>
    <t>8/28</t>
  </si>
  <si>
    <t>9/3</t>
  </si>
  <si>
    <t>9/4</t>
  </si>
  <si>
    <t>AI Certification</t>
  </si>
  <si>
    <t>AI Claude</t>
  </si>
  <si>
    <t>STT</t>
  </si>
  <si>
    <t>training_hours</t>
  </si>
  <si>
    <t>manager_support_score</t>
  </si>
  <si>
    <t>burnout_score</t>
  </si>
  <si>
    <t>engagement_score</t>
  </si>
  <si>
    <t>work_life_balance_score</t>
  </si>
  <si>
    <t>performance_rating</t>
  </si>
  <si>
    <t>last_review_score</t>
  </si>
  <si>
    <t>uses_ai_tools_at_work</t>
  </si>
  <si>
    <t>perceived_ai_job_risk</t>
  </si>
  <si>
    <t>Tran Duc Hien</t>
  </si>
  <si>
    <t>Nguyen Hoang Thong</t>
  </si>
  <si>
    <t>Nguyễn Đình Toại</t>
  </si>
  <si>
    <t>Nguyễn Ngọc Thái Vĩ</t>
  </si>
  <si>
    <t>SYPV1</t>
  </si>
  <si>
    <t>Trần Duy Khánh</t>
  </si>
  <si>
    <t>Tạ Minh Giang</t>
  </si>
  <si>
    <t>Nguyễn Đình Khôi</t>
  </si>
  <si>
    <t>Lê Thị Mỹ Hoa</t>
  </si>
  <si>
    <t>Nguyễn Bình Phương Ana</t>
  </si>
  <si>
    <t xml:space="preserve">Phạm Thị Mỹ Nhung </t>
  </si>
  <si>
    <t>Nguyễn Vĩ Văn</t>
  </si>
  <si>
    <t xml:space="preserve">Nguyễn Văn Minh Huy </t>
  </si>
  <si>
    <t>Lê Nguyễn Hoàng Duy</t>
  </si>
  <si>
    <t>Phạm Thanh Thành Bảo</t>
  </si>
  <si>
    <t>Đỗ Minh Huy</t>
  </si>
  <si>
    <t>Trần Thanh Minh</t>
  </si>
  <si>
    <t xml:space="preserve">Trần Thanh Tâm </t>
  </si>
  <si>
    <t>Lê Minh Tấn</t>
  </si>
  <si>
    <t>Nguyễn Bình Phương Trâm</t>
  </si>
  <si>
    <t>Trần Thị Kim Ngọc</t>
  </si>
  <si>
    <t>Nguyễn Thị Thu Linh</t>
  </si>
  <si>
    <t>OJT - Test</t>
  </si>
  <si>
    <t>No</t>
  </si>
  <si>
    <t>FSU (*)</t>
  </si>
  <si>
    <t>BU (*)</t>
  </si>
  <si>
    <t>Location (*)</t>
  </si>
  <si>
    <t>Certification Full Name (*)</t>
  </si>
  <si>
    <t>Level (*)</t>
  </si>
  <si>
    <t>Priority (*)</t>
  </si>
  <si>
    <t>Provider (*)</t>
  </si>
  <si>
    <t>Link (*)</t>
  </si>
  <si>
    <t>Cost (USD) (*)</t>
  </si>
  <si>
    <t>Num of Certificates (*)</t>
  </si>
  <si>
    <t>List of employees</t>
  </si>
  <si>
    <t>Project code</t>
  </si>
  <si>
    <t>Role of Employees</t>
  </si>
  <si>
    <t>Target Exam Month (*)</t>
  </si>
  <si>
    <t>Why this Certification? (*)</t>
  </si>
  <si>
    <t>Value of this Certificate to FSU (*)</t>
  </si>
  <si>
    <t>Impact if doesnt have this cert (*)</t>
  </si>
  <si>
    <t>Client Name (*)</t>
  </si>
  <si>
    <t>Requested Support from FSA (*)</t>
  </si>
  <si>
    <t>FSU Contact point (*)</t>
  </si>
  <si>
    <t>Approved</t>
  </si>
  <si>
    <t>Target Exam Date (*)</t>
  </si>
  <si>
    <t>AI cert</t>
  </si>
  <si>
    <t>CMS</t>
  </si>
  <si>
    <t>AWS Certified Generative AI Dev</t>
  </si>
  <si>
    <t>Foundation</t>
  </si>
  <si>
    <t>High</t>
  </si>
  <si>
    <t>AWS</t>
  </si>
  <si>
    <t>https://aws.amazon.com/certification/certified-generative-ai-developer-professional/</t>
  </si>
  <si>
    <t>300$</t>
  </si>
  <si>
    <t>us</t>
  </si>
  <si>
    <t>Sep</t>
  </si>
  <si>
    <t xml:space="preserve">Nâng cao năng lực AI </t>
  </si>
  <si>
    <t xml:space="preserve">Chứng minh năng lực với khách hàng </t>
  </si>
  <si>
    <t>FSA supports Exam fee and the registration process</t>
  </si>
  <si>
    <t>PhuNT2</t>
  </si>
  <si>
    <t>FSU sponsor</t>
  </si>
  <si>
    <t>Yes</t>
  </si>
  <si>
    <t>Cloud Engineer</t>
  </si>
  <si>
    <t>Data Engineer</t>
  </si>
  <si>
    <t>Manual Tester</t>
  </si>
  <si>
    <t>Software Developer</t>
  </si>
  <si>
    <t>Oct</t>
  </si>
  <si>
    <t>Aug</t>
  </si>
  <si>
    <t>Dec</t>
  </si>
  <si>
    <t>Nov</t>
  </si>
  <si>
    <t>AI Engineer</t>
  </si>
  <si>
    <t>Engineer</t>
  </si>
  <si>
    <t>Claude Certified Architect - Foundations (CCA-F)</t>
  </si>
  <si>
    <t>Anthropic</t>
  </si>
  <si>
    <t>Claude Certified Architect — Foundations (CCA-F)</t>
  </si>
  <si>
    <t>125$</t>
  </si>
  <si>
    <t>Tester</t>
  </si>
  <si>
    <t>Mobile Developer</t>
  </si>
  <si>
    <t>pro</t>
  </si>
  <si>
    <t>GitHub Copilot Certification (GH-300)</t>
  </si>
  <si>
    <t>GitHub</t>
  </si>
  <si>
    <t>https://learn.microsoft.com/en-us/credentials/certifications/github-copilot/</t>
  </si>
  <si>
    <t>99$</t>
  </si>
  <si>
    <t>Nâng cao năng lực AI và Copilot</t>
  </si>
  <si>
    <t>Thúc đẩy ứng dụng AI trong dự án</t>
  </si>
  <si>
    <t>SE</t>
  </si>
  <si>
    <t>registration_status</t>
  </si>
  <si>
    <t>attendance_rate</t>
  </si>
  <si>
    <t>session_joined</t>
  </si>
  <si>
    <t>session_missed</t>
  </si>
  <si>
    <t>assignment_submission_rate</t>
  </si>
  <si>
    <t>quiz_score</t>
  </si>
  <si>
    <t>certificate_earned</t>
  </si>
  <si>
    <t>feedback_score</t>
  </si>
  <si>
    <t>late_submission_count</t>
  </si>
  <si>
    <t>reminder_count</t>
  </si>
  <si>
    <t>days_to_register</t>
  </si>
  <si>
    <t>activity_score</t>
  </si>
  <si>
    <t>completion_status</t>
  </si>
  <si>
    <t>Registered</t>
  </si>
  <si>
    <t>Completed</t>
  </si>
  <si>
    <t>Not Registered</t>
  </si>
  <si>
    <t>In Progress</t>
  </si>
  <si>
    <t>Dropped</t>
  </si>
  <si>
    <t>Late Registered</t>
  </si>
  <si>
    <t>Allocation Status</t>
  </si>
  <si>
    <t>Note</t>
  </si>
  <si>
    <t>Action</t>
  </si>
  <si>
    <t>Action From</t>
  </si>
  <si>
    <t>Action To</t>
  </si>
  <si>
    <t>Allocation Sep-2026</t>
  </si>
  <si>
    <t>Allocation Oct-2026</t>
  </si>
  <si>
    <t>Allocation Nov-2026</t>
  </si>
  <si>
    <t>Effort Aug-2026</t>
  </si>
  <si>
    <t>Effort Sep-2026</t>
  </si>
  <si>
    <t>Effort Oct-2026</t>
  </si>
  <si>
    <t>Effort Nov-2026</t>
  </si>
  <si>
    <t>Busy rate(%)</t>
  </si>
  <si>
    <t>Customer Code</t>
  </si>
  <si>
    <t>Project Code2</t>
  </si>
  <si>
    <t>17-Aug-26</t>
  </si>
  <si>
    <t>24-Aug-26</t>
  </si>
  <si>
    <t>31-Aug-26</t>
  </si>
  <si>
    <t>07-Sep-26</t>
  </si>
  <si>
    <t>14-Sep-26</t>
  </si>
  <si>
    <t>21-Sep-26</t>
  </si>
  <si>
    <t>AnCCD</t>
  </si>
  <si>
    <t>Allocated</t>
  </si>
  <si>
    <t xml:space="preserve">Nghỉ mát: 11-Aug-2026 ~ 11-Aug-2026 
</t>
  </si>
  <si>
    <t>AnhBT27</t>
  </si>
  <si>
    <t xml:space="preserve">Nghỉ phép: 10-Aug-2026 ~ 10-Aug-2026 
</t>
  </si>
  <si>
    <t>AnhHNM</t>
  </si>
  <si>
    <t>AnhNHK2</t>
  </si>
  <si>
    <t xml:space="preserve">Nghỉ phép: 19-Aug-2026 ~ 19-Aug-2026 
</t>
  </si>
  <si>
    <t>AnhNM64</t>
  </si>
  <si>
    <t>AnhPLT3</t>
  </si>
  <si>
    <t>Not-yet-Planned</t>
  </si>
  <si>
    <t>AnhTQ69</t>
  </si>
  <si>
    <t xml:space="preserve">Nghỉ phép: 12-Aug-2026 ~ 13-Aug-2026 
</t>
  </si>
  <si>
    <t>AnNTD4</t>
  </si>
  <si>
    <t>AnPDT1</t>
  </si>
  <si>
    <t>AnPT9</t>
  </si>
  <si>
    <t xml:space="preserve">Nghỉ phép: 13-Aug-2026 ~ 13-Aug-2026 
Nghỉ phép: 22-Aug-2026 ~ 22-Aug-2026 
</t>
  </si>
  <si>
    <t>AnTVHT</t>
  </si>
  <si>
    <t xml:space="preserve">Nghỉ kết hôn: 30-Jul-2026 ~ 03-Aug-2026 
Nghỉ phép: 14-Aug-2026 ~ 14-Aug-2026 
Nghỉ phép: 13-Aug-2026 ~ 13-Aug-2026 
</t>
  </si>
  <si>
    <t>AnVG1</t>
  </si>
  <si>
    <t>BachLX5</t>
  </si>
  <si>
    <t>BangPC</t>
  </si>
  <si>
    <t xml:space="preserve">Nghỉ phép: 17-Aug-2026 ~ 17-Aug-2026 
Nghỉ phép: 14-Aug-2026 ~ 14-Aug-2026 
</t>
  </si>
  <si>
    <t>BaoDT3</t>
  </si>
  <si>
    <t xml:space="preserve">Nghỉ phép: 03-Aug-2026 ~ 03-Aug-2026 
Nghỉ phép: 10-Aug-2026 ~ 10-Aug-2026 
Nghỉ mát: 26-Aug-2026 ~ 28-Aug-2026 
Nghỉ phép: 18-Aug-2026 ~ 18-Aug-2026 
</t>
  </si>
  <si>
    <t xml:space="preserve">Nghỉ mát: 31-Jul-2026 ~ 04-Aug-2026 
</t>
  </si>
  <si>
    <t>BaoPH6</t>
  </si>
  <si>
    <t xml:space="preserve">Nghỉ phép: 14-Aug-2026 ~ 14-Aug-2026 
</t>
  </si>
  <si>
    <t>BaoPTH</t>
  </si>
  <si>
    <t>BaoTG22</t>
  </si>
  <si>
    <t>BaoTH1</t>
  </si>
  <si>
    <t>BaoTLC2</t>
  </si>
  <si>
    <t>BaoVQ6</t>
  </si>
  <si>
    <t>BinhLT62</t>
  </si>
  <si>
    <t xml:space="preserve">Nghỉ phép: 06-Aug-2026 ~ 06-Aug-2026 
Nghỉ phép: 14-Aug-2026 ~ 14-Aug-2026 
Nghỉ phép: 20-Aug-2026 ~ 20-Aug-2026 
</t>
  </si>
  <si>
    <t>BinhTT12</t>
  </si>
  <si>
    <t>ByaYI3</t>
  </si>
  <si>
    <t>ChanhDM</t>
  </si>
  <si>
    <t>ChanNNB</t>
  </si>
  <si>
    <t xml:space="preserve">Nghỉ mát: 06-Aug-2026 ~ 10-Aug-2026 
Nghỉ phép: 21-Aug-2026 ~ 21-Aug-2026 
</t>
  </si>
  <si>
    <t>ChiLTX</t>
  </si>
  <si>
    <t>ChinhDN</t>
  </si>
  <si>
    <t>ChinhNN7</t>
  </si>
  <si>
    <t>ChungLT3</t>
  </si>
  <si>
    <t xml:space="preserve">Nghỉ mát: 06-Aug-2026 ~ 10-Aug-2026 
Nghỉ phép: 11-Aug-2026 ~ 11-Aug-2026 
</t>
  </si>
  <si>
    <t>CuongDHT1</t>
  </si>
  <si>
    <t>CuongDM5</t>
  </si>
  <si>
    <t>Overhead</t>
  </si>
  <si>
    <t xml:space="preserve">Nghỉ phép: 07-Aug-2026 ~ 07-Aug-2026 
</t>
  </si>
  <si>
    <t>CuongNK21</t>
  </si>
  <si>
    <t>DacNC</t>
  </si>
  <si>
    <t xml:space="preserve">Nghỉ phép: 22-Aug-2026 ~ 22-Aug-2026 
</t>
  </si>
  <si>
    <t>DaiMT</t>
  </si>
  <si>
    <t xml:space="preserve">Nghỉ phép: 07-Aug-2026 ~ 07-Aug-2026 
Nghỉ mát: 13-Aug-2026 ~ 13-Aug-2026 
</t>
  </si>
  <si>
    <t>DaiNM</t>
  </si>
  <si>
    <t>DaiPV14</t>
  </si>
  <si>
    <t>DangLC1</t>
  </si>
  <si>
    <t xml:space="preserve">Nghỉ phép: 18-Aug-2026 ~ 18-Aug-2026 
Nghỉ phép: 04-Aug-2026 ~ 04-Aug-2026 
</t>
  </si>
  <si>
    <t>DangNHH</t>
  </si>
  <si>
    <t>DangPH3</t>
  </si>
  <si>
    <t xml:space="preserve">Nghỉ mát: 03-Sep-2026 ~ 07-Sep-2026 
</t>
  </si>
  <si>
    <t>DanhND5</t>
  </si>
  <si>
    <t>DatCT1</t>
  </si>
  <si>
    <t>DatHC5</t>
  </si>
  <si>
    <t>DatLHD1</t>
  </si>
  <si>
    <t>DatND8</t>
  </si>
  <si>
    <t>DatNLT1</t>
  </si>
  <si>
    <t>DatTB</t>
  </si>
  <si>
    <t xml:space="preserve">Nghỉ mát: 05-Aug-2026 ~ 07-Aug-2026 
</t>
  </si>
  <si>
    <t>DatTQ4</t>
  </si>
  <si>
    <t>DiemNTT2</t>
  </si>
  <si>
    <t>DinhTV8</t>
  </si>
  <si>
    <t>DongTV2</t>
  </si>
  <si>
    <t>DongVSG</t>
  </si>
  <si>
    <t>DucTQ11</t>
  </si>
  <si>
    <t xml:space="preserve">Nghỉ phép: 10-Aug-2026 ~ 11-Aug-2026 
</t>
  </si>
  <si>
    <t>DungMT4</t>
  </si>
  <si>
    <t>DungPN2</t>
  </si>
  <si>
    <t>DuongDT8</t>
  </si>
  <si>
    <t>DuongDVT</t>
  </si>
  <si>
    <t>DuongND23</t>
  </si>
  <si>
    <t>DuongNT46</t>
  </si>
  <si>
    <t xml:space="preserve">Nghỉ phép: 17-Aug-2026 ~ 17-Aug-2026 
Nghỉ mát: 10-Sep-2026 ~ 14-Sep-2026 
</t>
  </si>
  <si>
    <t>DuongQHQ1</t>
  </si>
  <si>
    <t>DuyLD1</t>
  </si>
  <si>
    <t>DUYNH</t>
  </si>
  <si>
    <t xml:space="preserve">Nghỉ phép: 10-Aug-2026 ~ 10-Aug-2026 
Nghỉ phép: 22-Aug-2026 ~ 22-Aug-2026 
</t>
  </si>
  <si>
    <t>DuyPV18</t>
  </si>
  <si>
    <t>DuyTQ</t>
  </si>
  <si>
    <t>DuyVP1</t>
  </si>
  <si>
    <t>DuyVT7</t>
  </si>
  <si>
    <t>GiangNNT4</t>
  </si>
  <si>
    <t>GiangPT20</t>
  </si>
  <si>
    <t>HaiLM5</t>
  </si>
  <si>
    <t xml:space="preserve">Nghỉ mát: 03-Aug-2026 ~ 04-Aug-2026 
Nghỉ kết hôn: 02-Nov-2026 ~ 04-Nov-2026 
Nghỉ phép: 05-Nov-2026 ~ 06-Nov-2026 
</t>
  </si>
  <si>
    <t>HaiNH73</t>
  </si>
  <si>
    <t>HaiNLT2</t>
  </si>
  <si>
    <t xml:space="preserve">Nghỉ phép: 06-Aug-2026 ~ 06-Aug-2026 
Nghỉ phép: 17-Aug-2026 ~ 17-Aug-2026 
Nghỉ phép: 13-Aug-2026 ~ 13-Aug-2026 
</t>
  </si>
  <si>
    <t>HaiNP13</t>
  </si>
  <si>
    <t>HAINT87</t>
  </si>
  <si>
    <t>HaiTN34</t>
  </si>
  <si>
    <t xml:space="preserve">Nghỉ phép: 26-Aug-2026 ~ 26-Aug-2026 
Nghỉ phép: 28-Aug-2026 ~ 28-Aug-2026 
</t>
  </si>
  <si>
    <t xml:space="preserve">Nghỉ phép: 28-Aug-2026 ~ 28-Aug-2026 
</t>
  </si>
  <si>
    <t>HangLTT6</t>
  </si>
  <si>
    <t>HANHBT4</t>
  </si>
  <si>
    <t xml:space="preserve">Nghỉ phép: 03-Aug-2026 ~ 03-Aug-2026 
</t>
  </si>
  <si>
    <t>HanhVTK</t>
  </si>
  <si>
    <t>HaNN15</t>
  </si>
  <si>
    <t xml:space="preserve">Nghỉ phép: 03-Aug-2026 ~ 03-Aug-2026 
Nghỉ phép: 10-Aug-2026 ~ 10-Aug-2026 
</t>
  </si>
  <si>
    <t>HaNNT18</t>
  </si>
  <si>
    <t>HaoTPV</t>
  </si>
  <si>
    <t>HauHTC</t>
  </si>
  <si>
    <t>HauNN8</t>
  </si>
  <si>
    <t>HienVTN</t>
  </si>
  <si>
    <t xml:space="preserve">Nghỉ mát: 13-Aug-2026 ~ 17-Aug-2026 
</t>
  </si>
  <si>
    <t>HiepTS1</t>
  </si>
  <si>
    <t>HieuNQM</t>
  </si>
  <si>
    <t>HoangDH7</t>
  </si>
  <si>
    <t>HoangHKB</t>
  </si>
  <si>
    <t>HoangNH24</t>
  </si>
  <si>
    <t>HoangNM22</t>
  </si>
  <si>
    <t>HoangNV102</t>
  </si>
  <si>
    <t>HOANGPH29</t>
  </si>
  <si>
    <t xml:space="preserve">Nghỉ mát: 28-Aug-2026 ~ 04-Sep-2026 
</t>
  </si>
  <si>
    <t>HoangVV15</t>
  </si>
  <si>
    <t>HoaPD7</t>
  </si>
  <si>
    <t>HongNT10</t>
  </si>
  <si>
    <t xml:space="preserve">Nghỉ phép: 21-Aug-2026 ~ 21-Aug-2026 
Nghỉ mát: 28-Aug-2026 ~ 04-Sep-2026 
</t>
  </si>
  <si>
    <t>HongNT6</t>
  </si>
  <si>
    <t xml:space="preserve">Nghỉ mát: 12-Aug-2026 ~ 14-Aug-2026 
Nghỉ phép: 17-Sep-2026 ~ 18-Sep-2026 
</t>
  </si>
  <si>
    <t>HongNTD1</t>
  </si>
  <si>
    <t>Maternity</t>
  </si>
  <si>
    <t xml:space="preserve">Nghỉ sinh con thứ 2: 29-Jul-2026 ~ 27-Feb-2027 
</t>
  </si>
  <si>
    <t>HueNT22</t>
  </si>
  <si>
    <t xml:space="preserve">Nghỉ mát: 12-Aug-2026 ~ 14-Aug-2026 
</t>
  </si>
  <si>
    <t>HueTTM2</t>
  </si>
  <si>
    <t>HungHNP1</t>
  </si>
  <si>
    <t xml:space="preserve">Nghỉ phép: 18-Aug-2026 ~ 18-Aug-2026 
</t>
  </si>
  <si>
    <t>HungND146</t>
  </si>
  <si>
    <t>HungND52</t>
  </si>
  <si>
    <t>HungNH63</t>
  </si>
  <si>
    <t>HungNV240</t>
  </si>
  <si>
    <t>HungPNV1</t>
  </si>
  <si>
    <t>HungTQ24</t>
  </si>
  <si>
    <t xml:space="preserve">Nghỉ mát: 14-Aug-2026 ~ 14-Aug-2026 
</t>
  </si>
  <si>
    <t>HungTT23</t>
  </si>
  <si>
    <t>HuongHBL1</t>
  </si>
  <si>
    <t xml:space="preserve">Nghỉ phép: 04-Aug-2026 ~ 04-Aug-2026 
Nghỉ phép: 22-Aug-2026 ~ 22-Aug-2026 
</t>
  </si>
  <si>
    <t>HuongHTT18</t>
  </si>
  <si>
    <t xml:space="preserve">Nghỉ phép: 07-Aug-2026 ~ 07-Aug-2026 
Nghỉ phép: 14-Aug-2026 ~ 14-Aug-2026 
</t>
  </si>
  <si>
    <t>HuuDN</t>
  </si>
  <si>
    <t xml:space="preserve">Nghỉ phép: 11-Aug-2026 ~ 11-Aug-2026 
</t>
  </si>
  <si>
    <t>HuyBQ3</t>
  </si>
  <si>
    <t>HuyenNPT1</t>
  </si>
  <si>
    <t>HuyLM4</t>
  </si>
  <si>
    <t>HuyNDD</t>
  </si>
  <si>
    <t xml:space="preserve">Nghỉ phép: 11-Aug-2026 ~ 11-Aug-2026 
Nghỉ phép: 22-Aug-2026 ~ 22-Aug-2026 
</t>
  </si>
  <si>
    <t>HuyNHQ3</t>
  </si>
  <si>
    <t>HuyNQ10</t>
  </si>
  <si>
    <t>HuyPL1</t>
  </si>
  <si>
    <t>KhaND9</t>
  </si>
  <si>
    <t>KHANGNV9</t>
  </si>
  <si>
    <t>KhanhBDB</t>
  </si>
  <si>
    <t xml:space="preserve">Nghỉ phép: 13-Aug-2026 ~ 13-Aug-2026 
</t>
  </si>
  <si>
    <t>KhanhBV</t>
  </si>
  <si>
    <t>KhanhKQ</t>
  </si>
  <si>
    <t>KhanhNV20</t>
  </si>
  <si>
    <t>KhiemTC</t>
  </si>
  <si>
    <t>KhoaMA1</t>
  </si>
  <si>
    <t>KhoaND104</t>
  </si>
  <si>
    <t>KhoaND33</t>
  </si>
  <si>
    <t xml:space="preserve">Nghỉ mát: 20-Aug-2026 ~ 22-Aug-2026 
</t>
  </si>
  <si>
    <t>KhoaVM3</t>
  </si>
  <si>
    <t>KhoiMM</t>
  </si>
  <si>
    <t>KhoiNM13</t>
  </si>
  <si>
    <t xml:space="preserve">Nghỉ phép: 12-Aug-2026 ~ 12-Aug-2026 
Nghỉ phép: 03-Sep-2026 ~ 04-Sep-2026 
Nghỉ phép: 14-Aug-2026 ~ 14-Aug-2026 
</t>
  </si>
  <si>
    <t>KhoiPD10</t>
  </si>
  <si>
    <t>KhuongNH</t>
  </si>
  <si>
    <t>KhuongNHQ</t>
  </si>
  <si>
    <t xml:space="preserve">Nghỉ mát: 14-Aug-2026 ~ 17-Aug-2026 
</t>
  </si>
  <si>
    <t>KienTN2</t>
  </si>
  <si>
    <t xml:space="preserve">Nghỉ phép: 14-Sep-2026 ~ 14-Sep-2026 
Nghỉ mát: 15-Sep-2026 ~ 17-Sep-2026 
</t>
  </si>
  <si>
    <t>KietDT16</t>
  </si>
  <si>
    <t>KietNT15</t>
  </si>
  <si>
    <t>KietTA7</t>
  </si>
  <si>
    <t xml:space="preserve">Nghỉ mát: 03-Sep-2026 ~ 03-Sep-2026 
Nghỉ phép: 04-Sep-2026 ~ 04-Sep-2026 
</t>
  </si>
  <si>
    <t>KimNTT</t>
  </si>
  <si>
    <t>KimTHB</t>
  </si>
  <si>
    <t>KyTD2</t>
  </si>
  <si>
    <t xml:space="preserve">Nghỉ không lương: 11-Aug-2026 ~ 11-Aug-2026 
</t>
  </si>
  <si>
    <t>LamTT13</t>
  </si>
  <si>
    <t>LamTT7</t>
  </si>
  <si>
    <t>LeTTN1</t>
  </si>
  <si>
    <t>LienPT11</t>
  </si>
  <si>
    <t xml:space="preserve">Nghỉ phép: 07-Aug-2026 ~ 07-Aug-2026 
Nghỉ phép: 10-Aug-2026 ~ 10-Aug-2026 
Nghỉ phép: 17-Aug-2026 ~ 17-Aug-2026 
</t>
  </si>
  <si>
    <t>LieuTTH</t>
  </si>
  <si>
    <t>Idle</t>
  </si>
  <si>
    <t>LinhBY1</t>
  </si>
  <si>
    <t xml:space="preserve">Nghỉ phép: 21-Aug-2026 ~ 22-Aug-2026 
</t>
  </si>
  <si>
    <t>LinhHM9</t>
  </si>
  <si>
    <t>LinhLB1</t>
  </si>
  <si>
    <t>LINHLTD5</t>
  </si>
  <si>
    <t xml:space="preserve">Nghỉ mát: 31-Jul-2026 ~ 04-Aug-2026 
Nghỉ phép: 10-Aug-2026 ~ 10-Aug-2026 
Nghỉ phép: 02-Nov-2026 ~ 05-Nov-2026 
Nghỉ không lương: 06-Nov-2026 ~ 06-Nov-2026 
</t>
  </si>
  <si>
    <t>LinhNQ1</t>
  </si>
  <si>
    <t>LinhNT253</t>
  </si>
  <si>
    <t xml:space="preserve">Transfer To EC:  16-Dec-2026 
</t>
  </si>
  <si>
    <t>Transfer to EC</t>
  </si>
  <si>
    <t>LinhNTT16</t>
  </si>
  <si>
    <t xml:space="preserve">Nghỉ mát: 10-Aug-2026 ~ 12-Aug-2026 
</t>
  </si>
  <si>
    <t>LinhPVT</t>
  </si>
  <si>
    <t>LinhTD12</t>
  </si>
  <si>
    <t>LinhVH2</t>
  </si>
  <si>
    <t>Un-paid leave</t>
  </si>
  <si>
    <t xml:space="preserve">Tạm hoãn hợp đồng: 13-Jul-2026 ~ 30-Sep-2026 
</t>
  </si>
  <si>
    <t>LocNT26</t>
  </si>
  <si>
    <t xml:space="preserve">Tạm hoãn hợp đồng: 10-Jun-2026 ~ 09-Sep-2026 
</t>
  </si>
  <si>
    <t>LOCNT35</t>
  </si>
  <si>
    <t xml:space="preserve">Nghỉ mát: 03-Aug-2026 ~ 05-Aug-2026 
</t>
  </si>
  <si>
    <t>LocTPT</t>
  </si>
  <si>
    <t>LoiDV4</t>
  </si>
  <si>
    <t>LoiHH1</t>
  </si>
  <si>
    <t>LoiNLT1</t>
  </si>
  <si>
    <t>LongLH23</t>
  </si>
  <si>
    <t>LongNDH</t>
  </si>
  <si>
    <t>LongPQ3</t>
  </si>
  <si>
    <t xml:space="preserve">Nghỉ phép: 06-Aug-2026 ~ 06-Aug-2026 
Nghỉ phép: 10-Aug-2026 ~ 11-Aug-2026 
</t>
  </si>
  <si>
    <t>LoonLF</t>
  </si>
  <si>
    <t>LuanNV39</t>
  </si>
  <si>
    <t>LuongND1</t>
  </si>
  <si>
    <t>LuotVV1</t>
  </si>
  <si>
    <t>LyBTT1</t>
  </si>
  <si>
    <t>MaiNTP3</t>
  </si>
  <si>
    <t>MAINTT35</t>
  </si>
  <si>
    <t>MaiTP1</t>
  </si>
  <si>
    <t>ManhPV9</t>
  </si>
  <si>
    <t xml:space="preserve">Nghỉ phép: 14-Aug-2026 ~ 14-Aug-2026 
Nghỉ phép: 22-Aug-2026 ~ 22-Aug-2026 
</t>
  </si>
  <si>
    <t>MinhDL8</t>
  </si>
  <si>
    <t>MinhDN12</t>
  </si>
  <si>
    <t>MinhLH6</t>
  </si>
  <si>
    <t>MinhNA2</t>
  </si>
  <si>
    <t xml:space="preserve">Nghỉ mát: 26-Aug-2026 ~ 28-Aug-2026 
</t>
  </si>
  <si>
    <t>MinhNC48</t>
  </si>
  <si>
    <t>MinhNL4</t>
  </si>
  <si>
    <t>MinhNN62</t>
  </si>
  <si>
    <t xml:space="preserve">Nghỉ mát: 15-Aug-2026 ~ 16-Aug-2026 
Nghỉ mát: 28-Aug-2026 ~ 04-Sep-2026 
</t>
  </si>
  <si>
    <t>MinhVD4</t>
  </si>
  <si>
    <t xml:space="preserve">Nghỉ phép: 03-Sep-2026 ~ 04-Sep-2026 
Nghỉ phép: 14-Aug-2026 ~ 14-Aug-2026 
</t>
  </si>
  <si>
    <t>MinhVN4</t>
  </si>
  <si>
    <t>MiNVH</t>
  </si>
  <si>
    <t>MYDTN3</t>
  </si>
  <si>
    <t xml:space="preserve">Nghỉ khám thai: 03-Aug-2026 ~ 03-Aug-2026 
Transfer To EC:  16-Dec-2026 
</t>
  </si>
  <si>
    <t>MyNNT8</t>
  </si>
  <si>
    <t>MyVTM2</t>
  </si>
  <si>
    <t>NamNH124</t>
  </si>
  <si>
    <t>NamNT51</t>
  </si>
  <si>
    <t>NamTN6</t>
  </si>
  <si>
    <t>NgaNT58</t>
  </si>
  <si>
    <t xml:space="preserve">Nghỉ phép: 03-Sep-2026 ~ 04-Sep-2026 
</t>
  </si>
  <si>
    <t>NghiaNP</t>
  </si>
  <si>
    <t xml:space="preserve">Nghỉ mát: 03-Aug-2026 ~ 04-Aug-2026 
Nghỉ phép: 20-Aug-2026 ~ 20-Aug-2026 
</t>
  </si>
  <si>
    <t>NghiaNT38</t>
  </si>
  <si>
    <t>NghiaNT4</t>
  </si>
  <si>
    <t xml:space="preserve">Nghỉ phép: 03-Aug-2026 ~ 03-Aug-2026 
Nghỉ mát: 26-Aug-2026 ~ 28-Aug-2026 
</t>
  </si>
  <si>
    <t>NghiaVLA1</t>
  </si>
  <si>
    <t>NgocLLB3</t>
  </si>
  <si>
    <t>NguyenCD</t>
  </si>
  <si>
    <t>NguyenDTD</t>
  </si>
  <si>
    <t>NguyenT5</t>
  </si>
  <si>
    <t>NhanHNT1</t>
  </si>
  <si>
    <t>NhanNP1</t>
  </si>
  <si>
    <t>NhanTC2</t>
  </si>
  <si>
    <t xml:space="preserve">Nghỉ phép: 21-Aug-2026 ~ 21-Aug-2026 
</t>
  </si>
  <si>
    <t>NhanVC</t>
  </si>
  <si>
    <t>NhatDM16</t>
  </si>
  <si>
    <t>NhatNL10</t>
  </si>
  <si>
    <t>NhatNQ6</t>
  </si>
  <si>
    <t>NhiDTM1</t>
  </si>
  <si>
    <t xml:space="preserve">Nghỉ phép: 17-Aug-2026 ~ 17-Aug-2026 
</t>
  </si>
  <si>
    <t xml:space="preserve">Nghỉ phép: 06-Aug-2026 ~ 06-Aug-2026 
</t>
  </si>
  <si>
    <t>NhuLTC2</t>
  </si>
  <si>
    <t xml:space="preserve">Nghỉ phép: 03-Aug-2026 ~ 06-Aug-2026 
</t>
  </si>
  <si>
    <t>NhungNTH30</t>
  </si>
  <si>
    <t>NhuNH4</t>
  </si>
  <si>
    <t>NhuNP1</t>
  </si>
  <si>
    <t>NhuTNT2</t>
  </si>
  <si>
    <t>OanhNTK4</t>
  </si>
  <si>
    <t xml:space="preserve">Leaving: 31-Aug-2026 
Nghỉ mát: 25-Aug-2026 ~ 27-Aug-2026 
Nghỉ phép: 28-Aug-2026 ~ 28-Aug-2026 
</t>
  </si>
  <si>
    <t>Leaving</t>
  </si>
  <si>
    <t>PhatCT</t>
  </si>
  <si>
    <t>PhatLH5</t>
  </si>
  <si>
    <t>PhiDH1</t>
  </si>
  <si>
    <t>PhiMHN</t>
  </si>
  <si>
    <t>PhiNHA</t>
  </si>
  <si>
    <t>PhongLT45</t>
  </si>
  <si>
    <t>PhongND20</t>
  </si>
  <si>
    <t>PhucHM1</t>
  </si>
  <si>
    <t>PhucHN2</t>
  </si>
  <si>
    <t>PhucLNT</t>
  </si>
  <si>
    <t xml:space="preserve">Nghỉ phép: 03-Sep-2026 ~ 03-Sep-2026 
</t>
  </si>
  <si>
    <t>PhucNH124</t>
  </si>
  <si>
    <t>PhucNM22</t>
  </si>
  <si>
    <t>PhucPT7</t>
  </si>
  <si>
    <t>PhucTH66</t>
  </si>
  <si>
    <t>PhuHDG1</t>
  </si>
  <si>
    <t>PhuNT13</t>
  </si>
  <si>
    <t xml:space="preserve">Nghỉ mát: 31-Jul-2026 ~ 03-Aug-2026 
</t>
  </si>
  <si>
    <t>PhuocCH</t>
  </si>
  <si>
    <t xml:space="preserve">Nghỉ mát: 03-Sep-2026 ~ 07-Sep-2026 
Nghỉ phép: 18-Aug-2026 ~ 18-Aug-2026 
Nghỉ phép: 19-Aug-2026 ~ 19-Aug-2026 
</t>
  </si>
  <si>
    <t>PhuocDL2</t>
  </si>
  <si>
    <t>PhuongHH1</t>
  </si>
  <si>
    <t>PhuongNTM18</t>
  </si>
  <si>
    <t>PhuTT1</t>
  </si>
  <si>
    <t>QuangHT14</t>
  </si>
  <si>
    <t>QuangNM30</t>
  </si>
  <si>
    <t>QuanLM11</t>
  </si>
  <si>
    <t>QuanNH99</t>
  </si>
  <si>
    <t>QUANTN4</t>
  </si>
  <si>
    <t>QuocDA1</t>
  </si>
  <si>
    <t>QuyenLT3</t>
  </si>
  <si>
    <t>QuyHH</t>
  </si>
  <si>
    <t xml:space="preserve">Nghỉ phép: 24-Aug-2026 ~ 24-Aug-2026 
</t>
  </si>
  <si>
    <t>QuynhTLN</t>
  </si>
  <si>
    <t>SangDVT1</t>
  </si>
  <si>
    <t xml:space="preserve">Nghỉ phép: 22-Aug-2026 ~ 22-Aug-2026 
Nghỉ phép: 03-Sep-2026 ~ 04-Sep-2026 
</t>
  </si>
  <si>
    <t>SangNT7</t>
  </si>
  <si>
    <t xml:space="preserve">Nghỉ phép: 03-Aug-2026 ~ 03-Aug-2026 
Nghỉ mát: 03-Sep-2026 ~ 04-Sep-2026 
</t>
  </si>
  <si>
    <t>SangTQ14</t>
  </si>
  <si>
    <t xml:space="preserve">Nghỉ phép: 17-Aug-2026 ~ 18-Aug-2026 
Nghỉ phép: 19-Aug-2026 ~ 19-Aug-2026 
</t>
  </si>
  <si>
    <t>SonNT67</t>
  </si>
  <si>
    <t>SonTN10</t>
  </si>
  <si>
    <t>SonTN44</t>
  </si>
  <si>
    <t>SonVT37</t>
  </si>
  <si>
    <t>SUONGLTK1</t>
  </si>
  <si>
    <t>SuongNTT2</t>
  </si>
  <si>
    <t xml:space="preserve">Nghỉ không lương: 29-Jul-2026 ~ 07-Aug-2026 
</t>
  </si>
  <si>
    <t>TaiLV4</t>
  </si>
  <si>
    <t>TaiNH19</t>
  </si>
  <si>
    <t xml:space="preserve">Nghỉ phép: 04-Aug-2026 ~ 04-Aug-2026 
Nghỉ phép: 26-Aug-2026 ~ 26-Aug-2026 
Nghỉ không lương: 03-Sep-2026 ~ 04-Sep-2026 
Nghỉ phép: 14-Aug-2026 ~ 14-Aug-2026 
</t>
  </si>
  <si>
    <t>TaiTS</t>
  </si>
  <si>
    <t>TamNH9</t>
  </si>
  <si>
    <t>TamNTT6</t>
  </si>
  <si>
    <t>TamTP1</t>
  </si>
  <si>
    <t>TanDN6</t>
  </si>
  <si>
    <t>TanHN16</t>
  </si>
  <si>
    <t>TANNN44</t>
  </si>
  <si>
    <t>TanPT2</t>
  </si>
  <si>
    <t>ThaiNHQ4</t>
  </si>
  <si>
    <t xml:space="preserve">Nghỉ phép: 06-Aug-2026 ~ 06-Aug-2026 
Nghỉ phép: 05-Aug-2026 ~ 05-Aug-2026 
</t>
  </si>
  <si>
    <t>ThaiTM</t>
  </si>
  <si>
    <t>ThaiVDQ2</t>
  </si>
  <si>
    <t>ThamNTH</t>
  </si>
  <si>
    <t>ThangTN3</t>
  </si>
  <si>
    <t>ThanhBN10</t>
  </si>
  <si>
    <t>ThanhHT19</t>
  </si>
  <si>
    <t xml:space="preserve">Nghỉ mát: 17-Aug-2026 ~ 19-Aug-2026 
</t>
  </si>
  <si>
    <t>ThanhNH7</t>
  </si>
  <si>
    <t>ThanhNK15</t>
  </si>
  <si>
    <t>ThanhVDP</t>
  </si>
  <si>
    <t>ThanhVQ</t>
  </si>
  <si>
    <t>ThanhVX5</t>
  </si>
  <si>
    <t>ThaoDT24</t>
  </si>
  <si>
    <t>ThaoNTB</t>
  </si>
  <si>
    <t>ThaoPD5</t>
  </si>
  <si>
    <t>ThaoTTP2</t>
  </si>
  <si>
    <t>ThienNN25</t>
  </si>
  <si>
    <t>ThienVX</t>
  </si>
  <si>
    <t>ThietNTB</t>
  </si>
  <si>
    <t>ThinhNH39</t>
  </si>
  <si>
    <t>ThinhNNQ</t>
  </si>
  <si>
    <t>ThinhTD18</t>
  </si>
  <si>
    <t xml:space="preserve">Nghỉ phép: 05-Aug-2026 ~ 05-Aug-2026 
Nghỉ mát: 17-Aug-2026 ~ 17-Aug-2026 
</t>
  </si>
  <si>
    <t>ThongLN</t>
  </si>
  <si>
    <t xml:space="preserve">Nghỉ phép: 11-Aug-2026 ~ 11-Aug-2026 
Nghỉ không lương: 17-Aug-2026 ~ 17-Aug-2026 
Nghỉ không lương: 20-Aug-2026 ~ 20-Aug-2026 
</t>
  </si>
  <si>
    <t>ThoNN8</t>
  </si>
  <si>
    <t>ThuanLT22</t>
  </si>
  <si>
    <t xml:space="preserve">Leaving: 03-Sep-2026 
</t>
  </si>
  <si>
    <t>ThuanNV6</t>
  </si>
  <si>
    <t>ThuHK</t>
  </si>
  <si>
    <t>ThuLTA2</t>
  </si>
  <si>
    <t>ThuongNV22</t>
  </si>
  <si>
    <t>ThuongNVH7</t>
  </si>
  <si>
    <t>ThuPNM</t>
  </si>
  <si>
    <t>ThuyCTP3</t>
  </si>
  <si>
    <t>ThuyDTB</t>
  </si>
  <si>
    <t>ThuyNTB4</t>
  </si>
  <si>
    <t>ThuyPT14</t>
  </si>
  <si>
    <t xml:space="preserve">Nghỉ sinh con (sinh một): 14-May-2026 ~ 13-Nov-2026 
</t>
  </si>
  <si>
    <t>ThuyPT20</t>
  </si>
  <si>
    <t xml:space="preserve">Nghỉ mát: 07-Aug-2026 ~ 11-Aug-2026 
</t>
  </si>
  <si>
    <t>ThuyTHN</t>
  </si>
  <si>
    <t>ThuyTTT14</t>
  </si>
  <si>
    <t>TienCV8</t>
  </si>
  <si>
    <t>TienNN8</t>
  </si>
  <si>
    <t>TienNT7</t>
  </si>
  <si>
    <t xml:space="preserve">Nghỉ mát: 10-Aug-2026 ~ 10-Aug-2026 
</t>
  </si>
  <si>
    <t>TienTD6</t>
  </si>
  <si>
    <t xml:space="preserve">Nghỉ mát: 11-Aug-2026 ~ 13-Aug-2026 
Nghỉ phép: 14-Aug-2026 ~ 14-Aug-2026 
</t>
  </si>
  <si>
    <t>TienTP4</t>
  </si>
  <si>
    <t>TienVT13</t>
  </si>
  <si>
    <t>TinNH7</t>
  </si>
  <si>
    <t>TinNT30</t>
  </si>
  <si>
    <t>ToanDC3</t>
  </si>
  <si>
    <t>ToanHM11</t>
  </si>
  <si>
    <t xml:space="preserve">Leaving: 31-Jul-2026 
</t>
  </si>
  <si>
    <t>TramHTN</t>
  </si>
  <si>
    <t xml:space="preserve">Nghỉ phép: 17-Aug-2026 ~ 17-Aug-2026 
Nghỉ phép: 22-Aug-2026 ~ 22-Aug-2026 
</t>
  </si>
  <si>
    <t>TramTTH1</t>
  </si>
  <si>
    <t>TrangNT1</t>
  </si>
  <si>
    <t>TrangNTT42</t>
  </si>
  <si>
    <t xml:space="preserve">Nghỉ mát: 13-Aug-2026 ~ 17-Aug-2026 
Nghỉ phép: 19-Aug-2026 ~ 19-Aug-2026 
</t>
  </si>
  <si>
    <t>TranNPB3</t>
  </si>
  <si>
    <t>TrietHM4</t>
  </si>
  <si>
    <t>TriHK</t>
  </si>
  <si>
    <t>TriHM6</t>
  </si>
  <si>
    <t xml:space="preserve">Leaving: 08-Sep-2026 
</t>
  </si>
  <si>
    <t>TriLT3</t>
  </si>
  <si>
    <t>TrinhND5</t>
  </si>
  <si>
    <t>TriNM81</t>
  </si>
  <si>
    <t>TriVM2</t>
  </si>
  <si>
    <t>TrongNH20</t>
  </si>
  <si>
    <t>TrongPT</t>
  </si>
  <si>
    <t>TrucLT1</t>
  </si>
  <si>
    <t xml:space="preserve">Nghỉ mát: 10-Aug-2026 ~ 11-Aug-2026 
Nghỉ phép: 20-Aug-2026 ~ 20-Aug-2026 
</t>
  </si>
  <si>
    <t>TrungHL1</t>
  </si>
  <si>
    <t>TrungLM2</t>
  </si>
  <si>
    <t>TrungND12</t>
  </si>
  <si>
    <t>TrungNQ67</t>
  </si>
  <si>
    <t>TrungNT232</t>
  </si>
  <si>
    <t xml:space="preserve">Nghỉ phép: 25-Aug-2026 ~ 26-Aug-2026 
</t>
  </si>
  <si>
    <t>TRUNGTK</t>
  </si>
  <si>
    <t>TRUNGTM6</t>
  </si>
  <si>
    <t>TruongNN42</t>
  </si>
  <si>
    <t xml:space="preserve">Nghỉ phép: 12-Aug-2026 ~ 14-Aug-2026 
</t>
  </si>
  <si>
    <t>TruongNN7</t>
  </si>
  <si>
    <t>TruongVN1</t>
  </si>
  <si>
    <t>TuanDC10</t>
  </si>
  <si>
    <t>TuanLM15</t>
  </si>
  <si>
    <t>TuanLNA2</t>
  </si>
  <si>
    <t>TuanNCM1</t>
  </si>
  <si>
    <t>TULTT2</t>
  </si>
  <si>
    <t>TungPT29</t>
  </si>
  <si>
    <t>TuPTM4</t>
  </si>
  <si>
    <t>TuyenDS1</t>
  </si>
  <si>
    <t>TuyenLK3</t>
  </si>
  <si>
    <t xml:space="preserve">Nghỉ phép: 22-Aug-2026 ~ 22-Aug-2026 
Transfer To EC:  16-Dec-2026 
</t>
  </si>
  <si>
    <t>UyenNLP</t>
  </si>
  <si>
    <t>UyenNTK</t>
  </si>
  <si>
    <t xml:space="preserve">Nghỉ mát: 17-Aug-2026 ~ 17-Aug-2026 
</t>
  </si>
  <si>
    <t>VanNTT102</t>
  </si>
  <si>
    <t>VanPT35</t>
  </si>
  <si>
    <t>VanTT10</t>
  </si>
  <si>
    <t>ViDT9</t>
  </si>
  <si>
    <t>VietLT10</t>
  </si>
  <si>
    <t>ViLT14</t>
  </si>
  <si>
    <t xml:space="preserve">Nghỉ phép: 03-Sep-2026 ~ 03-Sep-2026 
Nghỉ phép: 04-Sep-2026 ~ 04-Sep-2026 
</t>
  </si>
  <si>
    <t>VinhHQ5</t>
  </si>
  <si>
    <t>VinhPC2</t>
  </si>
  <si>
    <t>VinhTQ21</t>
  </si>
  <si>
    <t>ViVV4</t>
  </si>
  <si>
    <t xml:space="preserve">Nghỉ mát: 03-Sep-2026 ~ 03-Sep-2026 
</t>
  </si>
  <si>
    <t>VuLLL1</t>
  </si>
  <si>
    <t>VuongNV15</t>
  </si>
  <si>
    <t>VyHH</t>
  </si>
  <si>
    <t>VyKKA</t>
  </si>
  <si>
    <t>VyTK11</t>
  </si>
  <si>
    <t>VyTK3</t>
  </si>
  <si>
    <t xml:space="preserve">Leaving: 24-Aug-2026 
</t>
  </si>
  <si>
    <t>YTNTN3</t>
  </si>
  <si>
    <t>Project_001</t>
  </si>
  <si>
    <t>Project_002</t>
  </si>
  <si>
    <t>Project_003</t>
  </si>
  <si>
    <t>Project_004</t>
  </si>
  <si>
    <t>Project_005</t>
  </si>
  <si>
    <t>Project_006</t>
  </si>
  <si>
    <t>Project_007</t>
  </si>
  <si>
    <t>Project_008</t>
  </si>
  <si>
    <t>Project_009</t>
  </si>
  <si>
    <t>Project_010</t>
  </si>
  <si>
    <t>Project_011</t>
  </si>
  <si>
    <t>Project_012</t>
  </si>
  <si>
    <t>Project_013</t>
  </si>
  <si>
    <t>Project_014</t>
  </si>
  <si>
    <t>Project_015</t>
  </si>
  <si>
    <t>Project_016</t>
  </si>
  <si>
    <t>Project_017</t>
  </si>
  <si>
    <t>Project_018</t>
  </si>
  <si>
    <t>Project_019</t>
  </si>
  <si>
    <t>Project_020</t>
  </si>
  <si>
    <t>Project_021</t>
  </si>
  <si>
    <t>Project_022</t>
  </si>
  <si>
    <t>Project_023</t>
  </si>
  <si>
    <t>Project_024</t>
  </si>
  <si>
    <t>Project_025</t>
  </si>
  <si>
    <t>Project_026</t>
  </si>
  <si>
    <t>Project_027</t>
  </si>
  <si>
    <t>Project_028</t>
  </si>
  <si>
    <t>Project_029</t>
  </si>
  <si>
    <t>Project_030</t>
  </si>
  <si>
    <t>Project_031</t>
  </si>
  <si>
    <t>Project_032</t>
  </si>
  <si>
    <t>Project_033</t>
  </si>
  <si>
    <t>Project_034</t>
  </si>
  <si>
    <t>Project_035</t>
  </si>
  <si>
    <t>Project_036</t>
  </si>
  <si>
    <t>Project_037</t>
  </si>
  <si>
    <t>Project_038</t>
  </si>
  <si>
    <t>Project_039</t>
  </si>
  <si>
    <t>Project_040</t>
  </si>
  <si>
    <t>Project_041</t>
  </si>
  <si>
    <t>Project_042</t>
  </si>
  <si>
    <t>Project_043</t>
  </si>
  <si>
    <t>Project_044</t>
  </si>
  <si>
    <t>Project_045</t>
  </si>
  <si>
    <t>Project_046</t>
  </si>
  <si>
    <t>Project_047</t>
  </si>
  <si>
    <t>Project_048</t>
  </si>
  <si>
    <t>Project_049</t>
  </si>
  <si>
    <t>Project_050</t>
  </si>
  <si>
    <t>Project_051</t>
  </si>
  <si>
    <t>Project_052</t>
  </si>
  <si>
    <t>Customer_001</t>
  </si>
  <si>
    <t>Customer_002</t>
  </si>
  <si>
    <t>Customer_003</t>
  </si>
  <si>
    <t>Customer_004</t>
  </si>
  <si>
    <t>Customer_005</t>
  </si>
  <si>
    <t>Customer_006</t>
  </si>
  <si>
    <t>Customer_007</t>
  </si>
  <si>
    <t>Customer_008</t>
  </si>
  <si>
    <t>Customer_009</t>
  </si>
  <si>
    <t>Customer_010</t>
  </si>
  <si>
    <t>Customer_011</t>
  </si>
  <si>
    <t>Customer_012</t>
  </si>
  <si>
    <t>Customer_013</t>
  </si>
  <si>
    <t>Customer_014</t>
  </si>
  <si>
    <t>Customer_015</t>
  </si>
  <si>
    <t>Customer_016</t>
  </si>
  <si>
    <t>Customer_017</t>
  </si>
  <si>
    <t>Customer_018</t>
  </si>
  <si>
    <t>Customer_019</t>
  </si>
  <si>
    <t>Customer_020</t>
  </si>
  <si>
    <t>Customer_021</t>
  </si>
  <si>
    <t>Customer_022</t>
  </si>
  <si>
    <t>Customer_023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</si>
</sst>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m/d;@"/>
    <numFmt numFmtId="166" formatCode="mmmm\ dd\,\ yyyy"/>
  </numFmts>
  <fonts count="23">
    <font>
      <sz val="11"/>
      <color theme="1"/>
      <name val="Calibri"/>
      <family val="2"/>
      <scheme val="minor"/>
    </font>
    <font>
      <sz val="10"/>
      <color rgb="FF000000"/>
      <name val="游ゴシック"/>
      <family val="2"/>
      <scheme val="minor"/>
    </font>
    <font>
      <b/>
      <sz val="11"/>
      <color indexed="9"/>
      <name val="Times New Roman"/>
    </font>
    <font>
      <sz val="1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rgb="FF000000"/>
      <name val="Times New Roman"/>
    </font>
    <font>
      <b/>
      <sz val="14"/>
      <color theme="1"/>
      <name val="Times New Roman"/>
    </font>
    <font>
      <sz val="11"/>
      <color rgb="FF000000"/>
      <name val="Calibri"/>
      <charset val="1"/>
    </font>
    <font>
      <sz val="11"/>
      <color rgb="FF000000"/>
      <name val="Times New Roman"/>
      <charset val="1"/>
    </font>
    <font>
      <sz val="11"/>
      <color rgb="FF000000"/>
      <name val="Times New Roman"/>
    </font>
    <font>
      <b/>
      <sz val="11"/>
      <color theme="0"/>
      <name val="Times New Roman"/>
    </font>
    <font>
      <b/>
      <sz val="12"/>
      <color theme="1"/>
      <name val="Times New Roman"/>
    </font>
    <font>
      <b/>
      <sz val="12"/>
      <color theme="0"/>
      <name val="Times New Roman"/>
    </font>
    <font>
      <b/>
      <sz val="12"/>
      <color theme="1"/>
      <name val="Times New Roman"/>
      <scheme val="minor"/>
    </font>
    <font>
      <sz val="12"/>
      <color theme="1"/>
      <name val="Times New Roman"/>
    </font>
    <font>
      <u/>
      <sz val="11"/>
      <color theme="10"/>
      <name val="Calibri"/>
      <family val="2"/>
      <scheme val="minor"/>
    </font>
    <font>
      <sz val="11"/>
      <color theme="1"/>
      <name val="Segoe UI"/>
      <charset val="1"/>
    </font>
    <font>
      <b/>
      <sz val="12"/>
      <color indexed="9"/>
      <name val="Times New Roman"/>
    </font>
    <font>
      <b/>
      <sz val="10"/>
      <color rgb="FFFFFFFF"/>
      <name val="Times New Roman"/>
    </font>
    <font>
      <b/>
      <sz val="10"/>
      <color rgb="FF000000"/>
      <name val="Times New Roman"/>
    </font>
    <font>
      <u/>
      <sz val="11"/>
      <color theme="10"/>
      <name val="Times New Roman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56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52"/>
      </patternFill>
    </fill>
    <fill>
      <patternFill patternType="solid">
        <fgColor rgb="FF1F4E7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11" borderId="8" xfId="0" applyFont="1" applyFill="1" applyBorder="1" applyAlignment="1">
      <alignment horizontal="left" vertical="center"/>
    </xf>
    <xf numFmtId="166" fontId="3" fillId="11" borderId="8" xfId="0" applyNumberFormat="1" applyFont="1" applyFill="1" applyBorder="1" applyAlignment="1">
      <alignment horizontal="left" vertical="top"/>
    </xf>
    <xf numFmtId="4" fontId="3" fillId="11" borderId="8" xfId="0" applyNumberFormat="1" applyFont="1" applyFill="1" applyBorder="1" applyAlignment="1">
      <alignment horizontal="right" vertical="top"/>
    </xf>
    <xf numFmtId="4" fontId="3" fillId="12" borderId="8" xfId="0" applyNumberFormat="1" applyFont="1" applyFill="1" applyBorder="1" applyAlignment="1">
      <alignment horizontal="right" vertical="top"/>
    </xf>
    <xf numFmtId="0" fontId="3" fillId="12" borderId="8" xfId="0" applyFont="1" applyFill="1" applyBorder="1" applyAlignment="1">
      <alignment horizontal="left" vertical="center"/>
    </xf>
    <xf numFmtId="0" fontId="3" fillId="13" borderId="8" xfId="0" applyFont="1" applyFill="1" applyBorder="1" applyAlignment="1">
      <alignment horizontal="left" vertical="center"/>
    </xf>
    <xf numFmtId="3" fontId="3" fillId="11" borderId="9" xfId="0" applyNumberFormat="1" applyFont="1" applyFill="1" applyBorder="1" applyAlignment="1">
      <alignment horizontal="center" vertical="center"/>
    </xf>
    <xf numFmtId="4" fontId="3" fillId="11" borderId="10" xfId="0" applyNumberFormat="1" applyFont="1" applyFill="1" applyBorder="1" applyAlignment="1">
      <alignment horizontal="right" vertical="top"/>
    </xf>
    <xf numFmtId="0" fontId="2" fillId="10" borderId="11" xfId="0" applyFont="1" applyFill="1" applyBorder="1" applyAlignment="1">
      <alignment horizontal="center" vertical="top"/>
    </xf>
    <xf numFmtId="0" fontId="2" fillId="10" borderId="12" xfId="0" applyFont="1" applyFill="1" applyBorder="1" applyAlignment="1">
      <alignment horizontal="center" vertical="top"/>
    </xf>
    <xf numFmtId="0" fontId="2" fillId="10" borderId="13" xfId="0" applyFont="1" applyFill="1" applyBorder="1" applyAlignment="1">
      <alignment horizontal="center" vertical="top"/>
    </xf>
    <xf numFmtId="3" fontId="3" fillId="11" borderId="14" xfId="0" applyNumberFormat="1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left" vertical="center"/>
    </xf>
    <xf numFmtId="166" fontId="3" fillId="11" borderId="15" xfId="0" applyNumberFormat="1" applyFont="1" applyFill="1" applyBorder="1" applyAlignment="1">
      <alignment horizontal="left" vertical="top"/>
    </xf>
    <xf numFmtId="4" fontId="3" fillId="11" borderId="15" xfId="0" applyNumberFormat="1" applyFont="1" applyFill="1" applyBorder="1" applyAlignment="1">
      <alignment horizontal="right" vertical="top"/>
    </xf>
    <xf numFmtId="4" fontId="3" fillId="12" borderId="15" xfId="0" applyNumberFormat="1" applyFont="1" applyFill="1" applyBorder="1" applyAlignment="1">
      <alignment horizontal="right" vertical="top"/>
    </xf>
    <xf numFmtId="4" fontId="3" fillId="11" borderId="16" xfId="0" applyNumberFormat="1" applyFont="1" applyFill="1" applyBorder="1" applyAlignment="1">
      <alignment horizontal="right" vertical="top"/>
    </xf>
    <xf numFmtId="3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66" fontId="3" fillId="11" borderId="1" xfId="0" applyNumberFormat="1" applyFont="1" applyFill="1" applyBorder="1" applyAlignment="1">
      <alignment horizontal="left" vertical="top"/>
    </xf>
    <xf numFmtId="0" fontId="2" fillId="10" borderId="17" xfId="0" applyFont="1" applyFill="1" applyBorder="1" applyAlignment="1">
      <alignment horizontal="center" vertical="top"/>
    </xf>
    <xf numFmtId="0" fontId="2" fillId="10" borderId="18" xfId="0" applyFont="1" applyFill="1" applyBorder="1" applyAlignment="1">
      <alignment horizontal="center" vertical="top"/>
    </xf>
    <xf numFmtId="0" fontId="3" fillId="11" borderId="12" xfId="0" applyFont="1" applyFill="1" applyBorder="1" applyAlignment="1">
      <alignment horizontal="left" vertical="center"/>
    </xf>
    <xf numFmtId="166" fontId="3" fillId="11" borderId="12" xfId="0" applyNumberFormat="1" applyFont="1" applyFill="1" applyBorder="1" applyAlignment="1">
      <alignment horizontal="left" vertical="top"/>
    </xf>
    <xf numFmtId="0" fontId="4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10" borderId="18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11" borderId="1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4" fillId="2" borderId="3" xfId="0" applyFont="1" applyFill="1" applyBorder="1"/>
    <xf numFmtId="0" fontId="7" fillId="0" borderId="1" xfId="0" applyFont="1" applyBorder="1"/>
    <xf numFmtId="0" fontId="7" fillId="0" borderId="4" xfId="0" applyFont="1" applyBorder="1"/>
    <xf numFmtId="0" fontId="7" fillId="2" borderId="1" xfId="0" applyFont="1" applyFill="1" applyBorder="1"/>
    <xf numFmtId="0" fontId="7" fillId="2" borderId="4" xfId="0" applyFont="1" applyFill="1" applyBorder="1"/>
    <xf numFmtId="0" fontId="7" fillId="0" borderId="3" xfId="0" applyFont="1" applyBorder="1"/>
    <xf numFmtId="0" fontId="7" fillId="2" borderId="3" xfId="0" applyFont="1" applyFill="1" applyBorder="1"/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wrapText="1"/>
    </xf>
    <xf numFmtId="2" fontId="5" fillId="4" borderId="0" xfId="0" applyNumberFormat="1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3" xfId="0" applyFont="1" applyBorder="1"/>
    <xf numFmtId="3" fontId="3" fillId="11" borderId="8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" fillId="2" borderId="2" xfId="0" applyFont="1" applyFill="1" applyBorder="1"/>
    <xf numFmtId="0" fontId="9" fillId="0" borderId="0" xfId="0" applyFont="1"/>
    <xf numFmtId="3" fontId="3" fillId="11" borderId="7" xfId="0" applyNumberFormat="1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horizontal="left" vertical="center" wrapText="1"/>
    </xf>
    <xf numFmtId="3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11" fillId="0" borderId="0" xfId="0" applyFont="1"/>
    <xf numFmtId="0" fontId="5" fillId="0" borderId="1" xfId="0" applyFont="1" applyBorder="1" applyAlignment="1">
      <alignment vertical="center"/>
    </xf>
    <xf numFmtId="166" fontId="3" fillId="11" borderId="3" xfId="0" applyNumberFormat="1" applyFont="1" applyFill="1" applyBorder="1" applyAlignment="1">
      <alignment horizontal="left" vertical="top"/>
    </xf>
    <xf numFmtId="0" fontId="5" fillId="0" borderId="7" xfId="0" applyFont="1" applyBorder="1"/>
    <xf numFmtId="0" fontId="3" fillId="11" borderId="3" xfId="0" applyFont="1" applyFill="1" applyBorder="1" applyAlignment="1">
      <alignment horizontal="left" vertical="center"/>
    </xf>
    <xf numFmtId="0" fontId="10" fillId="0" borderId="1" xfId="0" applyFont="1" applyBorder="1"/>
    <xf numFmtId="0" fontId="3" fillId="11" borderId="13" xfId="0" applyFont="1" applyFill="1" applyBorder="1" applyAlignment="1">
      <alignment horizontal="left" vertical="center"/>
    </xf>
    <xf numFmtId="0" fontId="5" fillId="0" borderId="5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1" fillId="0" borderId="1" xfId="0" applyFont="1" applyBorder="1"/>
    <xf numFmtId="0" fontId="2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 wrapText="1"/>
    </xf>
    <xf numFmtId="0" fontId="12" fillId="9" borderId="17" xfId="0" applyFont="1" applyFill="1" applyBorder="1" applyAlignment="1">
      <alignment horizontal="center" vertical="top"/>
    </xf>
    <xf numFmtId="0" fontId="12" fillId="9" borderId="1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2" fontId="0" fillId="4" borderId="19" xfId="0" applyNumberFormat="1" applyFill="1" applyBorder="1" applyAlignment="1">
      <alignment horizontal="center" vertical="center"/>
    </xf>
    <xf numFmtId="2" fontId="0" fillId="5" borderId="19" xfId="0" applyNumberForma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165" fontId="13" fillId="9" borderId="0" xfId="0" applyNumberFormat="1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center" vertical="center"/>
    </xf>
    <xf numFmtId="0" fontId="16" fillId="0" borderId="0" xfId="0" applyFont="1"/>
    <xf numFmtId="3" fontId="3" fillId="11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10" borderId="7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8" fillId="0" borderId="0" xfId="0" applyFont="1"/>
    <xf numFmtId="0" fontId="3" fillId="11" borderId="8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top"/>
    </xf>
    <xf numFmtId="0" fontId="19" fillId="16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16" fillId="0" borderId="1" xfId="0" applyFont="1" applyBorder="1"/>
    <xf numFmtId="0" fontId="16" fillId="5" borderId="1" xfId="0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0" fontId="20" fillId="14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2" fillId="0" borderId="1" xfId="1" applyFont="1" applyBorder="1" applyAlignment="1"/>
    <xf numFmtId="0" fontId="5" fillId="0" borderId="0" xfId="0" applyFont="1" applyAlignment="1">
      <alignment horizontal="center"/>
    </xf>
    <xf numFmtId="0" fontId="8" fillId="6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42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66" formatCode="mmmm\ dd\,\ yyyy"/>
      <fill>
        <patternFill patternType="solid">
          <fgColor indexed="64"/>
          <bgColor indexed="9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Times New Roman"/>
        <scheme val="none"/>
      </font>
      <fill>
        <patternFill patternType="solid">
          <fgColor indexed="64"/>
          <bgColor indexed="56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0"/>
        </patternFill>
      </fill>
      <alignment horizontal="center" vertical="center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name val="Times New Roman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name val="Times New Roman"/>
      </font>
      <numFmt numFmtId="164" formatCode="[$-409]d\-mmm;@"/>
      <alignment wrapText="1"/>
    </dxf>
    <dxf>
      <font>
        <name val="Times New Roman"/>
      </font>
      <numFmt numFmtId="0" formatCode="General"/>
      <alignment horizontal="center" vertical="bottom" textRotation="0" wrapText="0" indent="0" justifyLastLine="0" shrinkToFit="0" readingOrder="0"/>
    </dxf>
    <dxf>
      <font>
        <name val="Times New Roman"/>
      </font>
    </dxf>
    <dxf>
      <font>
        <name val="Times New Roman"/>
      </font>
      <numFmt numFmtId="165" formatCode="m/d;@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inor"/>
      </font>
      <numFmt numFmtId="165" formatCode="m/d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66" formatCode="mmmm\ dd\,\ yyyy"/>
      <fill>
        <patternFill patternType="solid">
          <fgColor indexed="64"/>
          <bgColor indexed="9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auto="1"/>
        </top>
        <bottom style="thin">
          <color indexed="8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Times New Roman"/>
        <scheme val="none"/>
      </font>
      <fill>
        <patternFill patternType="solid">
          <fgColor indexed="64"/>
          <bgColor indexed="56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259824-E9A0-41B0-A1EA-FC2915F407DA}" name="Table24" displayName="Table24" ref="A1:Y390" totalsRowShown="0" headerRowDxfId="97" dataDxfId="96" headerRowBorderDxfId="94" tableBorderDxfId="95" totalsRowBorderDxfId="93">
  <autoFilter ref="A1:Y390" xr:uid="{FBB06565-C2F9-47A2-8F30-D6C3C23E23F7}"/>
  <tableColumns count="25">
    <tableColumn id="1" xr3:uid="{76A8F86C-4E79-4E5E-A4A9-BA989E52C1EF}" name="No " dataDxfId="92"/>
    <tableColumn id="2" xr3:uid="{0FB3BD06-8565-4C40-A127-02E41F25546D}" name="Full Name" dataDxfId="91"/>
    <tableColumn id="3" xr3:uid="{F58FD1F1-2C61-431E-9E55-1A2779F5153D}" name="Account" dataDxfId="90"/>
    <tableColumn id="4" xr3:uid="{0388D5BE-A005-4906-8EDA-FCC26E351076}" name="Contract Type" dataDxfId="89"/>
    <tableColumn id="5" xr3:uid="{451C0127-2D1B-489F-BA84-D48B7ACD2260}" name="Hire Date" dataDxfId="88"/>
    <tableColumn id="6" xr3:uid="{044DBAED-F515-485E-942C-776F3BC38DBF}" name="Job Title" dataDxfId="87"/>
    <tableColumn id="7" xr3:uid="{0659CAA5-C49D-44E2-B2FF-87B6D46AAFD4}" name="Toeic Score" dataDxfId="86"/>
    <tableColumn id="8" xr3:uid="{717FDD62-0B83-4BCD-A377-ECAEC2BA149A}" name="Certificates" dataDxfId="85"/>
    <tableColumn id="9" xr3:uid="{F1F60158-2945-4A82-B3C2-CAB7F2FC8E99}" name="Department" dataDxfId="84"/>
    <tableColumn id="10" xr3:uid="{EED1FA39-6AD3-4E1E-87F2-482956A88110}" name="Location" dataDxfId="83"/>
    <tableColumn id="11" xr3:uid="{27B8888C-67AB-457B-A237-A42CFF3B4C93}" name="Parent Department" dataDxfId="82"/>
    <tableColumn id="12" xr3:uid="{6BCB93B9-D004-4F96-A5AC-4B6A17D0E2F2}" name="Child Department" dataDxfId="81"/>
    <tableColumn id="13" xr3:uid="{24326B4B-57B7-4A15-AEE4-E5C08F932209}" name="Main Skill" dataDxfId="80"/>
    <tableColumn id="14" xr3:uid="{F3CD75CF-BBD4-4993-8438-87F0C36BE52A}" name="Seniority(Main)" dataDxfId="79"/>
    <tableColumn id="15" xr3:uid="{92195332-F750-4F4C-BCC3-BD22BD3D9902}" name="Current Skill" dataDxfId="78"/>
    <tableColumn id="16" xr3:uid="{870CED2A-0113-4C21-8DCD-6607DA67DB4F}" name="Seniority(Current)" dataDxfId="77"/>
    <tableColumn id="22" xr3:uid="{4BE78E7F-A124-4571-8F90-DE5A75E9A8CD}" name="Job Rank" dataDxfId="76"/>
    <tableColumn id="31" xr3:uid="{618AD41A-3409-4DF4-B1EF-308486CC7F81}" name="Customer Co" dataDxfId="75"/>
    <tableColumn id="20" xr3:uid="{A6CF34DC-8F59-4B6B-8924-C2CD8BA4DC05}" name="Customer code" dataDxfId="74">
      <calculatedColumnFormula>VLOOKUP(R2,Customer_Mapping!A:B,2,FALSE)</calculatedColumnFormula>
    </tableColumn>
    <tableColumn id="32" xr3:uid="{2921DEE1-65E7-46EC-9D49-EE3527619BD2}" name="Project Dept" dataDxfId="73"/>
    <tableColumn id="45" xr3:uid="{EADD6B6B-8F1E-4418-A23D-795235F8FBEF}" name="Project co" dataDxfId="72"/>
    <tableColumn id="33" xr3:uid="{A0DD8125-8382-47CB-B152-CFB1AF358B19}" name="Project Co2" dataDxfId="71"/>
    <tableColumn id="18" xr3:uid="{11DA4210-C748-47C8-AEDF-D85600F5D101}" name="Project Code3" dataDxfId="70">
      <calculatedColumnFormula>IF(U2="","",IFERROR(_xlfn.XLOOKUP(U2,Mapping!$A:$A,Mapping!$B:$B),""))</calculatedColumnFormula>
    </tableColumn>
    <tableColumn id="19" xr3:uid="{A81EA431-8D30-4105-9A81-1A3F62521496}" name="Project code 2" dataDxfId="69">
      <calculatedColumnFormula>IF(V2="","",IFERROR(_xlfn.XLOOKUP(V2,Mapping!$A:$A,Mapping!$B:$B),""))</calculatedColumnFormula>
    </tableColumn>
    <tableColumn id="34" xr3:uid="{678A8F47-2350-45BE-A36C-426278E8B817}" name="Project Type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4F037-BEFE-455B-AB4A-1F8E5C9AD9E6}" name="Table1" displayName="Table1" ref="A2:T35" totalsRowShown="0" headerRowDxfId="67" dataDxfId="66">
  <autoFilter ref="A2:T35" xr:uid="{AC84F037-BEFE-455B-AB4A-1F8E5C9AD9E6}"/>
  <tableColumns count="20">
    <tableColumn id="1" xr3:uid="{A68D4414-C600-4DAF-9E31-1E3CF6631E0A}" name="employee_id" dataDxfId="65"/>
    <tableColumn id="3" xr3:uid="{D7E32546-8D9B-4658-9AC6-967F8F6D4164}" name="Total" dataDxfId="64">
      <calculatedColumnFormula>COUNTIF(D3:T3,0)</calculatedColumnFormula>
    </tableColumn>
    <tableColumn id="4" xr3:uid="{37E6BB16-F96D-453D-A4A3-3E03CF330CCC}" name="unlogged_days" dataDxfId="63">
      <calculatedColumnFormula array="1">_xlfn.TEXTJOIN(", ",TRUE,IF(D3:T3=0,TEXT(D$2:T$2,"dd/mm"),""))</calculatedColumnFormula>
    </tableColumn>
    <tableColumn id="5" xr3:uid="{4258612E-D7A7-495E-AFCA-28BC08162F45}" name="8/10" dataDxfId="62"/>
    <tableColumn id="6" xr3:uid="{B66A72AE-0597-4F5E-8EE0-C3F01363F91C}" name="8/11" dataDxfId="61"/>
    <tableColumn id="7" xr3:uid="{43BE5D8D-65B0-449B-98D5-251B6A6DA257}" name="8/12" dataDxfId="60"/>
    <tableColumn id="8" xr3:uid="{DC7EFBB6-CE25-4622-8063-6331657DCD99}" name="8/13" dataDxfId="59"/>
    <tableColumn id="9" xr3:uid="{D89EB2C3-3524-4943-9B81-0BF9172E2B0F}" name="8/14" dataDxfId="58"/>
    <tableColumn id="10" xr3:uid="{D262DFAF-7A85-495C-92E4-4AC35448AF07}" name="8/17" dataDxfId="57"/>
    <tableColumn id="11" xr3:uid="{28024D5D-CC9D-499F-ADFF-BED76C896315}" name="8/18" dataDxfId="56"/>
    <tableColumn id="12" xr3:uid="{DBDFD00F-A089-4A59-8ADD-427F2C389A8C}" name="8/19" dataDxfId="55"/>
    <tableColumn id="13" xr3:uid="{2F4474B2-3778-451E-897A-541228775B32}" name="8/20" dataDxfId="54"/>
    <tableColumn id="14" xr3:uid="{3E4D0AE2-6CDA-4CBE-ACA9-DC1903821105}" name="8/21" dataDxfId="53"/>
    <tableColumn id="16" xr3:uid="{8DC2B4FC-C058-4C06-A315-5E4EFCE88E74}" name="8/24" dataDxfId="52"/>
    <tableColumn id="17" xr3:uid="{F036B526-42C2-4257-B167-9343EDD51211}" name="8/25" dataDxfId="51"/>
    <tableColumn id="18" xr3:uid="{3D7C82A9-7A62-40BD-8866-645F0F7EDCED}" name="8/26" dataDxfId="50"/>
    <tableColumn id="19" xr3:uid="{5199071B-E0FD-4521-B427-51472DD0F7AA}" name="8/27" dataDxfId="49"/>
    <tableColumn id="20" xr3:uid="{635F897D-7758-4D8F-8491-4B575292A632}" name="8/28" dataDxfId="48"/>
    <tableColumn id="15" xr3:uid="{3FB4CCD5-4665-492C-9BF6-307370C6A72B}" name="9/3" dataDxfId="47"/>
    <tableColumn id="21" xr3:uid="{E69CD5B5-B319-483C-ADAB-5C5FA41A694A}" name="9/4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B06565-C2F9-47A2-8F30-D6C3C23E23F7}" name="Table2" displayName="Table2" ref="A1:AO390" totalsRowShown="0" headerRowDxfId="45" dataDxfId="44" headerRowBorderDxfId="42" tableBorderDxfId="43" totalsRowBorderDxfId="41">
  <autoFilter ref="A1:AO390" xr:uid="{FBB06565-C2F9-47A2-8F30-D6C3C23E23F7}"/>
  <tableColumns count="41">
    <tableColumn id="1" xr3:uid="{14E6F323-08AF-402C-9555-69BF7FDEF5F9}" name="STT" dataDxfId="40"/>
    <tableColumn id="2" xr3:uid="{BAD949F6-AD2F-4D28-A504-E21DA63384ED}" name="Full Name" dataDxfId="39"/>
    <tableColumn id="3" xr3:uid="{A5FC9925-4339-4074-9A73-CF3069357A19}" name="Account" dataDxfId="38"/>
    <tableColumn id="41" xr3:uid="{C45E0346-15FF-4A43-9E5A-26F421A582BF}" name="Project code" dataDxfId="37"/>
    <tableColumn id="4" xr3:uid="{3A13B54F-4651-4D07-AD67-2EE4A60C1851}" name="Contract Type" dataDxfId="36"/>
    <tableColumn id="5" xr3:uid="{D78252DB-855A-478A-9828-CEB0AEF0596F}" name="Hire Date" dataDxfId="35"/>
    <tableColumn id="6" xr3:uid="{0D26B30C-BF9E-457C-83F1-8FE40E452C1E}" name="Job Title" dataDxfId="34"/>
    <tableColumn id="7" xr3:uid="{7448D3CA-F503-48B2-9D97-A7B0EF4B81CC}" name="Toeic Score" dataDxfId="33"/>
    <tableColumn id="8" xr3:uid="{CA002192-D0C5-4258-BAD7-16BD594EDED6}" name="Certificates" dataDxfId="32"/>
    <tableColumn id="9" xr3:uid="{AF8D3688-D1C8-4248-BE80-6F4E413FB7B8}" name="Department" dataDxfId="31"/>
    <tableColumn id="10" xr3:uid="{6626539A-0808-499C-A548-4AE8936CFCC2}" name="Location" dataDxfId="30"/>
    <tableColumn id="11" xr3:uid="{01316E93-5577-4688-8210-6C5E17AE79DB}" name="Parent Department" dataDxfId="29"/>
    <tableColumn id="12" xr3:uid="{79E22D94-7A00-4B59-9344-CBF67F1A83C7}" name="Child Department" dataDxfId="28"/>
    <tableColumn id="13" xr3:uid="{FAFD4283-42C9-4501-9460-3A91CB6F4A90}" name="Main Skill" dataDxfId="27"/>
    <tableColumn id="14" xr3:uid="{9C57D135-4339-49BF-BD16-A229A06E8A3B}" name="Seniority(Main)" dataDxfId="26"/>
    <tableColumn id="15" xr3:uid="{DCE334DF-AED8-4E12-B660-30F5CDCF5F29}" name="Current Skill" dataDxfId="25"/>
    <tableColumn id="16" xr3:uid="{879C7754-4817-4D3C-9AF7-1F56F709DAB8}" name="Seniority(Current)" dataDxfId="24"/>
    <tableColumn id="17" xr3:uid="{E2FC615D-C0C3-4596-A574-BE5428EA35CC}" name="Allocation Status" dataDxfId="23"/>
    <tableColumn id="18" xr3:uid="{A2CFF236-7A92-4A3B-B4F5-59FDA618F939}" name="Note" dataDxfId="22"/>
    <tableColumn id="19" xr3:uid="{EEFC4FB9-9AB5-483F-A15B-58091195A907}" name="Action" dataDxfId="21"/>
    <tableColumn id="20" xr3:uid="{0E134F8C-7DA0-437A-8BC0-60DDCF7FE2F9}" name="Action From" dataDxfId="20"/>
    <tableColumn id="21" xr3:uid="{88D9ABEC-C015-4530-9B38-467F0FAE010A}" name="Action To" dataDxfId="19"/>
    <tableColumn id="22" xr3:uid="{FA3504F2-AA32-46C9-A6DF-70264DA636E7}" name="Job Rank" dataDxfId="18"/>
    <tableColumn id="23" xr3:uid="{17936013-935B-4F3B-BBFA-E101EFE70F27}" name="Allocation Sep-2026" dataDxfId="17"/>
    <tableColumn id="24" xr3:uid="{3DFEA7A5-1BC7-458E-9A95-EC94C0C605ED}" name="Allocation Oct-2026" dataDxfId="16"/>
    <tableColumn id="25" xr3:uid="{EDAD4792-9F2C-4BB0-8CB5-1428D76103BB}" name="Allocation Nov-2026" dataDxfId="15"/>
    <tableColumn id="26" xr3:uid="{67EE6032-586A-4784-A314-B36D79B1509C}" name="Effort Aug-2026" dataDxfId="14"/>
    <tableColumn id="27" xr3:uid="{61F5096E-3299-4884-8EF5-1F729D5938A1}" name="Effort Sep-2026" dataDxfId="13"/>
    <tableColumn id="28" xr3:uid="{5C33E2CE-EAAF-4086-9356-666E4FEF5933}" name="Effort Oct-2026" dataDxfId="12"/>
    <tableColumn id="29" xr3:uid="{E3A19F5B-2BEB-4549-856F-1ECDEA92E8B6}" name="Effort Nov-2026" dataDxfId="11"/>
    <tableColumn id="30" xr3:uid="{9A1F266E-93FE-4EB2-9FE4-F4B555F8E5F4}" name="Busy rate(%)" dataDxfId="10"/>
    <tableColumn id="31" xr3:uid="{2FE6A34C-AEE0-4F1C-979A-7B3299F79952}" name="Customer Code" dataDxfId="9"/>
    <tableColumn id="32" xr3:uid="{F34AF5DB-5B7C-400B-8EEF-A6915B9339CC}" name="Project Dept" dataDxfId="8"/>
    <tableColumn id="33" xr3:uid="{C2962F54-8610-4DCF-9DE0-C8D36AA388E4}" name="Project Code2" dataDxfId="7"/>
    <tableColumn id="34" xr3:uid="{C2DC91D9-806B-4359-A10D-D548483DDB16}" name="Project Type" dataDxfId="6"/>
    <tableColumn id="35" xr3:uid="{CAA088CD-ED5D-4F85-A54B-647050967DB0}" name="17-Aug-26" dataDxfId="5"/>
    <tableColumn id="36" xr3:uid="{27B9C6E3-05E3-4E2B-947F-494A56FE644C}" name="24-Aug-26" dataDxfId="4"/>
    <tableColumn id="37" xr3:uid="{E1156F6A-67DF-464B-85E8-57CFC640182E}" name="31-Aug-26" dataDxfId="3"/>
    <tableColumn id="38" xr3:uid="{D569BF2E-9609-4F73-A71C-ED5F7D221A8E}" name="07-Sep-26" dataDxfId="2"/>
    <tableColumn id="39" xr3:uid="{8BE4F03B-AF0E-47F0-B8CF-127103326B9F}" name="14-Sep-26" dataDxfId="1"/>
    <tableColumn id="40" xr3:uid="{B590609F-35D6-4167-925C-85ACD931AADC}" name="21-Sep-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thropiccertifications.com/courses/claude-certified-architect-foundations" TargetMode="External"/><Relationship Id="rId21" Type="http://schemas.openxmlformats.org/officeDocument/2006/relationships/hyperlink" Target="https://www.anthropiccertifications.com/courses/claude-certified-architect-foundations" TargetMode="External"/><Relationship Id="rId42" Type="http://schemas.openxmlformats.org/officeDocument/2006/relationships/hyperlink" Target="https://www.anthropiccertifications.com/courses/claude-certified-architect-foundations" TargetMode="External"/><Relationship Id="rId47" Type="http://schemas.openxmlformats.org/officeDocument/2006/relationships/hyperlink" Target="https://www.anthropiccertifications.com/courses/claude-certified-architect-foundations" TargetMode="External"/><Relationship Id="rId63" Type="http://schemas.openxmlformats.org/officeDocument/2006/relationships/hyperlink" Target="https://www.anthropiccertifications.com/courses/claude-certified-architect-foundations" TargetMode="External"/><Relationship Id="rId68" Type="http://schemas.openxmlformats.org/officeDocument/2006/relationships/hyperlink" Target="https://www.anthropiccertifications.com/courses/claude-certified-architect-foundations" TargetMode="External"/><Relationship Id="rId84" Type="http://schemas.openxmlformats.org/officeDocument/2006/relationships/hyperlink" Target="https://www.anthropiccertifications.com/courses/claude-certified-architect-foundations" TargetMode="External"/><Relationship Id="rId89" Type="http://schemas.openxmlformats.org/officeDocument/2006/relationships/hyperlink" Target="https://www.anthropiccertifications.com/courses/claude-certified-architect-foundations" TargetMode="External"/><Relationship Id="rId16" Type="http://schemas.openxmlformats.org/officeDocument/2006/relationships/hyperlink" Target="https://www.anthropiccertifications.com/courses/claude-certified-architect-foundations" TargetMode="External"/><Relationship Id="rId11" Type="http://schemas.openxmlformats.org/officeDocument/2006/relationships/hyperlink" Target="https://www.anthropiccertifications.com/courses/claude-certified-architect-foundations" TargetMode="External"/><Relationship Id="rId32" Type="http://schemas.openxmlformats.org/officeDocument/2006/relationships/hyperlink" Target="https://www.anthropiccertifications.com/courses/claude-certified-architect-foundations" TargetMode="External"/><Relationship Id="rId37" Type="http://schemas.openxmlformats.org/officeDocument/2006/relationships/hyperlink" Target="https://www.anthropiccertifications.com/courses/claude-certified-architect-foundations" TargetMode="External"/><Relationship Id="rId53" Type="http://schemas.openxmlformats.org/officeDocument/2006/relationships/hyperlink" Target="https://www.anthropiccertifications.com/courses/claude-certified-architect-foundations" TargetMode="External"/><Relationship Id="rId58" Type="http://schemas.openxmlformats.org/officeDocument/2006/relationships/hyperlink" Target="https://www.anthropiccertifications.com/courses/claude-certified-architect-foundations" TargetMode="External"/><Relationship Id="rId74" Type="http://schemas.openxmlformats.org/officeDocument/2006/relationships/hyperlink" Target="https://www.anthropiccertifications.com/courses/claude-certified-architect-foundations" TargetMode="External"/><Relationship Id="rId79" Type="http://schemas.openxmlformats.org/officeDocument/2006/relationships/hyperlink" Target="https://www.anthropiccertifications.com/courses/claude-certified-architect-foundations" TargetMode="External"/><Relationship Id="rId5" Type="http://schemas.openxmlformats.org/officeDocument/2006/relationships/hyperlink" Target="https://www.anthropiccertifications.com/courses/claude-certified-architect-foundations" TargetMode="External"/><Relationship Id="rId90" Type="http://schemas.openxmlformats.org/officeDocument/2006/relationships/hyperlink" Target="https://www.anthropiccertifications.com/courses/claude-certified-architect-foundations" TargetMode="External"/><Relationship Id="rId14" Type="http://schemas.openxmlformats.org/officeDocument/2006/relationships/hyperlink" Target="https://www.anthropiccertifications.com/courses/claude-certified-architect-foundations" TargetMode="External"/><Relationship Id="rId22" Type="http://schemas.openxmlformats.org/officeDocument/2006/relationships/hyperlink" Target="https://www.anthropiccertifications.com/courses/claude-certified-architect-foundations" TargetMode="External"/><Relationship Id="rId27" Type="http://schemas.openxmlformats.org/officeDocument/2006/relationships/hyperlink" Target="https://www.anthropiccertifications.com/courses/claude-certified-architect-foundations" TargetMode="External"/><Relationship Id="rId30" Type="http://schemas.openxmlformats.org/officeDocument/2006/relationships/hyperlink" Target="https://www.anthropiccertifications.com/courses/claude-certified-architect-foundations" TargetMode="External"/><Relationship Id="rId35" Type="http://schemas.openxmlformats.org/officeDocument/2006/relationships/hyperlink" Target="https://www.anthropiccertifications.com/courses/claude-certified-architect-foundations" TargetMode="External"/><Relationship Id="rId43" Type="http://schemas.openxmlformats.org/officeDocument/2006/relationships/hyperlink" Target="https://www.anthropiccertifications.com/courses/claude-certified-architect-foundations" TargetMode="External"/><Relationship Id="rId48" Type="http://schemas.openxmlformats.org/officeDocument/2006/relationships/hyperlink" Target="https://www.anthropiccertifications.com/courses/claude-certified-architect-foundations" TargetMode="External"/><Relationship Id="rId56" Type="http://schemas.openxmlformats.org/officeDocument/2006/relationships/hyperlink" Target="https://www.anthropiccertifications.com/courses/claude-certified-architect-foundations" TargetMode="External"/><Relationship Id="rId64" Type="http://schemas.openxmlformats.org/officeDocument/2006/relationships/hyperlink" Target="https://www.anthropiccertifications.com/courses/claude-certified-architect-foundations" TargetMode="External"/><Relationship Id="rId69" Type="http://schemas.openxmlformats.org/officeDocument/2006/relationships/hyperlink" Target="https://www.anthropiccertifications.com/courses/claude-certified-architect-foundations" TargetMode="External"/><Relationship Id="rId77" Type="http://schemas.openxmlformats.org/officeDocument/2006/relationships/hyperlink" Target="https://www.anthropiccertifications.com/courses/claude-certified-architect-foundations" TargetMode="External"/><Relationship Id="rId8" Type="http://schemas.openxmlformats.org/officeDocument/2006/relationships/hyperlink" Target="https://www.anthropiccertifications.com/courses/claude-certified-architect-foundations" TargetMode="External"/><Relationship Id="rId51" Type="http://schemas.openxmlformats.org/officeDocument/2006/relationships/hyperlink" Target="https://www.anthropiccertifications.com/courses/claude-certified-architect-foundations" TargetMode="External"/><Relationship Id="rId72" Type="http://schemas.openxmlformats.org/officeDocument/2006/relationships/hyperlink" Target="https://www.anthropiccertifications.com/courses/claude-certified-architect-foundations" TargetMode="External"/><Relationship Id="rId80" Type="http://schemas.openxmlformats.org/officeDocument/2006/relationships/hyperlink" Target="https://www.anthropiccertifications.com/courses/claude-certified-architect-foundations" TargetMode="External"/><Relationship Id="rId85" Type="http://schemas.openxmlformats.org/officeDocument/2006/relationships/hyperlink" Target="https://www.anthropiccertifications.com/courses/claude-certified-architect-foundations" TargetMode="External"/><Relationship Id="rId3" Type="http://schemas.openxmlformats.org/officeDocument/2006/relationships/hyperlink" Target="https://www.anthropiccertifications.com/courses/claude-certified-architect-foundations" TargetMode="External"/><Relationship Id="rId12" Type="http://schemas.openxmlformats.org/officeDocument/2006/relationships/hyperlink" Target="https://www.anthropiccertifications.com/courses/claude-certified-architect-foundations" TargetMode="External"/><Relationship Id="rId17" Type="http://schemas.openxmlformats.org/officeDocument/2006/relationships/hyperlink" Target="https://www.anthropiccertifications.com/courses/claude-certified-architect-foundations" TargetMode="External"/><Relationship Id="rId25" Type="http://schemas.openxmlformats.org/officeDocument/2006/relationships/hyperlink" Target="https://www.anthropiccertifications.com/courses/claude-certified-architect-foundations" TargetMode="External"/><Relationship Id="rId33" Type="http://schemas.openxmlformats.org/officeDocument/2006/relationships/hyperlink" Target="https://www.anthropiccertifications.com/courses/claude-certified-architect-foundations" TargetMode="External"/><Relationship Id="rId38" Type="http://schemas.openxmlformats.org/officeDocument/2006/relationships/hyperlink" Target="https://www.anthropiccertifications.com/courses/claude-certified-architect-foundations" TargetMode="External"/><Relationship Id="rId46" Type="http://schemas.openxmlformats.org/officeDocument/2006/relationships/hyperlink" Target="https://www.anthropiccertifications.com/courses/claude-certified-architect-foundations" TargetMode="External"/><Relationship Id="rId59" Type="http://schemas.openxmlformats.org/officeDocument/2006/relationships/hyperlink" Target="https://www.anthropiccertifications.com/courses/claude-certified-architect-foundations" TargetMode="External"/><Relationship Id="rId67" Type="http://schemas.openxmlformats.org/officeDocument/2006/relationships/hyperlink" Target="https://www.anthropiccertifications.com/courses/claude-certified-architect-foundations" TargetMode="External"/><Relationship Id="rId20" Type="http://schemas.openxmlformats.org/officeDocument/2006/relationships/hyperlink" Target="https://www.anthropiccertifications.com/courses/claude-certified-architect-foundations" TargetMode="External"/><Relationship Id="rId41" Type="http://schemas.openxmlformats.org/officeDocument/2006/relationships/hyperlink" Target="https://www.anthropiccertifications.com/courses/claude-certified-architect-foundations" TargetMode="External"/><Relationship Id="rId54" Type="http://schemas.openxmlformats.org/officeDocument/2006/relationships/hyperlink" Target="https://www.anthropiccertifications.com/courses/claude-certified-architect-foundations" TargetMode="External"/><Relationship Id="rId62" Type="http://schemas.openxmlformats.org/officeDocument/2006/relationships/hyperlink" Target="https://www.anthropiccertifications.com/courses/claude-certified-architect-foundations" TargetMode="External"/><Relationship Id="rId70" Type="http://schemas.openxmlformats.org/officeDocument/2006/relationships/hyperlink" Target="https://www.anthropiccertifications.com/courses/claude-certified-architect-foundations" TargetMode="External"/><Relationship Id="rId75" Type="http://schemas.openxmlformats.org/officeDocument/2006/relationships/hyperlink" Target="https://www.anthropiccertifications.com/courses/claude-certified-architect-foundations" TargetMode="External"/><Relationship Id="rId83" Type="http://schemas.openxmlformats.org/officeDocument/2006/relationships/hyperlink" Target="https://www.anthropiccertifications.com/courses/claude-certified-architect-foundations" TargetMode="External"/><Relationship Id="rId88" Type="http://schemas.openxmlformats.org/officeDocument/2006/relationships/hyperlink" Target="https://www.anthropiccertifications.com/courses/claude-certified-architect-foundations" TargetMode="External"/><Relationship Id="rId91" Type="http://schemas.openxmlformats.org/officeDocument/2006/relationships/hyperlink" Target="https://www.anthropiccertifications.com/courses/claude-certified-architect-foundations" TargetMode="External"/><Relationship Id="rId1" Type="http://schemas.openxmlformats.org/officeDocument/2006/relationships/hyperlink" Target="https://www.anthropiccertifications.com/courses/claude-certified-architect-foundations" TargetMode="External"/><Relationship Id="rId6" Type="http://schemas.openxmlformats.org/officeDocument/2006/relationships/hyperlink" Target="https://www.anthropiccertifications.com/courses/claude-certified-architect-foundations" TargetMode="External"/><Relationship Id="rId15" Type="http://schemas.openxmlformats.org/officeDocument/2006/relationships/hyperlink" Target="https://www.anthropiccertifications.com/courses/claude-certified-architect-foundations" TargetMode="External"/><Relationship Id="rId23" Type="http://schemas.openxmlformats.org/officeDocument/2006/relationships/hyperlink" Target="https://www.anthropiccertifications.com/courses/claude-certified-architect-foundations" TargetMode="External"/><Relationship Id="rId28" Type="http://schemas.openxmlformats.org/officeDocument/2006/relationships/hyperlink" Target="https://www.anthropiccertifications.com/courses/claude-certified-architect-foundations" TargetMode="External"/><Relationship Id="rId36" Type="http://schemas.openxmlformats.org/officeDocument/2006/relationships/hyperlink" Target="https://www.anthropiccertifications.com/courses/claude-certified-architect-foundations" TargetMode="External"/><Relationship Id="rId49" Type="http://schemas.openxmlformats.org/officeDocument/2006/relationships/hyperlink" Target="https://www.anthropiccertifications.com/courses/claude-certified-architect-foundations" TargetMode="External"/><Relationship Id="rId57" Type="http://schemas.openxmlformats.org/officeDocument/2006/relationships/hyperlink" Target="https://www.anthropiccertifications.com/courses/claude-certified-architect-foundations" TargetMode="External"/><Relationship Id="rId10" Type="http://schemas.openxmlformats.org/officeDocument/2006/relationships/hyperlink" Target="https://www.anthropiccertifications.com/courses/claude-certified-architect-foundations" TargetMode="External"/><Relationship Id="rId31" Type="http://schemas.openxmlformats.org/officeDocument/2006/relationships/hyperlink" Target="https://www.anthropiccertifications.com/courses/claude-certified-architect-foundations" TargetMode="External"/><Relationship Id="rId44" Type="http://schemas.openxmlformats.org/officeDocument/2006/relationships/hyperlink" Target="https://www.anthropiccertifications.com/courses/claude-certified-architect-foundations" TargetMode="External"/><Relationship Id="rId52" Type="http://schemas.openxmlformats.org/officeDocument/2006/relationships/hyperlink" Target="https://www.anthropiccertifications.com/courses/claude-certified-architect-foundations" TargetMode="External"/><Relationship Id="rId60" Type="http://schemas.openxmlformats.org/officeDocument/2006/relationships/hyperlink" Target="https://www.anthropiccertifications.com/courses/claude-certified-architect-foundations" TargetMode="External"/><Relationship Id="rId65" Type="http://schemas.openxmlformats.org/officeDocument/2006/relationships/hyperlink" Target="https://www.anthropiccertifications.com/courses/claude-certified-architect-foundations" TargetMode="External"/><Relationship Id="rId73" Type="http://schemas.openxmlformats.org/officeDocument/2006/relationships/hyperlink" Target="https://www.anthropiccertifications.com/courses/claude-certified-architect-foundations" TargetMode="External"/><Relationship Id="rId78" Type="http://schemas.openxmlformats.org/officeDocument/2006/relationships/hyperlink" Target="https://www.anthropiccertifications.com/courses/claude-certified-architect-foundations" TargetMode="External"/><Relationship Id="rId81" Type="http://schemas.openxmlformats.org/officeDocument/2006/relationships/hyperlink" Target="https://www.anthropiccertifications.com/courses/claude-certified-architect-foundations" TargetMode="External"/><Relationship Id="rId86" Type="http://schemas.openxmlformats.org/officeDocument/2006/relationships/hyperlink" Target="https://www.anthropiccertifications.com/courses/claude-certified-architect-foundations" TargetMode="External"/><Relationship Id="rId4" Type="http://schemas.openxmlformats.org/officeDocument/2006/relationships/hyperlink" Target="https://www.anthropiccertifications.com/courses/claude-certified-architect-foundations" TargetMode="External"/><Relationship Id="rId9" Type="http://schemas.openxmlformats.org/officeDocument/2006/relationships/hyperlink" Target="https://www.anthropiccertifications.com/courses/claude-certified-architect-foundations" TargetMode="External"/><Relationship Id="rId13" Type="http://schemas.openxmlformats.org/officeDocument/2006/relationships/hyperlink" Target="https://www.anthropiccertifications.com/courses/claude-certified-architect-foundations" TargetMode="External"/><Relationship Id="rId18" Type="http://schemas.openxmlformats.org/officeDocument/2006/relationships/hyperlink" Target="https://www.anthropiccertifications.com/courses/claude-certified-architect-foundations" TargetMode="External"/><Relationship Id="rId39" Type="http://schemas.openxmlformats.org/officeDocument/2006/relationships/hyperlink" Target="https://www.anthropiccertifications.com/courses/claude-certified-architect-foundations" TargetMode="External"/><Relationship Id="rId34" Type="http://schemas.openxmlformats.org/officeDocument/2006/relationships/hyperlink" Target="https://www.anthropiccertifications.com/courses/claude-certified-architect-foundations" TargetMode="External"/><Relationship Id="rId50" Type="http://schemas.openxmlformats.org/officeDocument/2006/relationships/hyperlink" Target="https://www.anthropiccertifications.com/courses/claude-certified-architect-foundations" TargetMode="External"/><Relationship Id="rId55" Type="http://schemas.openxmlformats.org/officeDocument/2006/relationships/hyperlink" Target="https://www.anthropiccertifications.com/courses/claude-certified-architect-foundations" TargetMode="External"/><Relationship Id="rId76" Type="http://schemas.openxmlformats.org/officeDocument/2006/relationships/hyperlink" Target="https://www.anthropiccertifications.com/courses/claude-certified-architect-foundations" TargetMode="External"/><Relationship Id="rId7" Type="http://schemas.openxmlformats.org/officeDocument/2006/relationships/hyperlink" Target="https://www.anthropiccertifications.com/courses/claude-certified-architect-foundations" TargetMode="External"/><Relationship Id="rId71" Type="http://schemas.openxmlformats.org/officeDocument/2006/relationships/hyperlink" Target="https://www.anthropiccertifications.com/courses/claude-certified-architect-foundations" TargetMode="External"/><Relationship Id="rId92" Type="http://schemas.openxmlformats.org/officeDocument/2006/relationships/hyperlink" Target="https://www.anthropiccertifications.com/courses/claude-certified-architect-foundations" TargetMode="External"/><Relationship Id="rId2" Type="http://schemas.openxmlformats.org/officeDocument/2006/relationships/hyperlink" Target="https://www.anthropiccertifications.com/courses/claude-certified-architect-foundations" TargetMode="External"/><Relationship Id="rId29" Type="http://schemas.openxmlformats.org/officeDocument/2006/relationships/hyperlink" Target="https://www.anthropiccertifications.com/courses/claude-certified-architect-foundations" TargetMode="External"/><Relationship Id="rId24" Type="http://schemas.openxmlformats.org/officeDocument/2006/relationships/hyperlink" Target="https://www.anthropiccertifications.com/courses/claude-certified-architect-foundations" TargetMode="External"/><Relationship Id="rId40" Type="http://schemas.openxmlformats.org/officeDocument/2006/relationships/hyperlink" Target="https://www.anthropiccertifications.com/courses/claude-certified-architect-foundations" TargetMode="External"/><Relationship Id="rId45" Type="http://schemas.openxmlformats.org/officeDocument/2006/relationships/hyperlink" Target="https://www.anthropiccertifications.com/courses/claude-certified-architect-foundations" TargetMode="External"/><Relationship Id="rId66" Type="http://schemas.openxmlformats.org/officeDocument/2006/relationships/hyperlink" Target="https://www.anthropiccertifications.com/courses/claude-certified-architect-foundations" TargetMode="External"/><Relationship Id="rId87" Type="http://schemas.openxmlformats.org/officeDocument/2006/relationships/hyperlink" Target="https://www.anthropiccertifications.com/courses/claude-certified-architect-foundations" TargetMode="External"/><Relationship Id="rId61" Type="http://schemas.openxmlformats.org/officeDocument/2006/relationships/hyperlink" Target="https://www.anthropiccertifications.com/courses/claude-certified-architect-foundations" TargetMode="External"/><Relationship Id="rId82" Type="http://schemas.openxmlformats.org/officeDocument/2006/relationships/hyperlink" Target="https://www.anthropiccertifications.com/courses/claude-certified-architect-foundations" TargetMode="External"/><Relationship Id="rId19" Type="http://schemas.openxmlformats.org/officeDocument/2006/relationships/hyperlink" Target="https://www.anthropiccertifications.com/courses/claude-certified-architect-foundation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credentials/certifications/github-copilot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7794-C8F9-4D20-A5DA-224F0B2DCDB5}">
  <dimension ref="A1:D50"/>
  <sheetViews>
    <sheetView topLeftCell="A28" workbookViewId="0">
      <selection activeCell="F44" sqref="F44"/>
    </sheetView>
  </sheetViews>
  <sheetFormatPr defaultRowHeight="15"/>
  <cols>
    <col min="1" max="4" width="23.42578125" customWidth="1"/>
  </cols>
  <sheetData>
    <row r="1" spans="1:4">
      <c r="A1" s="39"/>
      <c r="B1" s="40" t="s">
        <v>0</v>
      </c>
      <c r="C1" s="40" t="s">
        <v>1</v>
      </c>
      <c r="D1" s="40" t="s">
        <v>2</v>
      </c>
    </row>
    <row r="2" spans="1:4">
      <c r="A2" s="41">
        <v>1</v>
      </c>
      <c r="B2" s="42" t="s">
        <v>3</v>
      </c>
      <c r="C2" s="42" t="s">
        <v>4</v>
      </c>
      <c r="D2" s="43" t="s">
        <v>5</v>
      </c>
    </row>
    <row r="3" spans="1:4">
      <c r="A3" s="44">
        <v>2</v>
      </c>
      <c r="B3" s="31" t="s">
        <v>6</v>
      </c>
      <c r="C3" s="31" t="s">
        <v>4</v>
      </c>
      <c r="D3" s="45" t="s">
        <v>5</v>
      </c>
    </row>
    <row r="4" spans="1:4">
      <c r="A4" s="41">
        <v>3</v>
      </c>
      <c r="B4" s="30" t="s">
        <v>7</v>
      </c>
      <c r="C4" s="30" t="s">
        <v>4</v>
      </c>
      <c r="D4" s="46" t="s">
        <v>5</v>
      </c>
    </row>
    <row r="5" spans="1:4">
      <c r="A5" s="44">
        <v>4</v>
      </c>
      <c r="B5" s="31" t="s">
        <v>8</v>
      </c>
      <c r="C5" s="47" t="s">
        <v>9</v>
      </c>
      <c r="D5" s="48" t="s">
        <v>10</v>
      </c>
    </row>
    <row r="6" spans="1:4">
      <c r="A6" s="41">
        <v>5</v>
      </c>
      <c r="B6" s="30" t="s">
        <v>11</v>
      </c>
      <c r="C6" s="49" t="s">
        <v>12</v>
      </c>
      <c r="D6" s="50" t="s">
        <v>12</v>
      </c>
    </row>
    <row r="7" spans="1:4">
      <c r="A7" s="44">
        <v>6</v>
      </c>
      <c r="B7" s="31" t="s">
        <v>13</v>
      </c>
      <c r="C7" s="47" t="s">
        <v>14</v>
      </c>
      <c r="D7" s="51" t="s">
        <v>10</v>
      </c>
    </row>
    <row r="8" spans="1:4">
      <c r="A8" s="41">
        <v>7</v>
      </c>
      <c r="B8" s="30" t="s">
        <v>15</v>
      </c>
      <c r="C8" s="49" t="s">
        <v>14</v>
      </c>
      <c r="D8" s="52" t="s">
        <v>10</v>
      </c>
    </row>
    <row r="9" spans="1:4">
      <c r="A9" s="44">
        <v>8</v>
      </c>
      <c r="B9" s="31" t="s">
        <v>16</v>
      </c>
      <c r="C9" s="47" t="s">
        <v>14</v>
      </c>
      <c r="D9" s="51" t="s">
        <v>10</v>
      </c>
    </row>
    <row r="10" spans="1:4">
      <c r="A10" s="41">
        <v>9</v>
      </c>
      <c r="B10" s="30" t="s">
        <v>17</v>
      </c>
      <c r="C10" s="49" t="s">
        <v>18</v>
      </c>
      <c r="D10" s="52" t="s">
        <v>19</v>
      </c>
    </row>
    <row r="11" spans="1:4">
      <c r="A11" s="44">
        <v>10</v>
      </c>
      <c r="B11" s="31" t="s">
        <v>20</v>
      </c>
      <c r="C11" s="47" t="s">
        <v>18</v>
      </c>
      <c r="D11" s="48" t="s">
        <v>21</v>
      </c>
    </row>
    <row r="12" spans="1:4">
      <c r="A12" s="41">
        <v>11</v>
      </c>
      <c r="B12" s="33" t="s">
        <v>22</v>
      </c>
      <c r="C12" s="49" t="s">
        <v>18</v>
      </c>
      <c r="D12" s="52" t="s">
        <v>19</v>
      </c>
    </row>
    <row r="13" spans="1:4">
      <c r="A13" s="44">
        <v>12</v>
      </c>
      <c r="B13" s="32" t="s">
        <v>23</v>
      </c>
      <c r="C13" s="47" t="s">
        <v>18</v>
      </c>
      <c r="D13" s="51" t="s">
        <v>19</v>
      </c>
    </row>
    <row r="14" spans="1:4">
      <c r="A14" s="41">
        <v>13</v>
      </c>
      <c r="B14" s="30" t="s">
        <v>24</v>
      </c>
      <c r="C14" s="49" t="s">
        <v>18</v>
      </c>
      <c r="D14" s="52" t="s">
        <v>21</v>
      </c>
    </row>
    <row r="15" spans="1:4">
      <c r="A15" s="44">
        <v>14</v>
      </c>
      <c r="B15" s="31" t="s">
        <v>25</v>
      </c>
      <c r="C15" s="47" t="s">
        <v>26</v>
      </c>
      <c r="D15" s="51" t="s">
        <v>27</v>
      </c>
    </row>
    <row r="16" spans="1:4">
      <c r="A16" s="41">
        <v>15</v>
      </c>
      <c r="B16" s="30" t="s">
        <v>28</v>
      </c>
      <c r="C16" s="49" t="s">
        <v>26</v>
      </c>
      <c r="D16" s="52" t="s">
        <v>27</v>
      </c>
    </row>
    <row r="17" spans="1:4">
      <c r="A17" s="44">
        <v>16</v>
      </c>
      <c r="B17" s="31" t="s">
        <v>29</v>
      </c>
      <c r="C17" s="47" t="s">
        <v>26</v>
      </c>
      <c r="D17" s="48" t="s">
        <v>27</v>
      </c>
    </row>
    <row r="18" spans="1:4">
      <c r="A18" s="41">
        <v>17</v>
      </c>
      <c r="B18" s="30" t="s">
        <v>30</v>
      </c>
      <c r="C18" s="49" t="s">
        <v>26</v>
      </c>
      <c r="D18" s="50" t="s">
        <v>27</v>
      </c>
    </row>
    <row r="19" spans="1:4">
      <c r="A19" s="44">
        <v>18</v>
      </c>
      <c r="B19" s="31" t="s">
        <v>31</v>
      </c>
      <c r="C19" s="47" t="s">
        <v>26</v>
      </c>
      <c r="D19" s="48" t="s">
        <v>27</v>
      </c>
    </row>
    <row r="20" spans="1:4">
      <c r="A20" s="41">
        <v>19</v>
      </c>
      <c r="B20" s="30" t="s">
        <v>32</v>
      </c>
      <c r="C20" s="49" t="s">
        <v>26</v>
      </c>
      <c r="D20" s="50" t="s">
        <v>27</v>
      </c>
    </row>
    <row r="21" spans="1:4">
      <c r="A21" s="44">
        <v>20</v>
      </c>
      <c r="B21" s="32" t="s">
        <v>33</v>
      </c>
      <c r="C21" s="47" t="s">
        <v>18</v>
      </c>
      <c r="D21" s="51" t="s">
        <v>21</v>
      </c>
    </row>
    <row r="22" spans="1:4">
      <c r="A22" s="41">
        <v>21</v>
      </c>
      <c r="B22" s="30" t="s">
        <v>34</v>
      </c>
      <c r="C22" s="49" t="s">
        <v>18</v>
      </c>
      <c r="D22" s="50" t="s">
        <v>21</v>
      </c>
    </row>
    <row r="23" spans="1:4">
      <c r="A23" s="44">
        <v>22</v>
      </c>
      <c r="B23" s="31" t="s">
        <v>35</v>
      </c>
      <c r="C23" s="47" t="s">
        <v>18</v>
      </c>
      <c r="D23" s="48" t="s">
        <v>21</v>
      </c>
    </row>
    <row r="24" spans="1:4">
      <c r="A24" s="41">
        <v>23</v>
      </c>
      <c r="B24" s="30" t="s">
        <v>36</v>
      </c>
      <c r="C24" s="49" t="s">
        <v>18</v>
      </c>
      <c r="D24" s="50" t="s">
        <v>19</v>
      </c>
    </row>
    <row r="25" spans="1:4">
      <c r="A25" s="44">
        <v>24</v>
      </c>
      <c r="B25" s="31" t="s">
        <v>37</v>
      </c>
      <c r="C25" s="47" t="s">
        <v>26</v>
      </c>
      <c r="D25" s="48" t="s">
        <v>27</v>
      </c>
    </row>
    <row r="26" spans="1:4">
      <c r="A26" s="41">
        <v>25</v>
      </c>
      <c r="B26" s="30" t="s">
        <v>38</v>
      </c>
      <c r="C26" s="49" t="s">
        <v>18</v>
      </c>
      <c r="D26" s="50" t="s">
        <v>19</v>
      </c>
    </row>
    <row r="27" spans="1:4">
      <c r="A27" s="44">
        <v>26</v>
      </c>
      <c r="B27" s="31" t="s">
        <v>39</v>
      </c>
      <c r="C27" s="47" t="s">
        <v>18</v>
      </c>
      <c r="D27" s="48" t="s">
        <v>19</v>
      </c>
    </row>
    <row r="28" spans="1:4">
      <c r="A28" s="41">
        <v>27</v>
      </c>
      <c r="B28" s="30" t="s">
        <v>40</v>
      </c>
      <c r="C28" s="49" t="s">
        <v>18</v>
      </c>
      <c r="D28" s="50" t="s">
        <v>21</v>
      </c>
    </row>
    <row r="29" spans="1:4">
      <c r="A29" s="44">
        <v>28</v>
      </c>
      <c r="B29" s="31" t="s">
        <v>41</v>
      </c>
      <c r="C29" s="47" t="s">
        <v>18</v>
      </c>
      <c r="D29" s="48" t="s">
        <v>19</v>
      </c>
    </row>
    <row r="30" spans="1:4">
      <c r="A30" s="41">
        <v>29</v>
      </c>
      <c r="B30" s="30" t="s">
        <v>42</v>
      </c>
      <c r="C30" s="49" t="s">
        <v>43</v>
      </c>
      <c r="D30" s="50" t="s">
        <v>44</v>
      </c>
    </row>
    <row r="31" spans="1:4">
      <c r="A31" s="44">
        <v>30</v>
      </c>
      <c r="B31" s="31" t="s">
        <v>45</v>
      </c>
      <c r="C31" s="47" t="s">
        <v>43</v>
      </c>
      <c r="D31" s="48" t="s">
        <v>44</v>
      </c>
    </row>
    <row r="32" spans="1:4">
      <c r="A32" s="41">
        <v>31</v>
      </c>
      <c r="B32" s="30" t="s">
        <v>46</v>
      </c>
      <c r="C32" s="49" t="s">
        <v>43</v>
      </c>
      <c r="D32" s="50" t="s">
        <v>44</v>
      </c>
    </row>
    <row r="33" spans="1:4">
      <c r="A33" s="44">
        <v>32</v>
      </c>
      <c r="B33" s="31" t="s">
        <v>47</v>
      </c>
      <c r="C33" s="47" t="s">
        <v>43</v>
      </c>
      <c r="D33" s="48" t="s">
        <v>44</v>
      </c>
    </row>
    <row r="34" spans="1:4">
      <c r="A34" s="41">
        <v>33</v>
      </c>
      <c r="B34" s="30" t="s">
        <v>48</v>
      </c>
      <c r="C34" s="49" t="s">
        <v>49</v>
      </c>
      <c r="D34" s="50" t="s">
        <v>49</v>
      </c>
    </row>
    <row r="35" spans="1:4">
      <c r="A35" s="44">
        <v>34</v>
      </c>
      <c r="B35" s="31" t="s">
        <v>50</v>
      </c>
      <c r="C35" s="47" t="s">
        <v>26</v>
      </c>
      <c r="D35" s="48" t="s">
        <v>27</v>
      </c>
    </row>
    <row r="36" spans="1:4">
      <c r="A36" s="41">
        <v>35</v>
      </c>
      <c r="B36" s="30" t="s">
        <v>51</v>
      </c>
      <c r="C36" s="30" t="s">
        <v>43</v>
      </c>
      <c r="D36" s="46" t="s">
        <v>44</v>
      </c>
    </row>
    <row r="37" spans="1:4">
      <c r="A37" s="44">
        <v>36</v>
      </c>
      <c r="B37" s="31" t="s">
        <v>52</v>
      </c>
      <c r="C37" s="31" t="s">
        <v>26</v>
      </c>
      <c r="D37" s="45" t="s">
        <v>27</v>
      </c>
    </row>
    <row r="38" spans="1:4">
      <c r="A38" s="41">
        <v>37</v>
      </c>
      <c r="B38" s="30" t="s">
        <v>53</v>
      </c>
      <c r="C38" s="30" t="s">
        <v>26</v>
      </c>
      <c r="D38" s="46" t="s">
        <v>27</v>
      </c>
    </row>
    <row r="39" spans="1:4">
      <c r="A39" s="44">
        <v>38</v>
      </c>
      <c r="B39" s="31" t="s">
        <v>54</v>
      </c>
      <c r="C39" s="47" t="s">
        <v>18</v>
      </c>
      <c r="D39" s="48" t="s">
        <v>19</v>
      </c>
    </row>
    <row r="40" spans="1:4">
      <c r="A40" s="41">
        <v>39</v>
      </c>
      <c r="B40" s="30" t="s">
        <v>55</v>
      </c>
      <c r="C40" s="49" t="s">
        <v>18</v>
      </c>
      <c r="D40" s="50" t="s">
        <v>56</v>
      </c>
    </row>
    <row r="41" spans="1:4">
      <c r="A41" s="44">
        <v>40</v>
      </c>
      <c r="B41" s="31" t="s">
        <v>57</v>
      </c>
      <c r="C41" s="47" t="s">
        <v>18</v>
      </c>
      <c r="D41" s="51" t="s">
        <v>56</v>
      </c>
    </row>
    <row r="42" spans="1:4">
      <c r="A42" s="41">
        <v>41</v>
      </c>
      <c r="B42" s="30" t="s">
        <v>58</v>
      </c>
      <c r="C42" s="49" t="s">
        <v>18</v>
      </c>
      <c r="D42" s="52" t="s">
        <v>56</v>
      </c>
    </row>
    <row r="43" spans="1:4">
      <c r="A43" s="44">
        <v>42</v>
      </c>
      <c r="B43" s="31" t="s">
        <v>59</v>
      </c>
      <c r="C43" s="47" t="s">
        <v>18</v>
      </c>
      <c r="D43" s="51" t="s">
        <v>56</v>
      </c>
    </row>
    <row r="44" spans="1:4">
      <c r="A44" s="41">
        <v>43</v>
      </c>
      <c r="B44" s="30" t="s">
        <v>60</v>
      </c>
      <c r="C44" s="49" t="s">
        <v>18</v>
      </c>
      <c r="D44" s="52" t="s">
        <v>61</v>
      </c>
    </row>
    <row r="45" spans="1:4">
      <c r="A45" s="44">
        <v>44</v>
      </c>
      <c r="B45" s="31" t="s">
        <v>62</v>
      </c>
      <c r="C45" s="47" t="s">
        <v>18</v>
      </c>
      <c r="D45" s="48" t="s">
        <v>61</v>
      </c>
    </row>
    <row r="46" spans="1:4">
      <c r="A46" s="41">
        <v>45</v>
      </c>
      <c r="B46" s="33" t="s">
        <v>63</v>
      </c>
      <c r="C46" s="49" t="s">
        <v>18</v>
      </c>
      <c r="D46" s="52" t="s">
        <v>61</v>
      </c>
    </row>
    <row r="47" spans="1:4">
      <c r="A47" s="44">
        <v>46</v>
      </c>
      <c r="B47" s="32" t="s">
        <v>64</v>
      </c>
      <c r="C47" s="47" t="s">
        <v>43</v>
      </c>
      <c r="D47" s="51" t="s">
        <v>44</v>
      </c>
    </row>
    <row r="48" spans="1:4">
      <c r="A48" s="41">
        <v>47</v>
      </c>
      <c r="B48" s="30" t="s">
        <v>65</v>
      </c>
      <c r="C48" s="49" t="s">
        <v>43</v>
      </c>
      <c r="D48" s="52" t="s">
        <v>44</v>
      </c>
    </row>
    <row r="49" spans="1:4">
      <c r="A49" s="44">
        <v>48</v>
      </c>
      <c r="B49" s="31" t="s">
        <v>66</v>
      </c>
      <c r="C49" s="47" t="s">
        <v>43</v>
      </c>
      <c r="D49" s="51" t="s">
        <v>44</v>
      </c>
    </row>
    <row r="50" spans="1:4">
      <c r="A50" s="41">
        <v>49</v>
      </c>
      <c r="B50" s="30" t="s">
        <v>67</v>
      </c>
      <c r="C50" s="49" t="s">
        <v>18</v>
      </c>
      <c r="D50" s="5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A1DE-521F-43FB-905A-C927CD4B5116}">
  <dimension ref="A1:P50"/>
  <sheetViews>
    <sheetView workbookViewId="0">
      <pane ySplit="1" topLeftCell="A37" activePane="bottomLeft" state="frozen"/>
      <selection pane="bottomLeft"/>
    </sheetView>
  </sheetViews>
  <sheetFormatPr defaultRowHeight="15"/>
  <cols>
    <col min="1" max="1" width="12.5703125" style="54" bestFit="1" customWidth="1"/>
    <col min="2" max="2" width="21.42578125" style="54" customWidth="1"/>
    <col min="3" max="3" width="12.7109375" style="54" bestFit="1" customWidth="1"/>
    <col min="4" max="4" width="14.5703125" style="54" bestFit="1" customWidth="1"/>
    <col min="5" max="5" width="18.5703125" style="54" bestFit="1" customWidth="1"/>
    <col min="6" max="6" width="26.28515625" style="54" bestFit="1" customWidth="1"/>
    <col min="7" max="7" width="11.85546875" style="54" bestFit="1" customWidth="1"/>
    <col min="8" max="8" width="96.140625" style="59" customWidth="1"/>
    <col min="9" max="9" width="12.140625" style="54" bestFit="1" customWidth="1"/>
    <col min="10" max="10" width="9.28515625" style="54" bestFit="1" customWidth="1"/>
    <col min="11" max="11" width="19.140625" style="54" bestFit="1" customWidth="1"/>
    <col min="12" max="12" width="18" style="54" bestFit="1" customWidth="1"/>
    <col min="13" max="13" width="19.28515625" style="54" bestFit="1" customWidth="1"/>
    <col min="14" max="14" width="15.85546875" style="54" bestFit="1" customWidth="1"/>
    <col min="15" max="15" width="28.140625" style="54" bestFit="1" customWidth="1"/>
    <col min="16" max="16" width="18.5703125" style="54" bestFit="1" customWidth="1"/>
    <col min="17" max="16384" width="9.140625" style="54"/>
  </cols>
  <sheetData>
    <row r="1" spans="1:16">
      <c r="A1" s="86" t="s">
        <v>68</v>
      </c>
      <c r="B1" s="86" t="s">
        <v>69</v>
      </c>
      <c r="C1" s="86" t="s">
        <v>70</v>
      </c>
      <c r="D1" s="86" t="s">
        <v>71</v>
      </c>
      <c r="E1" s="86" t="s">
        <v>72</v>
      </c>
      <c r="F1" s="86" t="s">
        <v>73</v>
      </c>
      <c r="G1" s="86" t="s">
        <v>74</v>
      </c>
      <c r="H1" s="87" t="s">
        <v>75</v>
      </c>
      <c r="I1" s="86" t="s">
        <v>76</v>
      </c>
      <c r="J1" s="86" t="s">
        <v>77</v>
      </c>
      <c r="K1" s="86" t="s">
        <v>78</v>
      </c>
      <c r="L1" s="86" t="s">
        <v>79</v>
      </c>
      <c r="M1" s="86" t="s">
        <v>80</v>
      </c>
      <c r="N1" s="86" t="s">
        <v>81</v>
      </c>
      <c r="O1" s="86" t="s">
        <v>82</v>
      </c>
      <c r="P1" s="86" t="s">
        <v>83</v>
      </c>
    </row>
    <row r="2" spans="1:16">
      <c r="A2" s="23">
        <v>1</v>
      </c>
      <c r="B2" s="53" t="s">
        <v>84</v>
      </c>
      <c r="C2" s="53" t="s">
        <v>85</v>
      </c>
      <c r="D2" s="24" t="s">
        <v>86</v>
      </c>
      <c r="E2" s="25">
        <v>44958</v>
      </c>
      <c r="F2" s="24" t="s">
        <v>87</v>
      </c>
      <c r="G2" s="24" t="s">
        <v>88</v>
      </c>
      <c r="H2" s="35" t="s">
        <v>89</v>
      </c>
      <c r="I2" s="24" t="s">
        <v>90</v>
      </c>
      <c r="J2" s="24" t="s">
        <v>91</v>
      </c>
      <c r="K2" s="24" t="s">
        <v>92</v>
      </c>
      <c r="L2" s="24" t="s">
        <v>90</v>
      </c>
      <c r="M2" s="24" t="s">
        <v>93</v>
      </c>
      <c r="N2" s="24" t="s">
        <v>94</v>
      </c>
      <c r="O2" s="24" t="s">
        <v>93</v>
      </c>
      <c r="P2" s="24" t="s">
        <v>95</v>
      </c>
    </row>
    <row r="3" spans="1:16">
      <c r="A3" s="23">
        <v>2</v>
      </c>
      <c r="B3" s="53" t="s">
        <v>96</v>
      </c>
      <c r="C3" s="53" t="s">
        <v>97</v>
      </c>
      <c r="D3" s="24" t="s">
        <v>86</v>
      </c>
      <c r="E3" s="25">
        <v>46082</v>
      </c>
      <c r="F3" s="24" t="s">
        <v>4</v>
      </c>
      <c r="G3" s="24" t="s">
        <v>94</v>
      </c>
      <c r="H3" s="35" t="s">
        <v>94</v>
      </c>
      <c r="I3" s="24" t="s">
        <v>90</v>
      </c>
      <c r="J3" s="24" t="s">
        <v>91</v>
      </c>
      <c r="K3" s="24" t="s">
        <v>92</v>
      </c>
      <c r="L3" s="24" t="s">
        <v>90</v>
      </c>
      <c r="M3" s="24" t="s">
        <v>94</v>
      </c>
      <c r="N3" s="24" t="s">
        <v>94</v>
      </c>
      <c r="O3" s="24" t="s">
        <v>93</v>
      </c>
      <c r="P3" s="24" t="s">
        <v>95</v>
      </c>
    </row>
    <row r="4" spans="1:16" ht="75.75">
      <c r="A4" s="23">
        <v>3</v>
      </c>
      <c r="B4" s="53" t="s">
        <v>98</v>
      </c>
      <c r="C4" s="53" t="s">
        <v>99</v>
      </c>
      <c r="D4" s="24" t="s">
        <v>86</v>
      </c>
      <c r="E4" s="25">
        <v>44667</v>
      </c>
      <c r="F4" s="24" t="s">
        <v>100</v>
      </c>
      <c r="G4" s="24" t="s">
        <v>101</v>
      </c>
      <c r="H4" s="35" t="s">
        <v>102</v>
      </c>
      <c r="I4" s="24" t="s">
        <v>90</v>
      </c>
      <c r="J4" s="24" t="s">
        <v>91</v>
      </c>
      <c r="K4" s="24" t="s">
        <v>92</v>
      </c>
      <c r="L4" s="24" t="s">
        <v>90</v>
      </c>
      <c r="M4" s="24" t="s">
        <v>103</v>
      </c>
      <c r="N4" s="24" t="s">
        <v>104</v>
      </c>
      <c r="O4" s="24" t="s">
        <v>93</v>
      </c>
      <c r="P4" s="24" t="s">
        <v>104</v>
      </c>
    </row>
    <row r="5" spans="1:16" ht="45.75">
      <c r="A5" s="23">
        <v>4</v>
      </c>
      <c r="B5" s="53" t="s">
        <v>105</v>
      </c>
      <c r="C5" s="53" t="s">
        <v>106</v>
      </c>
      <c r="D5" s="24" t="s">
        <v>86</v>
      </c>
      <c r="E5" s="25">
        <v>43062</v>
      </c>
      <c r="F5" s="24" t="s">
        <v>4</v>
      </c>
      <c r="G5" s="24" t="s">
        <v>107</v>
      </c>
      <c r="H5" s="35" t="s">
        <v>108</v>
      </c>
      <c r="I5" s="24" t="s">
        <v>90</v>
      </c>
      <c r="J5" s="24" t="s">
        <v>91</v>
      </c>
      <c r="K5" s="24" t="s">
        <v>92</v>
      </c>
      <c r="L5" s="24" t="s">
        <v>90</v>
      </c>
      <c r="M5" s="24" t="s">
        <v>93</v>
      </c>
      <c r="N5" s="24" t="s">
        <v>94</v>
      </c>
      <c r="O5" s="24" t="s">
        <v>93</v>
      </c>
      <c r="P5" s="24" t="s">
        <v>104</v>
      </c>
    </row>
    <row r="6" spans="1:16">
      <c r="A6" s="82">
        <v>5</v>
      </c>
      <c r="B6" s="53" t="s">
        <v>109</v>
      </c>
      <c r="C6" s="53" t="s">
        <v>110</v>
      </c>
      <c r="D6" s="53" t="s">
        <v>86</v>
      </c>
      <c r="E6" s="25">
        <v>45427</v>
      </c>
      <c r="F6" s="53" t="s">
        <v>111</v>
      </c>
      <c r="G6" s="83">
        <v>720</v>
      </c>
      <c r="H6" s="53" t="s">
        <v>112</v>
      </c>
      <c r="I6" s="53" t="s">
        <v>90</v>
      </c>
      <c r="J6" s="53" t="s">
        <v>91</v>
      </c>
      <c r="K6" s="53" t="s">
        <v>92</v>
      </c>
      <c r="L6" s="53" t="s">
        <v>90</v>
      </c>
      <c r="M6" s="53" t="s">
        <v>113</v>
      </c>
      <c r="N6" s="53"/>
      <c r="O6" s="53" t="s">
        <v>113</v>
      </c>
      <c r="P6" s="53" t="s">
        <v>95</v>
      </c>
    </row>
    <row r="7" spans="1:16" ht="75.75">
      <c r="A7" s="53">
        <v>6</v>
      </c>
      <c r="B7" s="53" t="s">
        <v>114</v>
      </c>
      <c r="C7" s="53" t="s">
        <v>115</v>
      </c>
      <c r="D7" s="53" t="s">
        <v>86</v>
      </c>
      <c r="E7" s="25">
        <v>45870</v>
      </c>
      <c r="F7" s="24" t="s">
        <v>14</v>
      </c>
      <c r="G7" s="83">
        <v>740</v>
      </c>
      <c r="H7" s="73" t="s">
        <v>116</v>
      </c>
      <c r="I7" s="53" t="s">
        <v>90</v>
      </c>
      <c r="J7" s="53" t="s">
        <v>91</v>
      </c>
      <c r="K7" s="53" t="s">
        <v>92</v>
      </c>
      <c r="L7" s="53" t="s">
        <v>90</v>
      </c>
      <c r="M7" s="24" t="s">
        <v>103</v>
      </c>
      <c r="N7" s="53"/>
      <c r="O7" s="24" t="s">
        <v>117</v>
      </c>
      <c r="P7" s="53" t="s">
        <v>95</v>
      </c>
    </row>
    <row r="8" spans="1:16" ht="106.5">
      <c r="A8" s="23">
        <v>7</v>
      </c>
      <c r="B8" s="53" t="s">
        <v>118</v>
      </c>
      <c r="C8" s="53" t="s">
        <v>119</v>
      </c>
      <c r="D8" s="24" t="s">
        <v>86</v>
      </c>
      <c r="E8" s="25">
        <v>43983</v>
      </c>
      <c r="F8" s="24" t="s">
        <v>14</v>
      </c>
      <c r="G8" s="24" t="s">
        <v>120</v>
      </c>
      <c r="H8" s="35" t="s">
        <v>121</v>
      </c>
      <c r="I8" s="24" t="s">
        <v>90</v>
      </c>
      <c r="J8" s="24" t="s">
        <v>91</v>
      </c>
      <c r="K8" s="24" t="s">
        <v>92</v>
      </c>
      <c r="L8" s="24" t="s">
        <v>90</v>
      </c>
      <c r="M8" s="24" t="s">
        <v>103</v>
      </c>
      <c r="N8" s="24" t="s">
        <v>95</v>
      </c>
      <c r="O8" s="24" t="s">
        <v>117</v>
      </c>
      <c r="P8" s="24" t="s">
        <v>122</v>
      </c>
    </row>
    <row r="9" spans="1:16" ht="121.5">
      <c r="A9" s="23">
        <v>8</v>
      </c>
      <c r="B9" s="53" t="s">
        <v>123</v>
      </c>
      <c r="C9" s="53" t="s">
        <v>124</v>
      </c>
      <c r="D9" s="24" t="s">
        <v>86</v>
      </c>
      <c r="E9" s="25">
        <v>43366</v>
      </c>
      <c r="F9" s="24" t="s">
        <v>125</v>
      </c>
      <c r="G9" s="24" t="s">
        <v>126</v>
      </c>
      <c r="H9" s="35" t="s">
        <v>127</v>
      </c>
      <c r="I9" s="24" t="s">
        <v>90</v>
      </c>
      <c r="J9" s="24" t="s">
        <v>91</v>
      </c>
      <c r="K9" s="24" t="s">
        <v>92</v>
      </c>
      <c r="L9" s="24" t="s">
        <v>90</v>
      </c>
      <c r="M9" s="24" t="s">
        <v>117</v>
      </c>
      <c r="N9" s="24" t="s">
        <v>94</v>
      </c>
      <c r="O9" s="24" t="s">
        <v>117</v>
      </c>
      <c r="P9" s="24" t="s">
        <v>122</v>
      </c>
    </row>
    <row r="10" spans="1:16" ht="90.75">
      <c r="A10" s="23">
        <v>9</v>
      </c>
      <c r="B10" s="53" t="s">
        <v>128</v>
      </c>
      <c r="C10" s="53" t="s">
        <v>129</v>
      </c>
      <c r="D10" s="24" t="s">
        <v>86</v>
      </c>
      <c r="E10" s="25">
        <v>44028</v>
      </c>
      <c r="F10" s="24" t="s">
        <v>111</v>
      </c>
      <c r="G10" s="24" t="s">
        <v>88</v>
      </c>
      <c r="H10" s="35" t="s">
        <v>130</v>
      </c>
      <c r="I10" s="24" t="s">
        <v>90</v>
      </c>
      <c r="J10" s="24" t="s">
        <v>91</v>
      </c>
      <c r="K10" s="24" t="s">
        <v>92</v>
      </c>
      <c r="L10" s="24" t="s">
        <v>90</v>
      </c>
      <c r="M10" s="24" t="s">
        <v>131</v>
      </c>
      <c r="N10" s="24" t="s">
        <v>95</v>
      </c>
      <c r="O10" s="24" t="s">
        <v>131</v>
      </c>
      <c r="P10" s="24" t="s">
        <v>95</v>
      </c>
    </row>
    <row r="11" spans="1:16">
      <c r="A11" s="23">
        <v>10</v>
      </c>
      <c r="B11" s="53" t="s">
        <v>132</v>
      </c>
      <c r="C11" s="53" t="s">
        <v>133</v>
      </c>
      <c r="D11" s="24" t="s">
        <v>86</v>
      </c>
      <c r="E11" s="25">
        <v>45084</v>
      </c>
      <c r="F11" s="24" t="s">
        <v>111</v>
      </c>
      <c r="G11" s="24" t="s">
        <v>134</v>
      </c>
      <c r="H11" s="35" t="s">
        <v>135</v>
      </c>
      <c r="I11" s="24" t="s">
        <v>90</v>
      </c>
      <c r="J11" s="24" t="s">
        <v>91</v>
      </c>
      <c r="K11" s="24" t="s">
        <v>92</v>
      </c>
      <c r="L11" s="24" t="s">
        <v>90</v>
      </c>
      <c r="M11" s="24" t="s">
        <v>136</v>
      </c>
      <c r="N11" s="24" t="s">
        <v>122</v>
      </c>
      <c r="O11" s="24" t="s">
        <v>136</v>
      </c>
      <c r="P11" s="24" t="s">
        <v>122</v>
      </c>
    </row>
    <row r="12" spans="1:16">
      <c r="A12" s="23">
        <v>11</v>
      </c>
      <c r="B12" s="53" t="s">
        <v>137</v>
      </c>
      <c r="C12" s="53" t="s">
        <v>138</v>
      </c>
      <c r="D12" s="24" t="s">
        <v>86</v>
      </c>
      <c r="E12" s="25">
        <v>46007</v>
      </c>
      <c r="F12" s="24" t="s">
        <v>111</v>
      </c>
      <c r="G12" s="24" t="s">
        <v>94</v>
      </c>
      <c r="H12" s="35" t="s">
        <v>94</v>
      </c>
      <c r="I12" s="24" t="s">
        <v>90</v>
      </c>
      <c r="J12" s="24" t="s">
        <v>91</v>
      </c>
      <c r="K12" s="24" t="s">
        <v>92</v>
      </c>
      <c r="L12" s="24" t="s">
        <v>90</v>
      </c>
      <c r="M12" s="24" t="s">
        <v>103</v>
      </c>
      <c r="N12" s="24" t="s">
        <v>95</v>
      </c>
      <c r="O12" s="24" t="s">
        <v>131</v>
      </c>
      <c r="P12" s="24" t="s">
        <v>104</v>
      </c>
    </row>
    <row r="13" spans="1:16" ht="30">
      <c r="A13" s="23">
        <v>12</v>
      </c>
      <c r="B13" s="53" t="s">
        <v>139</v>
      </c>
      <c r="C13" s="53" t="s">
        <v>140</v>
      </c>
      <c r="D13" s="24" t="s">
        <v>86</v>
      </c>
      <c r="E13" s="25">
        <v>46026</v>
      </c>
      <c r="F13" s="53" t="s">
        <v>18</v>
      </c>
      <c r="G13" s="83"/>
      <c r="H13" s="73" t="s">
        <v>141</v>
      </c>
      <c r="I13" s="53" t="s">
        <v>142</v>
      </c>
      <c r="J13" s="24" t="s">
        <v>91</v>
      </c>
      <c r="K13" s="85" t="s">
        <v>143</v>
      </c>
      <c r="L13" s="53" t="s">
        <v>142</v>
      </c>
      <c r="M13" s="24" t="s">
        <v>131</v>
      </c>
      <c r="N13" s="24" t="s">
        <v>104</v>
      </c>
      <c r="O13" s="24" t="s">
        <v>131</v>
      </c>
      <c r="P13" s="24" t="s">
        <v>104</v>
      </c>
    </row>
    <row r="14" spans="1:16">
      <c r="A14" s="23">
        <v>13</v>
      </c>
      <c r="B14" s="53" t="s">
        <v>144</v>
      </c>
      <c r="C14" s="53" t="s">
        <v>145</v>
      </c>
      <c r="D14" s="24" t="s">
        <v>86</v>
      </c>
      <c r="E14" s="25">
        <v>45084</v>
      </c>
      <c r="F14" s="24" t="s">
        <v>111</v>
      </c>
      <c r="G14" s="24" t="s">
        <v>146</v>
      </c>
      <c r="H14" s="35" t="s">
        <v>147</v>
      </c>
      <c r="I14" s="24" t="s">
        <v>90</v>
      </c>
      <c r="J14" s="24" t="s">
        <v>91</v>
      </c>
      <c r="K14" s="24" t="s">
        <v>92</v>
      </c>
      <c r="L14" s="24" t="s">
        <v>90</v>
      </c>
      <c r="M14" s="24" t="s">
        <v>136</v>
      </c>
      <c r="N14" s="24" t="s">
        <v>95</v>
      </c>
      <c r="O14" s="24" t="s">
        <v>131</v>
      </c>
      <c r="P14" s="24" t="s">
        <v>95</v>
      </c>
    </row>
    <row r="15" spans="1:16" ht="45.75">
      <c r="A15" s="23">
        <v>14</v>
      </c>
      <c r="B15" s="53" t="s">
        <v>148</v>
      </c>
      <c r="C15" s="53" t="s">
        <v>149</v>
      </c>
      <c r="D15" s="24" t="s">
        <v>86</v>
      </c>
      <c r="E15" s="25">
        <v>44005</v>
      </c>
      <c r="F15" s="24" t="s">
        <v>150</v>
      </c>
      <c r="G15" s="24" t="s">
        <v>151</v>
      </c>
      <c r="H15" s="35" t="s">
        <v>152</v>
      </c>
      <c r="I15" s="24" t="s">
        <v>90</v>
      </c>
      <c r="J15" s="24" t="s">
        <v>91</v>
      </c>
      <c r="K15" s="24" t="s">
        <v>92</v>
      </c>
      <c r="L15" s="24" t="s">
        <v>90</v>
      </c>
      <c r="M15" s="24" t="s">
        <v>27</v>
      </c>
      <c r="N15" s="24" t="s">
        <v>122</v>
      </c>
      <c r="O15" s="24" t="s">
        <v>27</v>
      </c>
      <c r="P15" s="24" t="s">
        <v>104</v>
      </c>
    </row>
    <row r="16" spans="1:16">
      <c r="A16" s="23">
        <v>15</v>
      </c>
      <c r="B16" s="53" t="s">
        <v>153</v>
      </c>
      <c r="C16" s="53" t="s">
        <v>154</v>
      </c>
      <c r="D16" s="24" t="s">
        <v>86</v>
      </c>
      <c r="E16" s="25">
        <v>46023</v>
      </c>
      <c r="F16" s="24" t="s">
        <v>155</v>
      </c>
      <c r="G16" s="24" t="s">
        <v>94</v>
      </c>
      <c r="H16" s="35" t="s">
        <v>156</v>
      </c>
      <c r="I16" s="24" t="s">
        <v>90</v>
      </c>
      <c r="J16" s="24" t="s">
        <v>91</v>
      </c>
      <c r="K16" s="24" t="s">
        <v>92</v>
      </c>
      <c r="L16" s="24" t="s">
        <v>90</v>
      </c>
      <c r="M16" s="24" t="s">
        <v>94</v>
      </c>
      <c r="N16" s="24" t="s">
        <v>94</v>
      </c>
      <c r="O16" s="24" t="s">
        <v>27</v>
      </c>
      <c r="P16" s="24" t="s">
        <v>104</v>
      </c>
    </row>
    <row r="17" spans="1:16" ht="30">
      <c r="A17" s="23">
        <v>16</v>
      </c>
      <c r="B17" s="53" t="s">
        <v>157</v>
      </c>
      <c r="C17" s="53" t="s">
        <v>158</v>
      </c>
      <c r="D17" s="24" t="s">
        <v>86</v>
      </c>
      <c r="E17" s="25">
        <v>45283</v>
      </c>
      <c r="F17" s="24" t="s">
        <v>26</v>
      </c>
      <c r="G17" s="24" t="s">
        <v>120</v>
      </c>
      <c r="H17" s="35" t="s">
        <v>159</v>
      </c>
      <c r="I17" s="24" t="s">
        <v>90</v>
      </c>
      <c r="J17" s="24" t="s">
        <v>91</v>
      </c>
      <c r="K17" s="24" t="s">
        <v>92</v>
      </c>
      <c r="L17" s="24" t="s">
        <v>90</v>
      </c>
      <c r="M17" s="24" t="s">
        <v>27</v>
      </c>
      <c r="N17" s="24" t="s">
        <v>104</v>
      </c>
      <c r="O17" s="24" t="s">
        <v>27</v>
      </c>
      <c r="P17" s="24" t="s">
        <v>104</v>
      </c>
    </row>
    <row r="18" spans="1:16">
      <c r="A18" s="23">
        <v>17</v>
      </c>
      <c r="B18" s="53" t="s">
        <v>160</v>
      </c>
      <c r="C18" s="53" t="s">
        <v>161</v>
      </c>
      <c r="D18" s="24" t="s">
        <v>86</v>
      </c>
      <c r="E18" s="25">
        <v>45854</v>
      </c>
      <c r="F18" s="24" t="s">
        <v>26</v>
      </c>
      <c r="G18" s="24" t="s">
        <v>94</v>
      </c>
      <c r="H18" s="35" t="s">
        <v>162</v>
      </c>
      <c r="I18" s="24" t="s">
        <v>90</v>
      </c>
      <c r="J18" s="24" t="s">
        <v>91</v>
      </c>
      <c r="K18" s="24" t="s">
        <v>92</v>
      </c>
      <c r="L18" s="24" t="s">
        <v>90</v>
      </c>
      <c r="M18" s="24" t="s">
        <v>94</v>
      </c>
      <c r="N18" s="24" t="s">
        <v>94</v>
      </c>
      <c r="O18" s="24" t="s">
        <v>27</v>
      </c>
      <c r="P18" s="24" t="s">
        <v>95</v>
      </c>
    </row>
    <row r="19" spans="1:16" ht="75.75">
      <c r="A19" s="23">
        <v>18</v>
      </c>
      <c r="B19" s="53" t="s">
        <v>163</v>
      </c>
      <c r="C19" s="53" t="s">
        <v>164</v>
      </c>
      <c r="D19" s="24" t="s">
        <v>86</v>
      </c>
      <c r="E19" s="25">
        <v>45283</v>
      </c>
      <c r="F19" s="24" t="s">
        <v>26</v>
      </c>
      <c r="G19" s="24" t="s">
        <v>94</v>
      </c>
      <c r="H19" s="35" t="s">
        <v>165</v>
      </c>
      <c r="I19" s="24" t="s">
        <v>90</v>
      </c>
      <c r="J19" s="24" t="s">
        <v>91</v>
      </c>
      <c r="K19" s="24" t="s">
        <v>92</v>
      </c>
      <c r="L19" s="24" t="s">
        <v>90</v>
      </c>
      <c r="M19" s="24" t="s">
        <v>27</v>
      </c>
      <c r="N19" s="24" t="s">
        <v>104</v>
      </c>
      <c r="O19" s="24" t="s">
        <v>27</v>
      </c>
      <c r="P19" s="24" t="s">
        <v>104</v>
      </c>
    </row>
    <row r="20" spans="1:16">
      <c r="A20" s="23">
        <v>19</v>
      </c>
      <c r="B20" s="53" t="s">
        <v>166</v>
      </c>
      <c r="C20" s="53" t="s">
        <v>167</v>
      </c>
      <c r="D20" s="24" t="s">
        <v>86</v>
      </c>
      <c r="E20" s="25">
        <v>45283</v>
      </c>
      <c r="F20" s="24" t="s">
        <v>26</v>
      </c>
      <c r="G20" s="24" t="s">
        <v>94</v>
      </c>
      <c r="H20" s="35" t="s">
        <v>168</v>
      </c>
      <c r="I20" s="24" t="s">
        <v>90</v>
      </c>
      <c r="J20" s="24" t="s">
        <v>91</v>
      </c>
      <c r="K20" s="24" t="s">
        <v>92</v>
      </c>
      <c r="L20" s="24" t="s">
        <v>90</v>
      </c>
      <c r="M20" s="24" t="s">
        <v>27</v>
      </c>
      <c r="N20" s="24" t="s">
        <v>104</v>
      </c>
      <c r="O20" s="24" t="s">
        <v>27</v>
      </c>
      <c r="P20" s="24" t="s">
        <v>104</v>
      </c>
    </row>
    <row r="21" spans="1:16">
      <c r="A21" s="23">
        <v>20</v>
      </c>
      <c r="B21" s="53" t="s">
        <v>169</v>
      </c>
      <c r="C21" s="53" t="s">
        <v>170</v>
      </c>
      <c r="D21" s="24" t="s">
        <v>86</v>
      </c>
      <c r="E21" s="25">
        <v>46014</v>
      </c>
      <c r="F21" s="24" t="s">
        <v>111</v>
      </c>
      <c r="G21" s="24" t="s">
        <v>94</v>
      </c>
      <c r="H21" s="35" t="s">
        <v>94</v>
      </c>
      <c r="I21" s="24" t="s">
        <v>90</v>
      </c>
      <c r="J21" s="24" t="s">
        <v>91</v>
      </c>
      <c r="K21" s="24" t="s">
        <v>92</v>
      </c>
      <c r="L21" s="24" t="s">
        <v>90</v>
      </c>
      <c r="M21" s="24" t="s">
        <v>94</v>
      </c>
      <c r="N21" s="24" t="s">
        <v>94</v>
      </c>
      <c r="O21" s="24" t="s">
        <v>131</v>
      </c>
      <c r="P21" s="24" t="s">
        <v>104</v>
      </c>
    </row>
    <row r="22" spans="1:16">
      <c r="A22" s="23">
        <v>21</v>
      </c>
      <c r="B22" s="53" t="s">
        <v>171</v>
      </c>
      <c r="C22" s="53" t="s">
        <v>172</v>
      </c>
      <c r="D22" s="24" t="s">
        <v>86</v>
      </c>
      <c r="E22" s="25">
        <v>46149</v>
      </c>
      <c r="F22" s="24" t="s">
        <v>111</v>
      </c>
      <c r="G22" s="24" t="s">
        <v>94</v>
      </c>
      <c r="H22" s="35" t="s">
        <v>94</v>
      </c>
      <c r="I22" s="24" t="s">
        <v>90</v>
      </c>
      <c r="J22" s="24" t="s">
        <v>91</v>
      </c>
      <c r="K22" s="24" t="s">
        <v>92</v>
      </c>
      <c r="L22" s="24" t="s">
        <v>90</v>
      </c>
      <c r="M22" s="24" t="s">
        <v>94</v>
      </c>
      <c r="N22" s="24" t="s">
        <v>94</v>
      </c>
      <c r="O22" s="24" t="s">
        <v>136</v>
      </c>
      <c r="P22" s="24" t="s">
        <v>122</v>
      </c>
    </row>
    <row r="23" spans="1:16">
      <c r="A23" s="23">
        <v>22</v>
      </c>
      <c r="B23" s="53" t="s">
        <v>173</v>
      </c>
      <c r="C23" s="53" t="s">
        <v>174</v>
      </c>
      <c r="D23" s="24" t="s">
        <v>86</v>
      </c>
      <c r="E23" s="25">
        <v>45885</v>
      </c>
      <c r="F23" s="24" t="s">
        <v>111</v>
      </c>
      <c r="G23" s="24" t="s">
        <v>175</v>
      </c>
      <c r="H23" s="35" t="s">
        <v>176</v>
      </c>
      <c r="I23" s="24" t="s">
        <v>90</v>
      </c>
      <c r="J23" s="24" t="s">
        <v>91</v>
      </c>
      <c r="K23" s="24" t="s">
        <v>92</v>
      </c>
      <c r="L23" s="24" t="s">
        <v>90</v>
      </c>
      <c r="M23" s="24" t="s">
        <v>103</v>
      </c>
      <c r="N23" s="24" t="s">
        <v>94</v>
      </c>
      <c r="O23" s="24" t="s">
        <v>103</v>
      </c>
      <c r="P23" s="24" t="s">
        <v>95</v>
      </c>
    </row>
    <row r="24" spans="1:16" ht="30">
      <c r="A24" s="23">
        <v>23</v>
      </c>
      <c r="B24" s="53" t="s">
        <v>177</v>
      </c>
      <c r="C24" s="53" t="s">
        <v>178</v>
      </c>
      <c r="D24" s="24" t="s">
        <v>86</v>
      </c>
      <c r="E24" s="25">
        <v>46168</v>
      </c>
      <c r="F24" s="53" t="s">
        <v>18</v>
      </c>
      <c r="G24" s="83">
        <v>710</v>
      </c>
      <c r="H24" s="73" t="s">
        <v>179</v>
      </c>
      <c r="I24" s="53" t="s">
        <v>142</v>
      </c>
      <c r="J24" s="24" t="s">
        <v>91</v>
      </c>
      <c r="K24" s="85" t="s">
        <v>143</v>
      </c>
      <c r="L24" s="53" t="s">
        <v>142</v>
      </c>
      <c r="M24" s="53" t="s">
        <v>131</v>
      </c>
      <c r="N24" s="24" t="s">
        <v>104</v>
      </c>
      <c r="O24" s="24" t="s">
        <v>131</v>
      </c>
      <c r="P24" s="24" t="s">
        <v>104</v>
      </c>
    </row>
    <row r="25" spans="1:16" ht="30">
      <c r="A25" s="23">
        <v>24</v>
      </c>
      <c r="B25" s="53" t="s">
        <v>180</v>
      </c>
      <c r="C25" s="53" t="s">
        <v>181</v>
      </c>
      <c r="D25" s="24" t="s">
        <v>86</v>
      </c>
      <c r="E25" s="25">
        <v>40929</v>
      </c>
      <c r="F25" s="24" t="s">
        <v>150</v>
      </c>
      <c r="G25" s="24" t="s">
        <v>182</v>
      </c>
      <c r="H25" s="35" t="s">
        <v>183</v>
      </c>
      <c r="I25" s="24" t="s">
        <v>90</v>
      </c>
      <c r="J25" s="24" t="s">
        <v>91</v>
      </c>
      <c r="K25" s="24" t="s">
        <v>92</v>
      </c>
      <c r="L25" s="24" t="s">
        <v>90</v>
      </c>
      <c r="M25" s="24" t="s">
        <v>27</v>
      </c>
      <c r="N25" s="24" t="s">
        <v>122</v>
      </c>
      <c r="O25" s="24" t="s">
        <v>184</v>
      </c>
      <c r="P25" s="24" t="s">
        <v>104</v>
      </c>
    </row>
    <row r="26" spans="1:16" ht="30">
      <c r="A26" s="23">
        <v>25</v>
      </c>
      <c r="B26" s="53" t="s">
        <v>185</v>
      </c>
      <c r="C26" s="53" t="s">
        <v>186</v>
      </c>
      <c r="D26" s="24" t="s">
        <v>86</v>
      </c>
      <c r="E26" s="25">
        <v>43182</v>
      </c>
      <c r="F26" s="24" t="s">
        <v>111</v>
      </c>
      <c r="G26" s="24" t="s">
        <v>187</v>
      </c>
      <c r="H26" s="35" t="s">
        <v>188</v>
      </c>
      <c r="I26" s="24" t="s">
        <v>90</v>
      </c>
      <c r="J26" s="24" t="s">
        <v>91</v>
      </c>
      <c r="K26" s="24" t="s">
        <v>92</v>
      </c>
      <c r="L26" s="24" t="s">
        <v>90</v>
      </c>
      <c r="M26" s="24" t="s">
        <v>103</v>
      </c>
      <c r="N26" s="24" t="s">
        <v>122</v>
      </c>
      <c r="O26" s="24" t="s">
        <v>184</v>
      </c>
      <c r="P26" s="24" t="s">
        <v>104</v>
      </c>
    </row>
    <row r="27" spans="1:16" ht="30">
      <c r="A27" s="23">
        <v>26</v>
      </c>
      <c r="B27" s="53" t="s">
        <v>189</v>
      </c>
      <c r="C27" s="53" t="s">
        <v>190</v>
      </c>
      <c r="D27" s="24" t="s">
        <v>86</v>
      </c>
      <c r="E27" s="25">
        <v>46174</v>
      </c>
      <c r="F27" s="53" t="s">
        <v>18</v>
      </c>
      <c r="G27" s="83">
        <v>880</v>
      </c>
      <c r="H27" s="73" t="s">
        <v>191</v>
      </c>
      <c r="I27" s="53" t="s">
        <v>142</v>
      </c>
      <c r="J27" s="24" t="s">
        <v>91</v>
      </c>
      <c r="K27" s="24" t="s">
        <v>143</v>
      </c>
      <c r="L27" s="53" t="s">
        <v>142</v>
      </c>
      <c r="M27" s="53" t="s">
        <v>131</v>
      </c>
      <c r="N27" s="24" t="s">
        <v>104</v>
      </c>
      <c r="O27" s="24" t="s">
        <v>131</v>
      </c>
      <c r="P27" s="24" t="s">
        <v>104</v>
      </c>
    </row>
    <row r="28" spans="1:16" ht="30">
      <c r="A28" s="23">
        <v>27</v>
      </c>
      <c r="B28" s="53" t="s">
        <v>192</v>
      </c>
      <c r="C28" s="53" t="s">
        <v>193</v>
      </c>
      <c r="D28" s="24" t="s">
        <v>86</v>
      </c>
      <c r="E28" s="25">
        <v>46174</v>
      </c>
      <c r="F28" s="53" t="s">
        <v>18</v>
      </c>
      <c r="G28" s="83">
        <v>850</v>
      </c>
      <c r="H28" s="73" t="s">
        <v>194</v>
      </c>
      <c r="I28" s="53" t="s">
        <v>142</v>
      </c>
      <c r="J28" s="24" t="s">
        <v>91</v>
      </c>
      <c r="K28" s="85" t="s">
        <v>143</v>
      </c>
      <c r="L28" s="53" t="s">
        <v>142</v>
      </c>
      <c r="M28" s="53" t="s">
        <v>136</v>
      </c>
      <c r="N28" s="53" t="s">
        <v>95</v>
      </c>
      <c r="O28" s="53" t="s">
        <v>136</v>
      </c>
      <c r="P28" s="24" t="s">
        <v>95</v>
      </c>
    </row>
    <row r="29" spans="1:16">
      <c r="A29" s="23">
        <v>28</v>
      </c>
      <c r="B29" s="53" t="s">
        <v>195</v>
      </c>
      <c r="C29" s="53" t="s">
        <v>196</v>
      </c>
      <c r="D29" s="24" t="s">
        <v>86</v>
      </c>
      <c r="E29" s="25">
        <v>46218</v>
      </c>
      <c r="F29" s="53" t="s">
        <v>18</v>
      </c>
      <c r="G29" s="83"/>
      <c r="H29" s="73"/>
      <c r="I29" s="53" t="s">
        <v>142</v>
      </c>
      <c r="J29" s="24" t="s">
        <v>91</v>
      </c>
      <c r="K29" s="85" t="s">
        <v>143</v>
      </c>
      <c r="L29" s="53" t="s">
        <v>142</v>
      </c>
      <c r="M29" s="53" t="s">
        <v>131</v>
      </c>
      <c r="N29" s="53" t="s">
        <v>104</v>
      </c>
      <c r="O29" s="53" t="s">
        <v>131</v>
      </c>
      <c r="P29" s="53" t="s">
        <v>104</v>
      </c>
    </row>
    <row r="30" spans="1:16">
      <c r="A30" s="23">
        <v>29</v>
      </c>
      <c r="B30" s="53" t="s">
        <v>197</v>
      </c>
      <c r="C30" s="53" t="s">
        <v>198</v>
      </c>
      <c r="D30" s="24" t="s">
        <v>86</v>
      </c>
      <c r="E30" s="25">
        <v>45923</v>
      </c>
      <c r="F30" s="24" t="s">
        <v>199</v>
      </c>
      <c r="G30" s="24" t="s">
        <v>94</v>
      </c>
      <c r="H30" s="35" t="s">
        <v>94</v>
      </c>
      <c r="I30" s="24" t="s">
        <v>90</v>
      </c>
      <c r="J30" s="24" t="s">
        <v>91</v>
      </c>
      <c r="K30" s="24" t="s">
        <v>92</v>
      </c>
      <c r="L30" s="24" t="s">
        <v>90</v>
      </c>
      <c r="M30" s="24" t="s">
        <v>94</v>
      </c>
      <c r="N30" s="24" t="s">
        <v>94</v>
      </c>
      <c r="O30" s="24" t="s">
        <v>43</v>
      </c>
      <c r="P30" s="24" t="s">
        <v>122</v>
      </c>
    </row>
    <row r="31" spans="1:16">
      <c r="A31" s="23">
        <v>30</v>
      </c>
      <c r="B31" s="53" t="s">
        <v>200</v>
      </c>
      <c r="C31" s="53" t="s">
        <v>201</v>
      </c>
      <c r="D31" s="24" t="s">
        <v>86</v>
      </c>
      <c r="E31" s="25">
        <v>46168</v>
      </c>
      <c r="F31" s="53" t="s">
        <v>43</v>
      </c>
      <c r="G31" s="83"/>
      <c r="H31" s="73"/>
      <c r="I31" s="24" t="s">
        <v>90</v>
      </c>
      <c r="J31" s="24" t="s">
        <v>91</v>
      </c>
      <c r="K31" s="24" t="s">
        <v>92</v>
      </c>
      <c r="L31" s="24" t="s">
        <v>90</v>
      </c>
      <c r="M31" s="53"/>
      <c r="N31" s="53"/>
      <c r="O31" s="24" t="s">
        <v>43</v>
      </c>
      <c r="P31" s="53" t="s">
        <v>104</v>
      </c>
    </row>
    <row r="32" spans="1:16">
      <c r="A32" s="23">
        <v>31</v>
      </c>
      <c r="B32" s="53" t="s">
        <v>202</v>
      </c>
      <c r="C32" s="53" t="s">
        <v>203</v>
      </c>
      <c r="D32" s="24" t="s">
        <v>86</v>
      </c>
      <c r="E32" s="25">
        <v>45398</v>
      </c>
      <c r="F32" s="24" t="s">
        <v>204</v>
      </c>
      <c r="G32" s="24" t="s">
        <v>151</v>
      </c>
      <c r="H32" s="35" t="s">
        <v>205</v>
      </c>
      <c r="I32" s="24" t="s">
        <v>90</v>
      </c>
      <c r="J32" s="24" t="s">
        <v>91</v>
      </c>
      <c r="K32" s="24" t="s">
        <v>92</v>
      </c>
      <c r="L32" s="24" t="s">
        <v>90</v>
      </c>
      <c r="M32" s="24" t="s">
        <v>94</v>
      </c>
      <c r="N32" s="24" t="s">
        <v>94</v>
      </c>
      <c r="O32" s="24" t="s">
        <v>43</v>
      </c>
      <c r="P32" s="24" t="s">
        <v>95</v>
      </c>
    </row>
    <row r="33" spans="1:16">
      <c r="A33" s="23">
        <v>32</v>
      </c>
      <c r="B33" s="53" t="s">
        <v>206</v>
      </c>
      <c r="C33" s="53" t="s">
        <v>207</v>
      </c>
      <c r="D33" s="24" t="s">
        <v>86</v>
      </c>
      <c r="E33" s="25">
        <v>45937</v>
      </c>
      <c r="F33" s="24" t="s">
        <v>204</v>
      </c>
      <c r="G33" s="24" t="s">
        <v>94</v>
      </c>
      <c r="H33" s="35" t="s">
        <v>94</v>
      </c>
      <c r="I33" s="24" t="s">
        <v>90</v>
      </c>
      <c r="J33" s="24" t="s">
        <v>91</v>
      </c>
      <c r="K33" s="24" t="s">
        <v>92</v>
      </c>
      <c r="L33" s="24" t="s">
        <v>90</v>
      </c>
      <c r="M33" s="24" t="s">
        <v>94</v>
      </c>
      <c r="N33" s="24" t="s">
        <v>94</v>
      </c>
      <c r="O33" s="24" t="s">
        <v>43</v>
      </c>
      <c r="P33" s="24" t="s">
        <v>95</v>
      </c>
    </row>
    <row r="34" spans="1:16" ht="136.5">
      <c r="A34" s="23">
        <v>33</v>
      </c>
      <c r="B34" s="53" t="s">
        <v>208</v>
      </c>
      <c r="C34" s="53" t="s">
        <v>209</v>
      </c>
      <c r="D34" s="24" t="s">
        <v>86</v>
      </c>
      <c r="E34" s="25">
        <v>43206</v>
      </c>
      <c r="F34" s="24" t="s">
        <v>111</v>
      </c>
      <c r="G34" s="24" t="s">
        <v>107</v>
      </c>
      <c r="H34" s="35" t="s">
        <v>210</v>
      </c>
      <c r="I34" s="24" t="s">
        <v>90</v>
      </c>
      <c r="J34" s="24" t="s">
        <v>91</v>
      </c>
      <c r="K34" s="24" t="s">
        <v>92</v>
      </c>
      <c r="L34" s="24" t="s">
        <v>90</v>
      </c>
      <c r="M34" s="24" t="s">
        <v>103</v>
      </c>
      <c r="N34" s="24" t="s">
        <v>95</v>
      </c>
      <c r="O34" s="24" t="s">
        <v>117</v>
      </c>
      <c r="P34" s="24" t="s">
        <v>122</v>
      </c>
    </row>
    <row r="35" spans="1:16">
      <c r="A35" s="23">
        <v>34</v>
      </c>
      <c r="B35" s="53" t="s">
        <v>211</v>
      </c>
      <c r="C35" s="53" t="s">
        <v>212</v>
      </c>
      <c r="D35" s="24" t="s">
        <v>86</v>
      </c>
      <c r="E35" s="25">
        <v>46149</v>
      </c>
      <c r="F35" s="24" t="s">
        <v>155</v>
      </c>
      <c r="G35" s="24" t="s">
        <v>94</v>
      </c>
      <c r="H35" s="35" t="s">
        <v>156</v>
      </c>
      <c r="I35" s="24" t="s">
        <v>213</v>
      </c>
      <c r="J35" s="24" t="s">
        <v>91</v>
      </c>
      <c r="K35" s="24" t="s">
        <v>92</v>
      </c>
      <c r="L35" s="24" t="s">
        <v>213</v>
      </c>
      <c r="M35" s="24" t="s">
        <v>94</v>
      </c>
      <c r="N35" s="24" t="s">
        <v>94</v>
      </c>
      <c r="O35" s="24" t="s">
        <v>27</v>
      </c>
      <c r="P35" s="24" t="s">
        <v>104</v>
      </c>
    </row>
    <row r="36" spans="1:16">
      <c r="A36" s="23">
        <v>35</v>
      </c>
      <c r="B36" s="53" t="s">
        <v>214</v>
      </c>
      <c r="C36" s="53" t="s">
        <v>215</v>
      </c>
      <c r="D36" s="24" t="s">
        <v>86</v>
      </c>
      <c r="E36" s="25">
        <v>46244</v>
      </c>
      <c r="F36" s="53" t="s">
        <v>43</v>
      </c>
      <c r="G36" s="83"/>
      <c r="H36" s="53" t="s">
        <v>216</v>
      </c>
      <c r="I36" s="53" t="s">
        <v>217</v>
      </c>
      <c r="J36" s="24" t="s">
        <v>91</v>
      </c>
      <c r="K36" s="53" t="s">
        <v>217</v>
      </c>
      <c r="L36" s="85" t="s">
        <v>217</v>
      </c>
      <c r="M36" s="53"/>
      <c r="N36" s="53"/>
      <c r="O36" s="24" t="s">
        <v>43</v>
      </c>
      <c r="P36" s="24" t="s">
        <v>95</v>
      </c>
    </row>
    <row r="37" spans="1:16" ht="30">
      <c r="A37" s="23">
        <v>36</v>
      </c>
      <c r="B37" s="53" t="s">
        <v>218</v>
      </c>
      <c r="C37" s="53" t="s">
        <v>219</v>
      </c>
      <c r="D37" s="24" t="s">
        <v>86</v>
      </c>
      <c r="E37" s="25">
        <v>46237</v>
      </c>
      <c r="F37" s="53" t="s">
        <v>26</v>
      </c>
      <c r="G37" s="83"/>
      <c r="H37" s="73" t="s">
        <v>220</v>
      </c>
      <c r="I37" s="24" t="s">
        <v>213</v>
      </c>
      <c r="J37" s="24" t="s">
        <v>91</v>
      </c>
      <c r="K37" s="24" t="s">
        <v>92</v>
      </c>
      <c r="L37" s="24" t="s">
        <v>213</v>
      </c>
      <c r="M37" s="53" t="s">
        <v>27</v>
      </c>
      <c r="N37" s="53"/>
      <c r="O37" s="53" t="s">
        <v>27</v>
      </c>
      <c r="P37" s="24" t="s">
        <v>95</v>
      </c>
    </row>
    <row r="38" spans="1:16">
      <c r="A38" s="23">
        <v>37</v>
      </c>
      <c r="B38" s="53" t="s">
        <v>221</v>
      </c>
      <c r="C38" s="53" t="s">
        <v>222</v>
      </c>
      <c r="D38" s="24" t="s">
        <v>86</v>
      </c>
      <c r="E38" s="25">
        <v>46237</v>
      </c>
      <c r="F38" s="53" t="s">
        <v>26</v>
      </c>
      <c r="G38" s="83"/>
      <c r="H38" s="73"/>
      <c r="I38" s="24" t="s">
        <v>213</v>
      </c>
      <c r="J38" s="24" t="s">
        <v>91</v>
      </c>
      <c r="K38" s="24" t="s">
        <v>92</v>
      </c>
      <c r="L38" s="24" t="s">
        <v>213</v>
      </c>
      <c r="M38" s="53"/>
      <c r="N38" s="53"/>
      <c r="O38" s="53"/>
      <c r="P38" s="53"/>
    </row>
    <row r="39" spans="1:16">
      <c r="A39" s="23">
        <v>38</v>
      </c>
      <c r="B39" s="53" t="s">
        <v>223</v>
      </c>
      <c r="C39" s="53" t="s">
        <v>224</v>
      </c>
      <c r="D39" s="24" t="s">
        <v>86</v>
      </c>
      <c r="E39" s="25">
        <v>46237</v>
      </c>
      <c r="F39" s="53" t="s">
        <v>18</v>
      </c>
      <c r="G39" s="83"/>
      <c r="H39" s="73" t="s">
        <v>225</v>
      </c>
      <c r="I39" s="24" t="s">
        <v>90</v>
      </c>
      <c r="J39" s="24" t="s">
        <v>91</v>
      </c>
      <c r="K39" s="24" t="s">
        <v>92</v>
      </c>
      <c r="L39" s="24" t="s">
        <v>90</v>
      </c>
      <c r="M39" s="53"/>
      <c r="N39" s="53"/>
      <c r="O39" s="53"/>
      <c r="P39" s="53"/>
    </row>
    <row r="40" spans="1:16">
      <c r="A40" s="23">
        <v>39</v>
      </c>
      <c r="B40" s="53" t="s">
        <v>226</v>
      </c>
      <c r="C40" s="53" t="s">
        <v>227</v>
      </c>
      <c r="D40" s="24"/>
      <c r="E40" s="25">
        <v>46029</v>
      </c>
      <c r="F40" s="53" t="s">
        <v>228</v>
      </c>
      <c r="G40" s="83"/>
      <c r="H40" s="73"/>
      <c r="I40" s="24" t="s">
        <v>90</v>
      </c>
      <c r="J40" s="24" t="s">
        <v>91</v>
      </c>
      <c r="K40" s="24" t="s">
        <v>92</v>
      </c>
      <c r="L40" s="24" t="s">
        <v>90</v>
      </c>
      <c r="M40" s="53"/>
      <c r="N40" s="53"/>
      <c r="O40" s="24" t="s">
        <v>131</v>
      </c>
      <c r="P40" s="53" t="s">
        <v>56</v>
      </c>
    </row>
    <row r="41" spans="1:16">
      <c r="A41" s="23">
        <v>40</v>
      </c>
      <c r="B41" s="53" t="s">
        <v>229</v>
      </c>
      <c r="C41" s="53" t="s">
        <v>230</v>
      </c>
      <c r="D41" s="24"/>
      <c r="E41" s="25">
        <v>46029</v>
      </c>
      <c r="F41" s="53" t="s">
        <v>228</v>
      </c>
      <c r="G41" s="83"/>
      <c r="H41" s="73"/>
      <c r="I41" s="24" t="s">
        <v>90</v>
      </c>
      <c r="J41" s="24" t="s">
        <v>91</v>
      </c>
      <c r="K41" s="24" t="s">
        <v>92</v>
      </c>
      <c r="L41" s="24" t="s">
        <v>90</v>
      </c>
      <c r="M41" s="53"/>
      <c r="N41" s="53"/>
      <c r="O41" s="24" t="s">
        <v>131</v>
      </c>
      <c r="P41" s="53" t="s">
        <v>56</v>
      </c>
    </row>
    <row r="42" spans="1:16">
      <c r="A42" s="23">
        <v>41</v>
      </c>
      <c r="B42" s="53" t="s">
        <v>231</v>
      </c>
      <c r="C42" s="53" t="s">
        <v>232</v>
      </c>
      <c r="D42" s="24"/>
      <c r="E42" s="25">
        <v>46029</v>
      </c>
      <c r="F42" s="53" t="s">
        <v>228</v>
      </c>
      <c r="G42" s="83"/>
      <c r="H42" s="73"/>
      <c r="I42" s="24" t="s">
        <v>90</v>
      </c>
      <c r="J42" s="24" t="s">
        <v>91</v>
      </c>
      <c r="K42" s="24" t="s">
        <v>92</v>
      </c>
      <c r="L42" s="24" t="s">
        <v>90</v>
      </c>
      <c r="M42" s="53"/>
      <c r="N42" s="53"/>
      <c r="O42" s="24" t="s">
        <v>131</v>
      </c>
      <c r="P42" s="53" t="s">
        <v>56</v>
      </c>
    </row>
    <row r="43" spans="1:16">
      <c r="A43" s="23">
        <v>42</v>
      </c>
      <c r="B43" s="53" t="s">
        <v>233</v>
      </c>
      <c r="C43" s="53" t="s">
        <v>234</v>
      </c>
      <c r="D43" s="24"/>
      <c r="E43" s="25">
        <v>46029</v>
      </c>
      <c r="F43" s="53" t="s">
        <v>228</v>
      </c>
      <c r="G43" s="83"/>
      <c r="H43" s="73"/>
      <c r="I43" s="24" t="s">
        <v>90</v>
      </c>
      <c r="J43" s="24" t="s">
        <v>91</v>
      </c>
      <c r="K43" s="24" t="s">
        <v>92</v>
      </c>
      <c r="L43" s="24" t="s">
        <v>90</v>
      </c>
      <c r="M43" s="53"/>
      <c r="N43" s="53"/>
      <c r="O43" s="24" t="s">
        <v>131</v>
      </c>
      <c r="P43" s="53" t="s">
        <v>56</v>
      </c>
    </row>
    <row r="44" spans="1:16">
      <c r="A44" s="23">
        <v>43</v>
      </c>
      <c r="B44" s="53" t="s">
        <v>235</v>
      </c>
      <c r="C44" s="53" t="s">
        <v>236</v>
      </c>
      <c r="D44" s="24"/>
      <c r="E44" s="25">
        <v>46089</v>
      </c>
      <c r="F44" s="53" t="s">
        <v>237</v>
      </c>
      <c r="G44" s="83"/>
      <c r="H44" s="73"/>
      <c r="I44" s="24" t="s">
        <v>90</v>
      </c>
      <c r="J44" s="24" t="s">
        <v>91</v>
      </c>
      <c r="K44" s="24" t="s">
        <v>92</v>
      </c>
      <c r="L44" s="24" t="s">
        <v>90</v>
      </c>
      <c r="M44" s="24"/>
      <c r="N44" s="53"/>
      <c r="O44" s="24" t="s">
        <v>131</v>
      </c>
      <c r="P44" s="85" t="s">
        <v>61</v>
      </c>
    </row>
    <row r="45" spans="1:16">
      <c r="A45" s="23">
        <v>44</v>
      </c>
      <c r="B45" s="53" t="s">
        <v>238</v>
      </c>
      <c r="C45" s="53" t="s">
        <v>239</v>
      </c>
      <c r="D45" s="24"/>
      <c r="E45" s="25">
        <v>46089</v>
      </c>
      <c r="F45" s="53" t="s">
        <v>237</v>
      </c>
      <c r="G45" s="83"/>
      <c r="H45" s="73"/>
      <c r="I45" s="24" t="s">
        <v>90</v>
      </c>
      <c r="J45" s="24" t="s">
        <v>91</v>
      </c>
      <c r="K45" s="24" t="s">
        <v>92</v>
      </c>
      <c r="L45" s="24" t="s">
        <v>90</v>
      </c>
      <c r="M45" s="24"/>
      <c r="N45" s="53"/>
      <c r="O45" s="24" t="s">
        <v>131</v>
      </c>
      <c r="P45" s="85" t="s">
        <v>61</v>
      </c>
    </row>
    <row r="46" spans="1:16">
      <c r="A46" s="23">
        <v>45</v>
      </c>
      <c r="B46" s="53" t="s">
        <v>240</v>
      </c>
      <c r="C46" s="53" t="s">
        <v>241</v>
      </c>
      <c r="D46" s="24"/>
      <c r="E46" s="25">
        <v>46089</v>
      </c>
      <c r="F46" s="53" t="s">
        <v>237</v>
      </c>
      <c r="G46" s="83"/>
      <c r="H46" s="73"/>
      <c r="I46" s="24" t="s">
        <v>90</v>
      </c>
      <c r="J46" s="24" t="s">
        <v>91</v>
      </c>
      <c r="K46" s="24" t="s">
        <v>92</v>
      </c>
      <c r="L46" s="24" t="s">
        <v>90</v>
      </c>
      <c r="M46" s="24"/>
      <c r="N46" s="53"/>
      <c r="O46" s="24" t="s">
        <v>131</v>
      </c>
      <c r="P46" s="53" t="s">
        <v>61</v>
      </c>
    </row>
    <row r="47" spans="1:16">
      <c r="A47" s="23">
        <v>46</v>
      </c>
      <c r="B47" s="53" t="s">
        <v>242</v>
      </c>
      <c r="C47" s="53" t="s">
        <v>243</v>
      </c>
      <c r="D47" s="24"/>
      <c r="E47" s="25">
        <v>46258</v>
      </c>
      <c r="F47" s="53" t="s">
        <v>244</v>
      </c>
      <c r="G47" s="83"/>
      <c r="H47" s="73"/>
      <c r="I47" s="24" t="s">
        <v>90</v>
      </c>
      <c r="J47" s="24" t="s">
        <v>91</v>
      </c>
      <c r="K47" s="24" t="s">
        <v>92</v>
      </c>
      <c r="L47" s="24" t="s">
        <v>90</v>
      </c>
      <c r="M47" s="53"/>
      <c r="N47" s="53"/>
      <c r="O47" s="24" t="s">
        <v>43</v>
      </c>
      <c r="P47" s="53" t="s">
        <v>56</v>
      </c>
    </row>
    <row r="48" spans="1:16">
      <c r="A48" s="23">
        <v>47</v>
      </c>
      <c r="B48" s="53" t="s">
        <v>245</v>
      </c>
      <c r="C48" s="53" t="s">
        <v>246</v>
      </c>
      <c r="D48" s="24"/>
      <c r="E48" s="25">
        <v>46258</v>
      </c>
      <c r="F48" s="53" t="s">
        <v>244</v>
      </c>
      <c r="G48" s="83"/>
      <c r="H48" s="73"/>
      <c r="I48" s="24" t="s">
        <v>90</v>
      </c>
      <c r="J48" s="24" t="s">
        <v>91</v>
      </c>
      <c r="K48" s="24" t="s">
        <v>92</v>
      </c>
      <c r="L48" s="24" t="s">
        <v>90</v>
      </c>
      <c r="M48" s="53"/>
      <c r="N48" s="53"/>
      <c r="O48" s="24" t="s">
        <v>43</v>
      </c>
      <c r="P48" s="53" t="s">
        <v>56</v>
      </c>
    </row>
    <row r="49" spans="1:16">
      <c r="A49" s="23">
        <v>48</v>
      </c>
      <c r="B49" s="53" t="s">
        <v>247</v>
      </c>
      <c r="C49" s="53" t="s">
        <v>248</v>
      </c>
      <c r="D49" s="24"/>
      <c r="E49" s="25">
        <v>46258</v>
      </c>
      <c r="F49" s="53" t="s">
        <v>244</v>
      </c>
      <c r="G49" s="83"/>
      <c r="H49" s="73"/>
      <c r="I49" s="24" t="s">
        <v>90</v>
      </c>
      <c r="J49" s="24" t="s">
        <v>91</v>
      </c>
      <c r="K49" s="24" t="s">
        <v>92</v>
      </c>
      <c r="L49" s="24" t="s">
        <v>90</v>
      </c>
      <c r="M49" s="53"/>
      <c r="N49" s="53"/>
      <c r="O49" s="24" t="s">
        <v>43</v>
      </c>
      <c r="P49" s="53" t="s">
        <v>56</v>
      </c>
    </row>
    <row r="50" spans="1:16" ht="45.75">
      <c r="A50" s="23">
        <v>49</v>
      </c>
      <c r="B50" s="75" t="s">
        <v>249</v>
      </c>
      <c r="C50" s="75" t="s">
        <v>250</v>
      </c>
      <c r="D50" s="24" t="s">
        <v>251</v>
      </c>
      <c r="E50" s="25">
        <v>46250</v>
      </c>
      <c r="F50" s="24" t="s">
        <v>111</v>
      </c>
      <c r="G50" s="24" t="s">
        <v>252</v>
      </c>
      <c r="H50" s="35" t="s">
        <v>253</v>
      </c>
      <c r="I50" s="24" t="s">
        <v>90</v>
      </c>
      <c r="J50" s="24" t="s">
        <v>91</v>
      </c>
      <c r="K50" s="24" t="s">
        <v>92</v>
      </c>
      <c r="L50" s="24" t="s">
        <v>90</v>
      </c>
      <c r="M50" s="24" t="s">
        <v>131</v>
      </c>
      <c r="N50" s="24" t="s">
        <v>104</v>
      </c>
      <c r="O50" s="24" t="s">
        <v>131</v>
      </c>
      <c r="P50" s="24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68E0-7BDF-4423-99C6-A258F1D995DA}">
  <dimension ref="A1:Z390"/>
  <sheetViews>
    <sheetView topLeftCell="A386" workbookViewId="0">
      <selection activeCell="E405" sqref="E405"/>
    </sheetView>
  </sheetViews>
  <sheetFormatPr defaultColWidth="9.140625" defaultRowHeight="15"/>
  <cols>
    <col min="2" max="2" width="27.5703125" hidden="1" customWidth="1"/>
    <col min="3" max="3" width="14.7109375" bestFit="1" customWidth="1"/>
    <col min="4" max="4" width="16.85546875" bestFit="1" customWidth="1"/>
    <col min="5" max="5" width="18.5703125" bestFit="1" customWidth="1"/>
    <col min="6" max="6" width="29.85546875" bestFit="1" customWidth="1"/>
    <col min="7" max="7" width="14.140625" bestFit="1" customWidth="1"/>
    <col min="8" max="8" width="30.7109375" bestFit="1" customWidth="1"/>
    <col min="9" max="9" width="14.42578125" bestFit="1" customWidth="1"/>
    <col min="10" max="10" width="11.5703125" bestFit="1" customWidth="1"/>
    <col min="11" max="11" width="21.42578125" bestFit="1" customWidth="1"/>
    <col min="12" max="12" width="20.28515625" bestFit="1" customWidth="1"/>
    <col min="13" max="13" width="28.5703125" bestFit="1" customWidth="1"/>
    <col min="14" max="14" width="18.140625" bestFit="1" customWidth="1"/>
    <col min="15" max="15" width="30.7109375" bestFit="1" customWidth="1"/>
    <col min="16" max="16" width="20.85546875" bestFit="1" customWidth="1"/>
    <col min="17" max="17" width="12.28515625" bestFit="1" customWidth="1"/>
    <col min="18" max="18" width="17.85546875" hidden="1" customWidth="1"/>
    <col min="19" max="19" width="17.85546875" customWidth="1"/>
    <col min="20" max="20" width="22.7109375" bestFit="1" customWidth="1"/>
    <col min="21" max="21" width="22.7109375" hidden="1" customWidth="1"/>
    <col min="22" max="22" width="26.7109375" hidden="1" customWidth="1"/>
    <col min="23" max="24" width="26.7109375" customWidth="1"/>
    <col min="25" max="25" width="15.28515625" bestFit="1" customWidth="1"/>
  </cols>
  <sheetData>
    <row r="1" spans="1:26">
      <c r="A1" s="14" t="s">
        <v>254</v>
      </c>
      <c r="B1" s="15" t="s">
        <v>255</v>
      </c>
      <c r="C1" s="15" t="s">
        <v>256</v>
      </c>
      <c r="D1" s="15" t="s">
        <v>257</v>
      </c>
      <c r="E1" s="15" t="s">
        <v>258</v>
      </c>
      <c r="F1" s="15" t="s">
        <v>259</v>
      </c>
      <c r="G1" s="15" t="s">
        <v>260</v>
      </c>
      <c r="H1" s="15" t="s">
        <v>261</v>
      </c>
      <c r="I1" s="15" t="s">
        <v>262</v>
      </c>
      <c r="J1" s="15" t="s">
        <v>263</v>
      </c>
      <c r="K1" s="15" t="s">
        <v>264</v>
      </c>
      <c r="L1" s="15" t="s">
        <v>265</v>
      </c>
      <c r="M1" s="15" t="s">
        <v>266</v>
      </c>
      <c r="N1" s="15" t="s">
        <v>267</v>
      </c>
      <c r="O1" s="15" t="s">
        <v>268</v>
      </c>
      <c r="P1" s="15" t="s">
        <v>269</v>
      </c>
      <c r="Q1" s="15" t="s">
        <v>270</v>
      </c>
      <c r="R1" s="15" t="s">
        <v>271</v>
      </c>
      <c r="S1" s="15" t="s">
        <v>272</v>
      </c>
      <c r="T1" s="15" t="s">
        <v>273</v>
      </c>
      <c r="U1" s="15" t="s">
        <v>274</v>
      </c>
      <c r="V1" s="15" t="s">
        <v>275</v>
      </c>
      <c r="W1" s="15" t="s">
        <v>276</v>
      </c>
      <c r="X1" s="15" t="s">
        <v>277</v>
      </c>
      <c r="Y1" s="15" t="s">
        <v>278</v>
      </c>
      <c r="Z1" s="15" t="s">
        <v>2</v>
      </c>
    </row>
    <row r="2" spans="1:26">
      <c r="A2" s="12">
        <v>1</v>
      </c>
      <c r="B2" s="6" t="s">
        <v>279</v>
      </c>
      <c r="C2" s="6" t="s">
        <v>85</v>
      </c>
      <c r="D2" s="6" t="s">
        <v>86</v>
      </c>
      <c r="E2" s="7">
        <v>45398</v>
      </c>
      <c r="F2" s="6" t="s">
        <v>111</v>
      </c>
      <c r="G2" s="6" t="s">
        <v>252</v>
      </c>
      <c r="H2" s="6" t="s">
        <v>280</v>
      </c>
      <c r="I2" s="6" t="s">
        <v>90</v>
      </c>
      <c r="J2" s="6" t="s">
        <v>91</v>
      </c>
      <c r="K2" s="6" t="s">
        <v>92</v>
      </c>
      <c r="L2" s="6" t="s">
        <v>90</v>
      </c>
      <c r="M2" s="6" t="s">
        <v>131</v>
      </c>
      <c r="N2" s="6" t="s">
        <v>95</v>
      </c>
      <c r="O2" s="6" t="s">
        <v>131</v>
      </c>
      <c r="P2" s="6" t="s">
        <v>122</v>
      </c>
      <c r="Q2" s="6" t="s">
        <v>281</v>
      </c>
      <c r="R2" s="6" t="s">
        <v>282</v>
      </c>
      <c r="S2" s="6" t="str">
        <f>VLOOKUP(R2,Customer_Mapping!A:B,2,FALSE)</f>
        <v>Customer_001</v>
      </c>
      <c r="T2" s="6" t="s">
        <v>283</v>
      </c>
      <c r="U2" s="6" t="s">
        <v>284</v>
      </c>
      <c r="V2" s="6" t="s">
        <v>285</v>
      </c>
      <c r="W2" s="105" t="str">
        <f>IF(U2="","",IFERROR(_xlfn.XLOOKUP(U2,Mapping!$A:$A,Mapping!$B:$B),""))</f>
        <v>Project_001</v>
      </c>
      <c r="X2" s="6" t="str">
        <f>IF(V2="","",IFERROR(_xlfn.XLOOKUP(V2,Mapping!$A:$A,Mapping!$B:$B),""))</f>
        <v>Project_017</v>
      </c>
      <c r="Y2" s="6" t="s">
        <v>286</v>
      </c>
      <c r="Z2" s="6" t="s">
        <v>131</v>
      </c>
    </row>
    <row r="3" spans="1:26">
      <c r="A3" s="12">
        <v>2</v>
      </c>
      <c r="B3" s="6" t="s">
        <v>287</v>
      </c>
      <c r="C3" s="6" t="s">
        <v>97</v>
      </c>
      <c r="D3" s="6" t="s">
        <v>86</v>
      </c>
      <c r="E3" s="7">
        <v>44896</v>
      </c>
      <c r="F3" s="6" t="s">
        <v>288</v>
      </c>
      <c r="G3" s="6" t="s">
        <v>175</v>
      </c>
      <c r="H3" s="6" t="s">
        <v>289</v>
      </c>
      <c r="I3" s="6" t="s">
        <v>90</v>
      </c>
      <c r="J3" s="6" t="s">
        <v>91</v>
      </c>
      <c r="K3" s="6" t="s">
        <v>92</v>
      </c>
      <c r="L3" s="6" t="s">
        <v>90</v>
      </c>
      <c r="M3" s="6" t="s">
        <v>131</v>
      </c>
      <c r="N3" s="6" t="s">
        <v>104</v>
      </c>
      <c r="O3" s="6" t="s">
        <v>290</v>
      </c>
      <c r="P3" s="6" t="s">
        <v>104</v>
      </c>
      <c r="Q3" s="6" t="s">
        <v>291</v>
      </c>
      <c r="R3" s="6" t="s">
        <v>282</v>
      </c>
      <c r="S3" s="6" t="str">
        <f>VLOOKUP(R3,Customer_Mapping!A:B,2,FALSE)</f>
        <v>Customer_001</v>
      </c>
      <c r="T3" s="6" t="s">
        <v>283</v>
      </c>
      <c r="U3" s="6" t="s">
        <v>292</v>
      </c>
      <c r="V3" s="6" t="s">
        <v>284</v>
      </c>
      <c r="W3" s="6" t="str">
        <f>IF(U3="","",IFERROR(_xlfn.XLOOKUP(U3,Mapping!$A:$A,Mapping!$B:$B),""))</f>
        <v>Project_002</v>
      </c>
      <c r="X3" s="6" t="str">
        <f>IF(V3="","",IFERROR(_xlfn.XLOOKUP(V3,Mapping!$A:$A,Mapping!$B:$B),""))</f>
        <v>Project_001</v>
      </c>
      <c r="Y3" s="6" t="s">
        <v>286</v>
      </c>
      <c r="Z3" s="6" t="s">
        <v>131</v>
      </c>
    </row>
    <row r="4" spans="1:26">
      <c r="A4" s="12">
        <v>3</v>
      </c>
      <c r="B4" s="6" t="s">
        <v>293</v>
      </c>
      <c r="C4" s="6" t="s">
        <v>99</v>
      </c>
      <c r="D4" s="6" t="s">
        <v>86</v>
      </c>
      <c r="E4" s="7">
        <v>44902</v>
      </c>
      <c r="F4" s="6" t="s">
        <v>26</v>
      </c>
      <c r="G4" s="6" t="s">
        <v>294</v>
      </c>
      <c r="H4" s="6" t="s">
        <v>295</v>
      </c>
      <c r="I4" s="6" t="s">
        <v>90</v>
      </c>
      <c r="J4" s="6" t="s">
        <v>91</v>
      </c>
      <c r="K4" s="6" t="s">
        <v>92</v>
      </c>
      <c r="L4" s="6" t="s">
        <v>90</v>
      </c>
      <c r="M4" s="6" t="s">
        <v>27</v>
      </c>
      <c r="N4" s="6" t="s">
        <v>104</v>
      </c>
      <c r="O4" s="6" t="s">
        <v>27</v>
      </c>
      <c r="P4" s="6" t="s">
        <v>95</v>
      </c>
      <c r="Q4" s="6" t="s">
        <v>296</v>
      </c>
      <c r="R4" s="6" t="s">
        <v>297</v>
      </c>
      <c r="S4" s="6" t="str">
        <f>VLOOKUP(R4,Customer_Mapping!A:B,2,FALSE)</f>
        <v>Customer_002</v>
      </c>
      <c r="T4" s="6" t="s">
        <v>283</v>
      </c>
      <c r="U4" s="6" t="s">
        <v>298</v>
      </c>
      <c r="V4" s="6" t="s">
        <v>292</v>
      </c>
      <c r="W4" s="6" t="str">
        <f>IF(U4="","",IFERROR(_xlfn.XLOOKUP(U4,Mapping!$A:$A,Mapping!$B:$B),""))</f>
        <v>Project_003</v>
      </c>
      <c r="X4" s="6" t="str">
        <f>IF(V4="","",IFERROR(_xlfn.XLOOKUP(V4,Mapping!$A:$A,Mapping!$B:$B),""))</f>
        <v>Project_002</v>
      </c>
      <c r="Y4" s="6" t="s">
        <v>286</v>
      </c>
      <c r="Z4" s="6" t="s">
        <v>27</v>
      </c>
    </row>
    <row r="5" spans="1:26">
      <c r="A5" s="12">
        <v>4</v>
      </c>
      <c r="B5" s="6" t="s">
        <v>299</v>
      </c>
      <c r="C5" s="6" t="s">
        <v>106</v>
      </c>
      <c r="D5" s="6" t="s">
        <v>86</v>
      </c>
      <c r="E5" s="7">
        <v>44028</v>
      </c>
      <c r="F5" s="6" t="s">
        <v>111</v>
      </c>
      <c r="G5" s="6" t="s">
        <v>88</v>
      </c>
      <c r="H5" s="6" t="s">
        <v>130</v>
      </c>
      <c r="I5" s="6" t="s">
        <v>90</v>
      </c>
      <c r="J5" s="6" t="s">
        <v>91</v>
      </c>
      <c r="K5" s="6" t="s">
        <v>92</v>
      </c>
      <c r="L5" s="6" t="s">
        <v>90</v>
      </c>
      <c r="M5" s="6" t="s">
        <v>131</v>
      </c>
      <c r="N5" s="6" t="s">
        <v>95</v>
      </c>
      <c r="O5" s="6" t="s">
        <v>131</v>
      </c>
      <c r="P5" s="6" t="s">
        <v>95</v>
      </c>
      <c r="Q5" s="6" t="s">
        <v>281</v>
      </c>
      <c r="R5" s="6" t="s">
        <v>300</v>
      </c>
      <c r="S5" s="6" t="str">
        <f>VLOOKUP(R5,Customer_Mapping!A:B,2,FALSE)</f>
        <v>Customer_003</v>
      </c>
      <c r="T5" s="6" t="s">
        <v>283</v>
      </c>
      <c r="U5" s="6" t="s">
        <v>301</v>
      </c>
      <c r="V5" s="6" t="s">
        <v>298</v>
      </c>
      <c r="W5" s="6" t="str">
        <f>IF(U5="","",IFERROR(_xlfn.XLOOKUP(U5,Mapping!$A:$A,Mapping!$B:$B),""))</f>
        <v>Project_004</v>
      </c>
      <c r="X5" s="6" t="str">
        <f>IF(V5="","",IFERROR(_xlfn.XLOOKUP(V5,Mapping!$A:$A,Mapping!$B:$B),""))</f>
        <v>Project_003</v>
      </c>
      <c r="Y5" s="6" t="s">
        <v>286</v>
      </c>
      <c r="Z5" s="6" t="s">
        <v>131</v>
      </c>
    </row>
    <row r="6" spans="1:26">
      <c r="A6" s="12">
        <v>5</v>
      </c>
      <c r="B6" s="6" t="s">
        <v>302</v>
      </c>
      <c r="C6" s="6" t="s">
        <v>110</v>
      </c>
      <c r="D6" s="6" t="s">
        <v>86</v>
      </c>
      <c r="E6" s="7">
        <v>46082</v>
      </c>
      <c r="F6" s="6" t="s">
        <v>100</v>
      </c>
      <c r="G6" s="6" t="s">
        <v>94</v>
      </c>
      <c r="H6" s="6" t="s">
        <v>303</v>
      </c>
      <c r="I6" s="6" t="s">
        <v>90</v>
      </c>
      <c r="J6" s="6" t="s">
        <v>91</v>
      </c>
      <c r="K6" s="6" t="s">
        <v>92</v>
      </c>
      <c r="L6" s="6" t="s">
        <v>90</v>
      </c>
      <c r="M6" s="6" t="s">
        <v>93</v>
      </c>
      <c r="N6" s="6" t="s">
        <v>104</v>
      </c>
      <c r="O6" s="6" t="s">
        <v>93</v>
      </c>
      <c r="P6" s="6" t="s">
        <v>104</v>
      </c>
      <c r="Q6" s="6" t="s">
        <v>304</v>
      </c>
      <c r="R6" s="6" t="s">
        <v>282</v>
      </c>
      <c r="S6" s="6" t="str">
        <f>VLOOKUP(R6,Customer_Mapping!A:B,2,FALSE)</f>
        <v>Customer_001</v>
      </c>
      <c r="T6" s="6" t="s">
        <v>283</v>
      </c>
      <c r="U6" s="6" t="s">
        <v>305</v>
      </c>
      <c r="V6" s="6" t="s">
        <v>301</v>
      </c>
      <c r="W6" s="6" t="str">
        <f>IF(U6="","",IFERROR(_xlfn.XLOOKUP(U6,Mapping!$A:$A,Mapping!$B:$B),""))</f>
        <v>Project_005</v>
      </c>
      <c r="X6" s="6" t="str">
        <f>IF(V6="","",IFERROR(_xlfn.XLOOKUP(V6,Mapping!$A:$A,Mapping!$B:$B),""))</f>
        <v>Project_004</v>
      </c>
      <c r="Y6" s="6" t="s">
        <v>286</v>
      </c>
      <c r="Z6" s="6" t="s">
        <v>93</v>
      </c>
    </row>
    <row r="7" spans="1:26">
      <c r="A7" s="12">
        <v>6</v>
      </c>
      <c r="B7" s="6" t="s">
        <v>306</v>
      </c>
      <c r="C7" s="6" t="s">
        <v>115</v>
      </c>
      <c r="D7" s="6" t="s">
        <v>86</v>
      </c>
      <c r="E7" s="7">
        <v>45673</v>
      </c>
      <c r="F7" s="6" t="s">
        <v>288</v>
      </c>
      <c r="G7" s="6" t="s">
        <v>94</v>
      </c>
      <c r="H7" s="6" t="s">
        <v>307</v>
      </c>
      <c r="I7" s="6" t="s">
        <v>90</v>
      </c>
      <c r="J7" s="6" t="s">
        <v>91</v>
      </c>
      <c r="K7" s="6" t="s">
        <v>92</v>
      </c>
      <c r="L7" s="6" t="s">
        <v>90</v>
      </c>
      <c r="M7" s="6" t="s">
        <v>131</v>
      </c>
      <c r="N7" s="6" t="s">
        <v>104</v>
      </c>
      <c r="O7" s="6" t="s">
        <v>131</v>
      </c>
      <c r="P7" s="6" t="s">
        <v>95</v>
      </c>
      <c r="Q7" s="6" t="s">
        <v>291</v>
      </c>
      <c r="R7" s="6" t="s">
        <v>308</v>
      </c>
      <c r="S7" s="6" t="str">
        <f>VLOOKUP(R7,Customer_Mapping!A:B,2,FALSE)</f>
        <v>Customer_004</v>
      </c>
      <c r="T7" s="6" t="s">
        <v>283</v>
      </c>
      <c r="U7" s="6" t="s">
        <v>309</v>
      </c>
      <c r="V7" s="6" t="s">
        <v>305</v>
      </c>
      <c r="W7" s="6" t="str">
        <f>IF(U7="","",IFERROR(_xlfn.XLOOKUP(U7,Mapping!$A:$A,Mapping!$B:$B),""))</f>
        <v>Project_006</v>
      </c>
      <c r="X7" s="6" t="str">
        <f>IF(V7="","",IFERROR(_xlfn.XLOOKUP(V7,Mapping!$A:$A,Mapping!$B:$B),""))</f>
        <v>Project_005</v>
      </c>
      <c r="Y7" s="6" t="s">
        <v>286</v>
      </c>
      <c r="Z7" s="6" t="s">
        <v>131</v>
      </c>
    </row>
    <row r="8" spans="1:26">
      <c r="A8" s="12">
        <v>7</v>
      </c>
      <c r="B8" s="6" t="s">
        <v>310</v>
      </c>
      <c r="C8" s="6" t="s">
        <v>119</v>
      </c>
      <c r="D8" s="6" t="s">
        <v>86</v>
      </c>
      <c r="E8" s="7">
        <v>44667</v>
      </c>
      <c r="F8" s="6" t="s">
        <v>288</v>
      </c>
      <c r="G8" s="6" t="s">
        <v>311</v>
      </c>
      <c r="H8" s="6" t="s">
        <v>312</v>
      </c>
      <c r="I8" s="6" t="s">
        <v>90</v>
      </c>
      <c r="J8" s="6" t="s">
        <v>91</v>
      </c>
      <c r="K8" s="6" t="s">
        <v>92</v>
      </c>
      <c r="L8" s="6" t="s">
        <v>90</v>
      </c>
      <c r="M8" s="6" t="s">
        <v>313</v>
      </c>
      <c r="N8" s="6" t="s">
        <v>94</v>
      </c>
      <c r="O8" s="6" t="s">
        <v>184</v>
      </c>
      <c r="P8" s="6" t="s">
        <v>95</v>
      </c>
      <c r="Q8" s="6" t="s">
        <v>291</v>
      </c>
      <c r="R8" s="6" t="s">
        <v>314</v>
      </c>
      <c r="S8" s="6" t="str">
        <f>VLOOKUP(R8,Customer_Mapping!A:B,2,FALSE)</f>
        <v>Customer_005</v>
      </c>
      <c r="T8" s="6" t="s">
        <v>283</v>
      </c>
      <c r="U8" s="6" t="s">
        <v>315</v>
      </c>
      <c r="V8" s="6" t="s">
        <v>309</v>
      </c>
      <c r="W8" s="6" t="str">
        <f>IF(U8="","",IFERROR(_xlfn.XLOOKUP(U8,Mapping!$A:$A,Mapping!$B:$B),""))</f>
        <v>Project_007</v>
      </c>
      <c r="X8" s="6" t="str">
        <f>IF(V8="","",IFERROR(_xlfn.XLOOKUP(V8,Mapping!$A:$A,Mapping!$B:$B),""))</f>
        <v>Project_006</v>
      </c>
      <c r="Y8" s="6" t="s">
        <v>286</v>
      </c>
      <c r="Z8" s="6" t="s">
        <v>313</v>
      </c>
    </row>
    <row r="9" spans="1:26">
      <c r="A9" s="12">
        <v>8</v>
      </c>
      <c r="B9" s="6" t="s">
        <v>316</v>
      </c>
      <c r="C9" s="6" t="s">
        <v>124</v>
      </c>
      <c r="D9" s="6" t="s">
        <v>86</v>
      </c>
      <c r="E9" s="7">
        <v>46060</v>
      </c>
      <c r="F9" s="6" t="s">
        <v>100</v>
      </c>
      <c r="G9" s="6" t="s">
        <v>94</v>
      </c>
      <c r="H9" s="6" t="s">
        <v>94</v>
      </c>
      <c r="I9" s="6" t="s">
        <v>213</v>
      </c>
      <c r="J9" s="6" t="s">
        <v>91</v>
      </c>
      <c r="K9" s="6" t="s">
        <v>92</v>
      </c>
      <c r="L9" s="6" t="s">
        <v>213</v>
      </c>
      <c r="M9" s="6" t="s">
        <v>93</v>
      </c>
      <c r="N9" s="6" t="s">
        <v>104</v>
      </c>
      <c r="O9" s="6" t="s">
        <v>93</v>
      </c>
      <c r="P9" s="6" t="s">
        <v>104</v>
      </c>
      <c r="Q9" s="6" t="s">
        <v>304</v>
      </c>
      <c r="R9" s="6" t="s">
        <v>317</v>
      </c>
      <c r="S9" s="6" t="str">
        <f>VLOOKUP(R9,Customer_Mapping!A:B,2,FALSE)</f>
        <v>Customer_006</v>
      </c>
      <c r="T9" s="6" t="s">
        <v>283</v>
      </c>
      <c r="U9" s="6" t="s">
        <v>318</v>
      </c>
      <c r="V9" s="6" t="s">
        <v>315</v>
      </c>
      <c r="W9" s="6" t="str">
        <f>IF(U9="","",IFERROR(_xlfn.XLOOKUP(U9,Mapping!$A:$A,Mapping!$B:$B),""))</f>
        <v>Project_008</v>
      </c>
      <c r="X9" s="6" t="str">
        <f>IF(V9="","",IFERROR(_xlfn.XLOOKUP(V9,Mapping!$A:$A,Mapping!$B:$B),""))</f>
        <v>Project_007</v>
      </c>
      <c r="Y9" s="6" t="s">
        <v>286</v>
      </c>
      <c r="Z9" s="6" t="s">
        <v>93</v>
      </c>
    </row>
    <row r="10" spans="1:26">
      <c r="A10" s="12">
        <v>9</v>
      </c>
      <c r="B10" s="6" t="s">
        <v>319</v>
      </c>
      <c r="C10" s="6" t="s">
        <v>129</v>
      </c>
      <c r="D10" s="6" t="s">
        <v>86</v>
      </c>
      <c r="E10" s="7">
        <v>45200</v>
      </c>
      <c r="F10" s="6" t="s">
        <v>204</v>
      </c>
      <c r="G10" s="6" t="s">
        <v>134</v>
      </c>
      <c r="H10" s="6" t="s">
        <v>320</v>
      </c>
      <c r="I10" s="6" t="s">
        <v>90</v>
      </c>
      <c r="J10" s="6" t="s">
        <v>91</v>
      </c>
      <c r="K10" s="6" t="s">
        <v>92</v>
      </c>
      <c r="L10" s="6" t="s">
        <v>90</v>
      </c>
      <c r="M10" s="6" t="s">
        <v>43</v>
      </c>
      <c r="N10" s="6" t="s">
        <v>122</v>
      </c>
      <c r="O10" s="6" t="s">
        <v>43</v>
      </c>
      <c r="P10" s="6" t="s">
        <v>104</v>
      </c>
      <c r="Q10" s="6" t="s">
        <v>321</v>
      </c>
      <c r="R10" s="6" t="s">
        <v>308</v>
      </c>
      <c r="S10" s="6" t="str">
        <f>VLOOKUP(R10,Customer_Mapping!A:B,2,FALSE)</f>
        <v>Customer_004</v>
      </c>
      <c r="T10" s="6" t="s">
        <v>283</v>
      </c>
      <c r="U10" s="6" t="s">
        <v>298</v>
      </c>
      <c r="V10" s="6" t="s">
        <v>318</v>
      </c>
      <c r="W10" s="6" t="str">
        <f>IF(U10="","",IFERROR(_xlfn.XLOOKUP(U10,Mapping!$A:$A,Mapping!$B:$B),""))</f>
        <v>Project_003</v>
      </c>
      <c r="X10" s="6" t="str">
        <f>IF(V10="","",IFERROR(_xlfn.XLOOKUP(V10,Mapping!$A:$A,Mapping!$B:$B),""))</f>
        <v>Project_008</v>
      </c>
      <c r="Y10" s="6" t="s">
        <v>286</v>
      </c>
      <c r="Z10" s="6" t="s">
        <v>43</v>
      </c>
    </row>
    <row r="11" spans="1:26">
      <c r="A11" s="12">
        <v>10</v>
      </c>
      <c r="B11" s="6" t="s">
        <v>322</v>
      </c>
      <c r="C11" s="6" t="s">
        <v>133</v>
      </c>
      <c r="D11" s="6" t="s">
        <v>86</v>
      </c>
      <c r="E11" s="7">
        <v>46007</v>
      </c>
      <c r="F11" s="6" t="s">
        <v>111</v>
      </c>
      <c r="G11" s="6" t="s">
        <v>94</v>
      </c>
      <c r="H11" s="6" t="s">
        <v>94</v>
      </c>
      <c r="I11" s="6" t="s">
        <v>90</v>
      </c>
      <c r="J11" s="6" t="s">
        <v>91</v>
      </c>
      <c r="K11" s="6" t="s">
        <v>92</v>
      </c>
      <c r="L11" s="6" t="s">
        <v>90</v>
      </c>
      <c r="M11" s="6" t="s">
        <v>103</v>
      </c>
      <c r="N11" s="6" t="s">
        <v>95</v>
      </c>
      <c r="O11" s="6" t="s">
        <v>131</v>
      </c>
      <c r="P11" s="6" t="s">
        <v>104</v>
      </c>
      <c r="Q11" s="6" t="s">
        <v>281</v>
      </c>
      <c r="R11" s="6" t="s">
        <v>300</v>
      </c>
      <c r="S11" s="6" t="str">
        <f>VLOOKUP(R11,Customer_Mapping!A:B,2,FALSE)</f>
        <v>Customer_003</v>
      </c>
      <c r="T11" s="6" t="s">
        <v>283</v>
      </c>
      <c r="U11" s="6" t="s">
        <v>323</v>
      </c>
      <c r="V11" s="6" t="s">
        <v>298</v>
      </c>
      <c r="W11" s="6" t="str">
        <f>IF(U11="","",IFERROR(_xlfn.XLOOKUP(U11,Mapping!$A:$A,Mapping!$B:$B),""))</f>
        <v>Project_009</v>
      </c>
      <c r="X11" s="6" t="str">
        <f>IF(V11="","",IFERROR(_xlfn.XLOOKUP(V11,Mapping!$A:$A,Mapping!$B:$B),""))</f>
        <v>Project_003</v>
      </c>
      <c r="Y11" s="6" t="s">
        <v>286</v>
      </c>
      <c r="Z11" s="6" t="s">
        <v>103</v>
      </c>
    </row>
    <row r="12" spans="1:26">
      <c r="A12" s="12">
        <v>11</v>
      </c>
      <c r="B12" s="6" t="s">
        <v>324</v>
      </c>
      <c r="C12" s="6" t="s">
        <v>138</v>
      </c>
      <c r="D12" s="6" t="s">
        <v>86</v>
      </c>
      <c r="E12" s="7">
        <v>45114</v>
      </c>
      <c r="F12" s="6" t="s">
        <v>288</v>
      </c>
      <c r="G12" s="6" t="s">
        <v>252</v>
      </c>
      <c r="H12" s="6" t="s">
        <v>325</v>
      </c>
      <c r="I12" s="6" t="s">
        <v>90</v>
      </c>
      <c r="J12" s="6" t="s">
        <v>91</v>
      </c>
      <c r="K12" s="6" t="s">
        <v>92</v>
      </c>
      <c r="L12" s="6" t="s">
        <v>90</v>
      </c>
      <c r="M12" s="6" t="s">
        <v>136</v>
      </c>
      <c r="N12" s="6" t="s">
        <v>94</v>
      </c>
      <c r="O12" s="6" t="s">
        <v>136</v>
      </c>
      <c r="P12" s="6" t="s">
        <v>104</v>
      </c>
      <c r="Q12" s="6" t="s">
        <v>291</v>
      </c>
      <c r="R12" s="6" t="s">
        <v>326</v>
      </c>
      <c r="S12" s="6" t="str">
        <f>VLOOKUP(R12,Customer_Mapping!A:B,2,FALSE)</f>
        <v>Customer_007</v>
      </c>
      <c r="T12" s="6" t="s">
        <v>283</v>
      </c>
      <c r="U12" s="6" t="s">
        <v>327</v>
      </c>
      <c r="V12" s="6" t="s">
        <v>323</v>
      </c>
      <c r="W12" s="6" t="str">
        <f>IF(U12="","",IFERROR(_xlfn.XLOOKUP(U12,Mapping!$A:$A,Mapping!$B:$B),""))</f>
        <v>Project_010</v>
      </c>
      <c r="X12" s="6" t="str">
        <f>IF(V12="","",IFERROR(_xlfn.XLOOKUP(V12,Mapping!$A:$A,Mapping!$B:$B),""))</f>
        <v>Project_009</v>
      </c>
      <c r="Y12" s="6" t="s">
        <v>286</v>
      </c>
      <c r="Z12" s="6" t="s">
        <v>136</v>
      </c>
    </row>
    <row r="13" spans="1:26">
      <c r="A13" s="12">
        <v>12</v>
      </c>
      <c r="B13" s="6" t="s">
        <v>328</v>
      </c>
      <c r="C13" s="6" t="s">
        <v>140</v>
      </c>
      <c r="D13" s="6" t="s">
        <v>86</v>
      </c>
      <c r="E13" s="7">
        <v>44400</v>
      </c>
      <c r="F13" s="6" t="s">
        <v>111</v>
      </c>
      <c r="G13" s="6" t="s">
        <v>175</v>
      </c>
      <c r="H13" s="6" t="s">
        <v>329</v>
      </c>
      <c r="I13" s="6" t="s">
        <v>90</v>
      </c>
      <c r="J13" s="6" t="s">
        <v>91</v>
      </c>
      <c r="K13" s="6" t="s">
        <v>92</v>
      </c>
      <c r="L13" s="6" t="s">
        <v>90</v>
      </c>
      <c r="M13" s="6" t="s">
        <v>103</v>
      </c>
      <c r="N13" s="6" t="s">
        <v>95</v>
      </c>
      <c r="O13" s="6" t="s">
        <v>117</v>
      </c>
      <c r="P13" s="6" t="s">
        <v>122</v>
      </c>
      <c r="Q13" s="6" t="s">
        <v>281</v>
      </c>
      <c r="R13" s="6" t="s">
        <v>330</v>
      </c>
      <c r="S13" s="6" t="str">
        <f>VLOOKUP(R13,Customer_Mapping!A:B,2,FALSE)</f>
        <v>Customer_008</v>
      </c>
      <c r="T13" s="6" t="s">
        <v>283</v>
      </c>
      <c r="U13" s="6" t="s">
        <v>331</v>
      </c>
      <c r="V13" s="6" t="s">
        <v>327</v>
      </c>
      <c r="W13" s="6" t="str">
        <f>IF(U13="","",IFERROR(_xlfn.XLOOKUP(U13,Mapping!$A:$A,Mapping!$B:$B),""))</f>
        <v>Project_011</v>
      </c>
      <c r="X13" s="6" t="str">
        <f>IF(V13="","",IFERROR(_xlfn.XLOOKUP(V13,Mapping!$A:$A,Mapping!$B:$B),""))</f>
        <v>Project_010</v>
      </c>
      <c r="Y13" s="6" t="s">
        <v>286</v>
      </c>
      <c r="Z13" s="6" t="s">
        <v>103</v>
      </c>
    </row>
    <row r="14" spans="1:26">
      <c r="A14" s="12">
        <v>13</v>
      </c>
      <c r="B14" s="6" t="s">
        <v>332</v>
      </c>
      <c r="C14" s="6" t="s">
        <v>145</v>
      </c>
      <c r="D14" s="6" t="s">
        <v>86</v>
      </c>
      <c r="E14" s="7">
        <v>45754</v>
      </c>
      <c r="F14" s="6" t="s">
        <v>288</v>
      </c>
      <c r="G14" s="6" t="s">
        <v>94</v>
      </c>
      <c r="H14" s="6" t="s">
        <v>333</v>
      </c>
      <c r="I14" s="6" t="s">
        <v>90</v>
      </c>
      <c r="J14" s="6" t="s">
        <v>91</v>
      </c>
      <c r="K14" s="6" t="s">
        <v>92</v>
      </c>
      <c r="L14" s="6" t="s">
        <v>90</v>
      </c>
      <c r="M14" s="6" t="s">
        <v>131</v>
      </c>
      <c r="N14" s="6" t="s">
        <v>104</v>
      </c>
      <c r="O14" s="6" t="s">
        <v>131</v>
      </c>
      <c r="P14" s="6" t="s">
        <v>95</v>
      </c>
      <c r="Q14" s="6" t="s">
        <v>291</v>
      </c>
      <c r="R14" s="6" t="s">
        <v>334</v>
      </c>
      <c r="S14" s="6" t="str">
        <f>VLOOKUP(R14,Customer_Mapping!A:B,2,FALSE)</f>
        <v>Customer_009</v>
      </c>
      <c r="T14" s="6" t="s">
        <v>335</v>
      </c>
      <c r="U14" s="6" t="s">
        <v>301</v>
      </c>
      <c r="V14" s="6" t="s">
        <v>331</v>
      </c>
      <c r="W14" s="6" t="str">
        <f>IF(U14="","",IFERROR(_xlfn.XLOOKUP(U14,Mapping!$A:$A,Mapping!$B:$B),""))</f>
        <v>Project_004</v>
      </c>
      <c r="X14" s="6" t="str">
        <f>IF(V14="","",IFERROR(_xlfn.XLOOKUP(V14,Mapping!$A:$A,Mapping!$B:$B),""))</f>
        <v>Project_011</v>
      </c>
      <c r="Y14" s="6" t="s">
        <v>286</v>
      </c>
      <c r="Z14" s="6" t="s">
        <v>131</v>
      </c>
    </row>
    <row r="15" spans="1:26">
      <c r="A15" s="12">
        <v>14</v>
      </c>
      <c r="B15" s="6" t="s">
        <v>336</v>
      </c>
      <c r="C15" s="6" t="s">
        <v>149</v>
      </c>
      <c r="D15" s="6" t="s">
        <v>86</v>
      </c>
      <c r="E15" s="7">
        <v>46060</v>
      </c>
      <c r="F15" s="6" t="s">
        <v>337</v>
      </c>
      <c r="G15" s="6" t="s">
        <v>94</v>
      </c>
      <c r="H15" s="6" t="s">
        <v>303</v>
      </c>
      <c r="I15" s="6" t="s">
        <v>90</v>
      </c>
      <c r="J15" s="6" t="s">
        <v>91</v>
      </c>
      <c r="K15" s="6" t="s">
        <v>92</v>
      </c>
      <c r="L15" s="6" t="s">
        <v>90</v>
      </c>
      <c r="M15" s="6" t="s">
        <v>131</v>
      </c>
      <c r="N15" s="6" t="s">
        <v>104</v>
      </c>
      <c r="O15" s="6" t="s">
        <v>131</v>
      </c>
      <c r="P15" s="6" t="s">
        <v>104</v>
      </c>
      <c r="Q15" s="6" t="s">
        <v>338</v>
      </c>
      <c r="R15" s="6" t="s">
        <v>282</v>
      </c>
      <c r="S15" s="6" t="str">
        <f>VLOOKUP(R15,Customer_Mapping!A:B,2,FALSE)</f>
        <v>Customer_001</v>
      </c>
      <c r="T15" s="6" t="s">
        <v>283</v>
      </c>
      <c r="U15" s="6" t="s">
        <v>339</v>
      </c>
      <c r="V15" s="6" t="s">
        <v>301</v>
      </c>
      <c r="W15" s="6" t="str">
        <f>IF(U15="","",IFERROR(_xlfn.XLOOKUP(U15,Mapping!$A:$A,Mapping!$B:$B),""))</f>
        <v>Project_012</v>
      </c>
      <c r="X15" s="6" t="str">
        <f>IF(V15="","",IFERROR(_xlfn.XLOOKUP(V15,Mapping!$A:$A,Mapping!$B:$B),""))</f>
        <v>Project_004</v>
      </c>
      <c r="Y15" s="6" t="s">
        <v>286</v>
      </c>
      <c r="Z15" s="6" t="s">
        <v>131</v>
      </c>
    </row>
    <row r="16" spans="1:26">
      <c r="A16" s="12">
        <v>15</v>
      </c>
      <c r="B16" s="6" t="s">
        <v>340</v>
      </c>
      <c r="C16" s="6" t="s">
        <v>154</v>
      </c>
      <c r="D16" s="6" t="s">
        <v>86</v>
      </c>
      <c r="E16" s="7">
        <v>45419</v>
      </c>
      <c r="F16" s="6" t="s">
        <v>337</v>
      </c>
      <c r="G16" s="6" t="s">
        <v>252</v>
      </c>
      <c r="H16" s="6" t="s">
        <v>135</v>
      </c>
      <c r="I16" s="6" t="s">
        <v>90</v>
      </c>
      <c r="J16" s="6" t="s">
        <v>91</v>
      </c>
      <c r="K16" s="6" t="s">
        <v>92</v>
      </c>
      <c r="L16" s="6" t="s">
        <v>90</v>
      </c>
      <c r="M16" s="6" t="s">
        <v>131</v>
      </c>
      <c r="N16" s="6" t="s">
        <v>104</v>
      </c>
      <c r="O16" s="6" t="s">
        <v>103</v>
      </c>
      <c r="P16" s="6" t="s">
        <v>95</v>
      </c>
      <c r="Q16" s="6" t="s">
        <v>338</v>
      </c>
      <c r="R16" s="6" t="s">
        <v>334</v>
      </c>
      <c r="S16" s="6" t="str">
        <f>VLOOKUP(R16,Customer_Mapping!A:B,2,FALSE)</f>
        <v>Customer_009</v>
      </c>
      <c r="T16" s="6" t="s">
        <v>335</v>
      </c>
      <c r="U16" s="6" t="s">
        <v>341</v>
      </c>
      <c r="V16" s="6" t="s">
        <v>339</v>
      </c>
      <c r="W16" s="6" t="str">
        <f>IF(U16="","",IFERROR(_xlfn.XLOOKUP(U16,Mapping!$A:$A,Mapping!$B:$B),""))</f>
        <v>Project_013</v>
      </c>
      <c r="X16" s="6" t="str">
        <f>IF(V16="","",IFERROR(_xlfn.XLOOKUP(V16,Mapping!$A:$A,Mapping!$B:$B),""))</f>
        <v>Project_012</v>
      </c>
      <c r="Y16" s="6" t="s">
        <v>286</v>
      </c>
      <c r="Z16" s="6" t="s">
        <v>131</v>
      </c>
    </row>
    <row r="17" spans="1:26">
      <c r="A17" s="12">
        <v>16</v>
      </c>
      <c r="B17" s="6" t="s">
        <v>342</v>
      </c>
      <c r="C17" s="6" t="s">
        <v>158</v>
      </c>
      <c r="D17" s="6" t="s">
        <v>86</v>
      </c>
      <c r="E17" s="7">
        <v>45480</v>
      </c>
      <c r="F17" s="6" t="s">
        <v>343</v>
      </c>
      <c r="G17" s="6" t="s">
        <v>344</v>
      </c>
      <c r="H17" s="6" t="s">
        <v>345</v>
      </c>
      <c r="I17" s="6" t="s">
        <v>90</v>
      </c>
      <c r="J17" s="6" t="s">
        <v>91</v>
      </c>
      <c r="K17" s="6" t="s">
        <v>92</v>
      </c>
      <c r="L17" s="6" t="s">
        <v>90</v>
      </c>
      <c r="M17" s="6" t="s">
        <v>346</v>
      </c>
      <c r="N17" s="6" t="s">
        <v>94</v>
      </c>
      <c r="O17" s="6" t="s">
        <v>131</v>
      </c>
      <c r="P17" s="6" t="s">
        <v>122</v>
      </c>
      <c r="Q17" s="6" t="s">
        <v>347</v>
      </c>
      <c r="R17" s="6" t="s">
        <v>282</v>
      </c>
      <c r="S17" s="6" t="str">
        <f>VLOOKUP(R17,Customer_Mapping!A:B,2,FALSE)</f>
        <v>Customer_001</v>
      </c>
      <c r="T17" s="6" t="s">
        <v>283</v>
      </c>
      <c r="U17" s="6" t="s">
        <v>348</v>
      </c>
      <c r="V17" s="6" t="s">
        <v>341</v>
      </c>
      <c r="W17" s="6" t="str">
        <f>IF(U17="","",IFERROR(_xlfn.XLOOKUP(U17,Mapping!$A:$A,Mapping!$B:$B),""))</f>
        <v>Project_014</v>
      </c>
      <c r="X17" s="6" t="str">
        <f>IF(V17="","",IFERROR(_xlfn.XLOOKUP(V17,Mapping!$A:$A,Mapping!$B:$B),""))</f>
        <v>Project_013</v>
      </c>
      <c r="Y17" s="6" t="s">
        <v>286</v>
      </c>
      <c r="Z17" s="6" t="s">
        <v>346</v>
      </c>
    </row>
    <row r="18" spans="1:26">
      <c r="A18" s="12">
        <v>17</v>
      </c>
      <c r="B18" s="6" t="s">
        <v>349</v>
      </c>
      <c r="C18" s="6" t="s">
        <v>161</v>
      </c>
      <c r="D18" s="6" t="s">
        <v>86</v>
      </c>
      <c r="E18" s="7">
        <v>44013</v>
      </c>
      <c r="F18" s="6" t="s">
        <v>100</v>
      </c>
      <c r="G18" s="6" t="s">
        <v>344</v>
      </c>
      <c r="H18" s="6" t="s">
        <v>350</v>
      </c>
      <c r="I18" s="6" t="s">
        <v>90</v>
      </c>
      <c r="J18" s="6" t="s">
        <v>91</v>
      </c>
      <c r="K18" s="6" t="s">
        <v>92</v>
      </c>
      <c r="L18" s="6" t="s">
        <v>90</v>
      </c>
      <c r="M18" s="6" t="s">
        <v>43</v>
      </c>
      <c r="N18" s="6" t="s">
        <v>122</v>
      </c>
      <c r="O18" s="6" t="s">
        <v>43</v>
      </c>
      <c r="P18" s="6" t="s">
        <v>104</v>
      </c>
      <c r="Q18" s="6" t="s">
        <v>304</v>
      </c>
      <c r="R18" s="6" t="s">
        <v>351</v>
      </c>
      <c r="S18" s="6" t="str">
        <f>VLOOKUP(R18,Customer_Mapping!A:B,2,FALSE)</f>
        <v>Customer_010</v>
      </c>
      <c r="T18" s="6" t="s">
        <v>283</v>
      </c>
      <c r="U18" s="6" t="s">
        <v>298</v>
      </c>
      <c r="V18" s="6" t="s">
        <v>348</v>
      </c>
      <c r="W18" s="6" t="str">
        <f>IF(U18="","",IFERROR(_xlfn.XLOOKUP(U18,Mapping!$A:$A,Mapping!$B:$B),""))</f>
        <v>Project_003</v>
      </c>
      <c r="X18" s="6" t="str">
        <f>IF(V18="","",IFERROR(_xlfn.XLOOKUP(V18,Mapping!$A:$A,Mapping!$B:$B),""))</f>
        <v>Project_014</v>
      </c>
      <c r="Y18" s="6" t="s">
        <v>286</v>
      </c>
      <c r="Z18" s="6" t="s">
        <v>43</v>
      </c>
    </row>
    <row r="19" spans="1:26">
      <c r="A19" s="12">
        <v>18</v>
      </c>
      <c r="B19" s="6" t="s">
        <v>352</v>
      </c>
      <c r="C19" s="6" t="s">
        <v>164</v>
      </c>
      <c r="D19" s="6" t="s">
        <v>86</v>
      </c>
      <c r="E19" s="7">
        <v>43366</v>
      </c>
      <c r="F19" s="6" t="s">
        <v>125</v>
      </c>
      <c r="G19" s="6" t="s">
        <v>126</v>
      </c>
      <c r="H19" s="6" t="s">
        <v>127</v>
      </c>
      <c r="I19" s="6" t="s">
        <v>90</v>
      </c>
      <c r="J19" s="6" t="s">
        <v>91</v>
      </c>
      <c r="K19" s="6" t="s">
        <v>92</v>
      </c>
      <c r="L19" s="6" t="s">
        <v>90</v>
      </c>
      <c r="M19" s="6" t="s">
        <v>117</v>
      </c>
      <c r="N19" s="6" t="s">
        <v>94</v>
      </c>
      <c r="O19" s="6" t="s">
        <v>117</v>
      </c>
      <c r="P19" s="6" t="s">
        <v>122</v>
      </c>
      <c r="Q19" s="6" t="s">
        <v>353</v>
      </c>
      <c r="R19" s="6" t="s">
        <v>300</v>
      </c>
      <c r="S19" s="6" t="str">
        <f>VLOOKUP(R19,Customer_Mapping!A:B,2,FALSE)</f>
        <v>Customer_003</v>
      </c>
      <c r="T19" s="6" t="s">
        <v>283</v>
      </c>
      <c r="U19" s="6" t="s">
        <v>354</v>
      </c>
      <c r="V19" s="6" t="s">
        <v>298</v>
      </c>
      <c r="W19" s="6" t="str">
        <f>IF(U19="","",IFERROR(_xlfn.XLOOKUP(U19,Mapping!$A:$A,Mapping!$B:$B),""))</f>
        <v>Project_015</v>
      </c>
      <c r="X19" s="6" t="str">
        <f>IF(V19="","",IFERROR(_xlfn.XLOOKUP(V19,Mapping!$A:$A,Mapping!$B:$B),""))</f>
        <v>Project_003</v>
      </c>
      <c r="Y19" s="6" t="s">
        <v>286</v>
      </c>
      <c r="Z19" s="6" t="s">
        <v>117</v>
      </c>
    </row>
    <row r="20" spans="1:26">
      <c r="A20" s="12">
        <v>19</v>
      </c>
      <c r="B20" s="6" t="s">
        <v>355</v>
      </c>
      <c r="C20" s="6" t="s">
        <v>167</v>
      </c>
      <c r="D20" s="6" t="s">
        <v>86</v>
      </c>
      <c r="E20" s="7">
        <v>45154</v>
      </c>
      <c r="F20" s="6" t="s">
        <v>111</v>
      </c>
      <c r="G20" s="6" t="s">
        <v>175</v>
      </c>
      <c r="H20" s="6" t="s">
        <v>356</v>
      </c>
      <c r="I20" s="6" t="s">
        <v>90</v>
      </c>
      <c r="J20" s="6" t="s">
        <v>91</v>
      </c>
      <c r="K20" s="6" t="s">
        <v>92</v>
      </c>
      <c r="L20" s="6" t="s">
        <v>90</v>
      </c>
      <c r="M20" s="6" t="s">
        <v>103</v>
      </c>
      <c r="N20" s="6" t="s">
        <v>95</v>
      </c>
      <c r="O20" s="6" t="s">
        <v>103</v>
      </c>
      <c r="P20" s="6" t="s">
        <v>95</v>
      </c>
      <c r="Q20" s="6" t="s">
        <v>281</v>
      </c>
      <c r="R20" s="6" t="s">
        <v>357</v>
      </c>
      <c r="S20" s="6" t="str">
        <f>VLOOKUP(R20,Customer_Mapping!A:B,2,FALSE)</f>
        <v>Customer_011</v>
      </c>
      <c r="T20" s="6" t="s">
        <v>283</v>
      </c>
      <c r="U20" s="6" t="s">
        <v>339</v>
      </c>
      <c r="V20" s="6" t="s">
        <v>354</v>
      </c>
      <c r="W20" s="6" t="str">
        <f>IF(U20="","",IFERROR(_xlfn.XLOOKUP(U20,Mapping!$A:$A,Mapping!$B:$B),""))</f>
        <v>Project_012</v>
      </c>
      <c r="X20" s="6" t="str">
        <f>IF(V20="","",IFERROR(_xlfn.XLOOKUP(V20,Mapping!$A:$A,Mapping!$B:$B),""))</f>
        <v>Project_015</v>
      </c>
      <c r="Y20" s="6" t="s">
        <v>286</v>
      </c>
      <c r="Z20" s="6" t="s">
        <v>103</v>
      </c>
    </row>
    <row r="21" spans="1:26">
      <c r="A21" s="12">
        <v>20</v>
      </c>
      <c r="B21" s="6" t="s">
        <v>358</v>
      </c>
      <c r="C21" s="6" t="s">
        <v>170</v>
      </c>
      <c r="D21" s="6" t="s">
        <v>86</v>
      </c>
      <c r="E21" s="7">
        <v>44850</v>
      </c>
      <c r="F21" s="6" t="s">
        <v>288</v>
      </c>
      <c r="G21" s="6" t="s">
        <v>359</v>
      </c>
      <c r="H21" s="6" t="s">
        <v>360</v>
      </c>
      <c r="I21" s="6" t="s">
        <v>90</v>
      </c>
      <c r="J21" s="6" t="s">
        <v>91</v>
      </c>
      <c r="K21" s="6" t="s">
        <v>92</v>
      </c>
      <c r="L21" s="6" t="s">
        <v>90</v>
      </c>
      <c r="M21" s="6" t="s">
        <v>103</v>
      </c>
      <c r="N21" s="6" t="s">
        <v>104</v>
      </c>
      <c r="O21" s="6" t="s">
        <v>103</v>
      </c>
      <c r="P21" s="6" t="s">
        <v>104</v>
      </c>
      <c r="Q21" s="6" t="s">
        <v>291</v>
      </c>
      <c r="R21" s="6" t="s">
        <v>334</v>
      </c>
      <c r="S21" s="6" t="str">
        <f>VLOOKUP(R21,Customer_Mapping!A:B,2,FALSE)</f>
        <v>Customer_009</v>
      </c>
      <c r="T21" s="6" t="s">
        <v>335</v>
      </c>
      <c r="U21" s="6" t="s">
        <v>323</v>
      </c>
      <c r="V21" s="6" t="s">
        <v>339</v>
      </c>
      <c r="W21" s="6" t="str">
        <f>IF(U21="","",IFERROR(_xlfn.XLOOKUP(U21,Mapping!$A:$A,Mapping!$B:$B),""))</f>
        <v>Project_009</v>
      </c>
      <c r="X21" s="6" t="str">
        <f>IF(V21="","",IFERROR(_xlfn.XLOOKUP(V21,Mapping!$A:$A,Mapping!$B:$B),""))</f>
        <v>Project_012</v>
      </c>
      <c r="Y21" s="6" t="s">
        <v>286</v>
      </c>
      <c r="Z21" s="6" t="s">
        <v>103</v>
      </c>
    </row>
    <row r="22" spans="1:26">
      <c r="A22" s="12">
        <v>21</v>
      </c>
      <c r="B22" s="6" t="s">
        <v>361</v>
      </c>
      <c r="C22" s="6" t="s">
        <v>172</v>
      </c>
      <c r="D22" s="6" t="s">
        <v>86</v>
      </c>
      <c r="E22" s="7">
        <v>45642</v>
      </c>
      <c r="F22" s="6" t="s">
        <v>362</v>
      </c>
      <c r="G22" s="6" t="s">
        <v>94</v>
      </c>
      <c r="H22" s="6" t="s">
        <v>363</v>
      </c>
      <c r="I22" s="6" t="s">
        <v>90</v>
      </c>
      <c r="J22" s="6" t="s">
        <v>91</v>
      </c>
      <c r="K22" s="6" t="s">
        <v>92</v>
      </c>
      <c r="L22" s="6" t="s">
        <v>90</v>
      </c>
      <c r="M22" s="6" t="s">
        <v>364</v>
      </c>
      <c r="N22" s="6" t="s">
        <v>104</v>
      </c>
      <c r="O22" s="6" t="s">
        <v>364</v>
      </c>
      <c r="P22" s="6" t="s">
        <v>95</v>
      </c>
      <c r="Q22" s="6" t="s">
        <v>365</v>
      </c>
      <c r="R22" s="6" t="s">
        <v>326</v>
      </c>
      <c r="S22" s="6" t="str">
        <f>VLOOKUP(R22,Customer_Mapping!A:B,2,FALSE)</f>
        <v>Customer_007</v>
      </c>
      <c r="T22" s="6" t="s">
        <v>283</v>
      </c>
      <c r="U22" s="6" t="s">
        <v>341</v>
      </c>
      <c r="V22" s="6" t="s">
        <v>323</v>
      </c>
      <c r="W22" s="6" t="str">
        <f>IF(U22="","",IFERROR(_xlfn.XLOOKUP(U22,Mapping!$A:$A,Mapping!$B:$B),""))</f>
        <v>Project_013</v>
      </c>
      <c r="X22" s="6" t="str">
        <f>IF(V22="","",IFERROR(_xlfn.XLOOKUP(V22,Mapping!$A:$A,Mapping!$B:$B),""))</f>
        <v>Project_009</v>
      </c>
      <c r="Y22" s="6" t="s">
        <v>286</v>
      </c>
      <c r="Z22" s="6" t="s">
        <v>364</v>
      </c>
    </row>
    <row r="23" spans="1:26">
      <c r="A23" s="12">
        <v>22</v>
      </c>
      <c r="B23" s="6" t="s">
        <v>366</v>
      </c>
      <c r="C23" s="6" t="s">
        <v>174</v>
      </c>
      <c r="D23" s="6" t="s">
        <v>86</v>
      </c>
      <c r="E23" s="7">
        <v>44568</v>
      </c>
      <c r="F23" s="6" t="s">
        <v>111</v>
      </c>
      <c r="G23" s="6" t="s">
        <v>311</v>
      </c>
      <c r="H23" s="6" t="s">
        <v>367</v>
      </c>
      <c r="I23" s="6" t="s">
        <v>90</v>
      </c>
      <c r="J23" s="6" t="s">
        <v>91</v>
      </c>
      <c r="K23" s="6" t="s">
        <v>92</v>
      </c>
      <c r="L23" s="6" t="s">
        <v>90</v>
      </c>
      <c r="M23" s="6" t="s">
        <v>117</v>
      </c>
      <c r="N23" s="6" t="s">
        <v>94</v>
      </c>
      <c r="O23" s="6" t="s">
        <v>117</v>
      </c>
      <c r="P23" s="6" t="s">
        <v>95</v>
      </c>
      <c r="Q23" s="6" t="s">
        <v>281</v>
      </c>
      <c r="R23" s="6" t="s">
        <v>282</v>
      </c>
      <c r="S23" s="6" t="str">
        <f>VLOOKUP(R23,Customer_Mapping!A:B,2,FALSE)</f>
        <v>Customer_001</v>
      </c>
      <c r="T23" s="6" t="s">
        <v>283</v>
      </c>
      <c r="U23" s="6" t="s">
        <v>323</v>
      </c>
      <c r="V23" s="6" t="s">
        <v>341</v>
      </c>
      <c r="W23" s="6" t="str">
        <f>IF(U23="","",IFERROR(_xlfn.XLOOKUP(U23,Mapping!$A:$A,Mapping!$B:$B),""))</f>
        <v>Project_009</v>
      </c>
      <c r="X23" s="6" t="str">
        <f>IF(V23="","",IFERROR(_xlfn.XLOOKUP(V23,Mapping!$A:$A,Mapping!$B:$B),""))</f>
        <v>Project_013</v>
      </c>
      <c r="Y23" s="6" t="s">
        <v>286</v>
      </c>
      <c r="Z23" s="6" t="s">
        <v>117</v>
      </c>
    </row>
    <row r="24" spans="1:26">
      <c r="A24" s="12">
        <v>23</v>
      </c>
      <c r="B24" s="6" t="s">
        <v>368</v>
      </c>
      <c r="C24" s="6" t="s">
        <v>178</v>
      </c>
      <c r="D24" s="6" t="s">
        <v>86</v>
      </c>
      <c r="E24" s="7">
        <v>46113</v>
      </c>
      <c r="F24" s="6" t="s">
        <v>155</v>
      </c>
      <c r="G24" s="6" t="s">
        <v>94</v>
      </c>
      <c r="H24" s="6" t="s">
        <v>162</v>
      </c>
      <c r="I24" s="6" t="s">
        <v>90</v>
      </c>
      <c r="J24" s="6" t="s">
        <v>91</v>
      </c>
      <c r="K24" s="6" t="s">
        <v>92</v>
      </c>
      <c r="L24" s="6" t="s">
        <v>90</v>
      </c>
      <c r="M24" s="6" t="s">
        <v>27</v>
      </c>
      <c r="N24" s="6" t="s">
        <v>104</v>
      </c>
      <c r="O24" s="6" t="s">
        <v>93</v>
      </c>
      <c r="P24" s="6" t="s">
        <v>104</v>
      </c>
      <c r="Q24" s="6" t="s">
        <v>369</v>
      </c>
      <c r="R24" s="6" t="s">
        <v>326</v>
      </c>
      <c r="S24" s="6" t="str">
        <f>VLOOKUP(R24,Customer_Mapping!A:B,2,FALSE)</f>
        <v>Customer_007</v>
      </c>
      <c r="T24" s="6" t="s">
        <v>283</v>
      </c>
      <c r="U24" s="6" t="s">
        <v>305</v>
      </c>
      <c r="V24" s="6" t="s">
        <v>323</v>
      </c>
      <c r="W24" s="6" t="str">
        <f>IF(U24="","",IFERROR(_xlfn.XLOOKUP(U24,Mapping!$A:$A,Mapping!$B:$B),""))</f>
        <v>Project_005</v>
      </c>
      <c r="X24" s="6" t="str">
        <f>IF(V24="","",IFERROR(_xlfn.XLOOKUP(V24,Mapping!$A:$A,Mapping!$B:$B),""))</f>
        <v>Project_009</v>
      </c>
      <c r="Y24" s="6" t="s">
        <v>286</v>
      </c>
      <c r="Z24" s="6" t="s">
        <v>27</v>
      </c>
    </row>
    <row r="25" spans="1:26">
      <c r="A25" s="12">
        <v>24</v>
      </c>
      <c r="B25" s="6" t="s">
        <v>370</v>
      </c>
      <c r="C25" s="6" t="s">
        <v>181</v>
      </c>
      <c r="D25" s="6" t="s">
        <v>86</v>
      </c>
      <c r="E25" s="7">
        <v>44621</v>
      </c>
      <c r="F25" s="6" t="s">
        <v>111</v>
      </c>
      <c r="G25" s="6" t="s">
        <v>371</v>
      </c>
      <c r="H25" s="6" t="s">
        <v>372</v>
      </c>
      <c r="I25" s="6" t="s">
        <v>90</v>
      </c>
      <c r="J25" s="6" t="s">
        <v>91</v>
      </c>
      <c r="K25" s="6" t="s">
        <v>92</v>
      </c>
      <c r="L25" s="6" t="s">
        <v>90</v>
      </c>
      <c r="M25" s="6" t="s">
        <v>184</v>
      </c>
      <c r="N25" s="6" t="s">
        <v>94</v>
      </c>
      <c r="O25" s="6" t="s">
        <v>184</v>
      </c>
      <c r="P25" s="6" t="s">
        <v>95</v>
      </c>
      <c r="Q25" s="6" t="s">
        <v>281</v>
      </c>
      <c r="R25" s="6" t="s">
        <v>308</v>
      </c>
      <c r="S25" s="6" t="str">
        <f>VLOOKUP(R25,Customer_Mapping!A:B,2,FALSE)</f>
        <v>Customer_004</v>
      </c>
      <c r="T25" s="6" t="s">
        <v>283</v>
      </c>
      <c r="U25" s="6" t="s">
        <v>373</v>
      </c>
      <c r="V25" s="6" t="s">
        <v>305</v>
      </c>
      <c r="W25" s="6" t="str">
        <f>IF(U25="","",IFERROR(_xlfn.XLOOKUP(U25,Mapping!$A:$A,Mapping!$B:$B),""))</f>
        <v>Project_016</v>
      </c>
      <c r="X25" s="6" t="str">
        <f>IF(V25="","",IFERROR(_xlfn.XLOOKUP(V25,Mapping!$A:$A,Mapping!$B:$B),""))</f>
        <v>Project_005</v>
      </c>
      <c r="Y25" s="6" t="s">
        <v>286</v>
      </c>
      <c r="Z25" s="6" t="s">
        <v>184</v>
      </c>
    </row>
    <row r="26" spans="1:26">
      <c r="A26" s="12">
        <v>25</v>
      </c>
      <c r="B26" s="6" t="s">
        <v>374</v>
      </c>
      <c r="C26" s="6" t="s">
        <v>186</v>
      </c>
      <c r="D26" s="6" t="s">
        <v>86</v>
      </c>
      <c r="E26" s="7">
        <v>46014</v>
      </c>
      <c r="F26" s="6" t="s">
        <v>111</v>
      </c>
      <c r="G26" s="6" t="s">
        <v>94</v>
      </c>
      <c r="H26" s="6" t="s">
        <v>375</v>
      </c>
      <c r="I26" s="6" t="s">
        <v>90</v>
      </c>
      <c r="J26" s="6" t="s">
        <v>91</v>
      </c>
      <c r="K26" s="6" t="s">
        <v>92</v>
      </c>
      <c r="L26" s="6" t="s">
        <v>90</v>
      </c>
      <c r="M26" s="6" t="s">
        <v>131</v>
      </c>
      <c r="N26" s="6" t="s">
        <v>95</v>
      </c>
      <c r="O26" s="6" t="s">
        <v>131</v>
      </c>
      <c r="P26" s="6" t="s">
        <v>122</v>
      </c>
      <c r="Q26" s="6" t="s">
        <v>281</v>
      </c>
      <c r="R26" s="6" t="s">
        <v>334</v>
      </c>
      <c r="S26" s="6" t="str">
        <f>VLOOKUP(R26,Customer_Mapping!A:B,2,FALSE)</f>
        <v>Customer_009</v>
      </c>
      <c r="T26" s="6" t="s">
        <v>335</v>
      </c>
      <c r="U26" s="6" t="s">
        <v>285</v>
      </c>
      <c r="V26" s="6" t="s">
        <v>373</v>
      </c>
      <c r="W26" s="6" t="str">
        <f>IF(U26="","",IFERROR(_xlfn.XLOOKUP(U26,Mapping!$A:$A,Mapping!$B:$B),""))</f>
        <v>Project_017</v>
      </c>
      <c r="X26" s="6" t="str">
        <f>IF(V26="","",IFERROR(_xlfn.XLOOKUP(V26,Mapping!$A:$A,Mapping!$B:$B),""))</f>
        <v>Project_016</v>
      </c>
      <c r="Y26" s="6" t="s">
        <v>286</v>
      </c>
      <c r="Z26" s="6" t="s">
        <v>131</v>
      </c>
    </row>
    <row r="27" spans="1:26">
      <c r="A27" s="12">
        <v>26</v>
      </c>
      <c r="B27" s="6" t="s">
        <v>376</v>
      </c>
      <c r="C27" s="6" t="s">
        <v>190</v>
      </c>
      <c r="D27" s="6" t="s">
        <v>86</v>
      </c>
      <c r="E27" s="7">
        <v>43974</v>
      </c>
      <c r="F27" s="6" t="s">
        <v>111</v>
      </c>
      <c r="G27" s="6" t="s">
        <v>344</v>
      </c>
      <c r="H27" s="6" t="s">
        <v>377</v>
      </c>
      <c r="I27" s="6" t="s">
        <v>90</v>
      </c>
      <c r="J27" s="6" t="s">
        <v>91</v>
      </c>
      <c r="K27" s="6" t="s">
        <v>92</v>
      </c>
      <c r="L27" s="6" t="s">
        <v>90</v>
      </c>
      <c r="M27" s="6" t="s">
        <v>131</v>
      </c>
      <c r="N27" s="6" t="s">
        <v>95</v>
      </c>
      <c r="O27" s="6" t="s">
        <v>131</v>
      </c>
      <c r="P27" s="6" t="s">
        <v>122</v>
      </c>
      <c r="Q27" s="6" t="s">
        <v>281</v>
      </c>
      <c r="R27" s="6" t="s">
        <v>282</v>
      </c>
      <c r="S27" s="6" t="str">
        <f>VLOOKUP(R27,Customer_Mapping!A:B,2,FALSE)</f>
        <v>Customer_001</v>
      </c>
      <c r="T27" s="6" t="s">
        <v>283</v>
      </c>
      <c r="U27" s="6" t="s">
        <v>378</v>
      </c>
      <c r="V27" s="6" t="s">
        <v>285</v>
      </c>
      <c r="W27" s="6" t="str">
        <f>IF(U27="","",IFERROR(_xlfn.XLOOKUP(U27,Mapping!$A:$A,Mapping!$B:$B),""))</f>
        <v>Project_018</v>
      </c>
      <c r="X27" s="6" t="str">
        <f>IF(V27="","",IFERROR(_xlfn.XLOOKUP(V27,Mapping!$A:$A,Mapping!$B:$B),""))</f>
        <v>Project_017</v>
      </c>
      <c r="Y27" s="6" t="s">
        <v>286</v>
      </c>
      <c r="Z27" s="6" t="s">
        <v>131</v>
      </c>
    </row>
    <row r="28" spans="1:26">
      <c r="A28" s="12">
        <v>27</v>
      </c>
      <c r="B28" s="6" t="s">
        <v>379</v>
      </c>
      <c r="C28" s="6" t="s">
        <v>193</v>
      </c>
      <c r="D28" s="6" t="s">
        <v>86</v>
      </c>
      <c r="E28" s="7">
        <v>45123</v>
      </c>
      <c r="F28" s="6" t="s">
        <v>111</v>
      </c>
      <c r="G28" s="6" t="s">
        <v>146</v>
      </c>
      <c r="H28" s="6" t="s">
        <v>380</v>
      </c>
      <c r="I28" s="6" t="s">
        <v>90</v>
      </c>
      <c r="J28" s="6" t="s">
        <v>91</v>
      </c>
      <c r="K28" s="6" t="s">
        <v>92</v>
      </c>
      <c r="L28" s="6" t="s">
        <v>90</v>
      </c>
      <c r="M28" s="6" t="s">
        <v>131</v>
      </c>
      <c r="N28" s="6" t="s">
        <v>95</v>
      </c>
      <c r="O28" s="6" t="s">
        <v>131</v>
      </c>
      <c r="P28" s="6" t="s">
        <v>104</v>
      </c>
      <c r="Q28" s="6" t="s">
        <v>281</v>
      </c>
      <c r="R28" s="6" t="s">
        <v>381</v>
      </c>
      <c r="S28" s="6" t="str">
        <f>VLOOKUP(R28,Customer_Mapping!A:B,2,FALSE)</f>
        <v>Customer_012</v>
      </c>
      <c r="T28" s="6" t="s">
        <v>283</v>
      </c>
      <c r="U28" s="6" t="s">
        <v>382</v>
      </c>
      <c r="V28" s="6" t="s">
        <v>378</v>
      </c>
      <c r="W28" s="6" t="str">
        <f>IF(U28="","",IFERROR(_xlfn.XLOOKUP(U28,Mapping!$A:$A,Mapping!$B:$B),""))</f>
        <v>Project_019</v>
      </c>
      <c r="X28" s="6" t="str">
        <f>IF(V28="","",IFERROR(_xlfn.XLOOKUP(V28,Mapping!$A:$A,Mapping!$B:$B),""))</f>
        <v>Project_018</v>
      </c>
      <c r="Y28" s="6" t="s">
        <v>286</v>
      </c>
      <c r="Z28" s="6" t="s">
        <v>131</v>
      </c>
    </row>
    <row r="29" spans="1:26">
      <c r="A29" s="12">
        <v>28</v>
      </c>
      <c r="B29" s="6" t="s">
        <v>383</v>
      </c>
      <c r="C29" s="6" t="s">
        <v>196</v>
      </c>
      <c r="D29" s="6" t="s">
        <v>86</v>
      </c>
      <c r="E29" s="7">
        <v>45496</v>
      </c>
      <c r="F29" s="6" t="s">
        <v>125</v>
      </c>
      <c r="G29" s="6" t="s">
        <v>94</v>
      </c>
      <c r="H29" s="6" t="s">
        <v>384</v>
      </c>
      <c r="I29" s="6" t="s">
        <v>213</v>
      </c>
      <c r="J29" s="6" t="s">
        <v>91</v>
      </c>
      <c r="K29" s="6" t="s">
        <v>92</v>
      </c>
      <c r="L29" s="6" t="s">
        <v>213</v>
      </c>
      <c r="M29" s="6" t="s">
        <v>313</v>
      </c>
      <c r="N29" s="6" t="s">
        <v>94</v>
      </c>
      <c r="O29" s="6" t="s">
        <v>313</v>
      </c>
      <c r="P29" s="6" t="s">
        <v>95</v>
      </c>
      <c r="Q29" s="6" t="s">
        <v>353</v>
      </c>
      <c r="R29" s="6" t="s">
        <v>385</v>
      </c>
      <c r="S29" s="6" t="str">
        <f>VLOOKUP(R29,Customer_Mapping!A:B,2,FALSE)</f>
        <v>Customer_013</v>
      </c>
      <c r="T29" s="6" t="s">
        <v>386</v>
      </c>
      <c r="U29" s="6" t="s">
        <v>387</v>
      </c>
      <c r="V29" s="6" t="s">
        <v>382</v>
      </c>
      <c r="W29" s="6" t="str">
        <f>IF(U29="","",IFERROR(_xlfn.XLOOKUP(U29,Mapping!$A:$A,Mapping!$B:$B),""))</f>
        <v>Project_020</v>
      </c>
      <c r="X29" s="6" t="str">
        <f>IF(V29="","",IFERROR(_xlfn.XLOOKUP(V29,Mapping!$A:$A,Mapping!$B:$B),""))</f>
        <v>Project_019</v>
      </c>
      <c r="Y29" s="6" t="s">
        <v>286</v>
      </c>
      <c r="Z29" s="6" t="s">
        <v>313</v>
      </c>
    </row>
    <row r="30" spans="1:26">
      <c r="A30" s="12">
        <v>29</v>
      </c>
      <c r="B30" s="6" t="s">
        <v>388</v>
      </c>
      <c r="C30" s="6" t="s">
        <v>198</v>
      </c>
      <c r="D30" s="6" t="s">
        <v>86</v>
      </c>
      <c r="E30" s="7">
        <v>44005</v>
      </c>
      <c r="F30" s="6" t="s">
        <v>204</v>
      </c>
      <c r="G30" s="6" t="s">
        <v>389</v>
      </c>
      <c r="H30" s="6" t="s">
        <v>390</v>
      </c>
      <c r="I30" s="6" t="s">
        <v>90</v>
      </c>
      <c r="J30" s="6" t="s">
        <v>91</v>
      </c>
      <c r="K30" s="6" t="s">
        <v>92</v>
      </c>
      <c r="L30" s="6" t="s">
        <v>90</v>
      </c>
      <c r="M30" s="6" t="s">
        <v>43</v>
      </c>
      <c r="N30" s="6" t="s">
        <v>122</v>
      </c>
      <c r="O30" s="6" t="s">
        <v>43</v>
      </c>
      <c r="P30" s="6" t="s">
        <v>95</v>
      </c>
      <c r="Q30" s="6" t="s">
        <v>321</v>
      </c>
      <c r="R30" s="6" t="s">
        <v>391</v>
      </c>
      <c r="S30" s="6" t="str">
        <f>VLOOKUP(R30,Customer_Mapping!A:B,2,FALSE)</f>
        <v>Customer_014</v>
      </c>
      <c r="T30" s="6" t="s">
        <v>386</v>
      </c>
      <c r="U30" s="6" t="s">
        <v>392</v>
      </c>
      <c r="V30" s="6" t="s">
        <v>387</v>
      </c>
      <c r="W30" s="6" t="str">
        <f>IF(U30="","",IFERROR(_xlfn.XLOOKUP(U30,Mapping!$A:$A,Mapping!$B:$B),""))</f>
        <v>Project_021</v>
      </c>
      <c r="X30" s="6" t="str">
        <f>IF(V30="","",IFERROR(_xlfn.XLOOKUP(V30,Mapping!$A:$A,Mapping!$B:$B),""))</f>
        <v>Project_020</v>
      </c>
      <c r="Y30" s="6" t="s">
        <v>286</v>
      </c>
      <c r="Z30" s="6" t="s">
        <v>43</v>
      </c>
    </row>
    <row r="31" spans="1:26">
      <c r="A31" s="12">
        <v>30</v>
      </c>
      <c r="B31" s="6" t="s">
        <v>393</v>
      </c>
      <c r="C31" s="6" t="s">
        <v>201</v>
      </c>
      <c r="D31" s="6" t="s">
        <v>86</v>
      </c>
      <c r="E31" s="7">
        <v>45246</v>
      </c>
      <c r="F31" s="6" t="s">
        <v>204</v>
      </c>
      <c r="G31" s="6" t="s">
        <v>311</v>
      </c>
      <c r="H31" s="6" t="s">
        <v>394</v>
      </c>
      <c r="I31" s="6" t="s">
        <v>90</v>
      </c>
      <c r="J31" s="6" t="s">
        <v>91</v>
      </c>
      <c r="K31" s="6" t="s">
        <v>92</v>
      </c>
      <c r="L31" s="6" t="s">
        <v>90</v>
      </c>
      <c r="M31" s="6" t="s">
        <v>43</v>
      </c>
      <c r="N31" s="6" t="s">
        <v>122</v>
      </c>
      <c r="O31" s="6" t="s">
        <v>395</v>
      </c>
      <c r="P31" s="6" t="s">
        <v>95</v>
      </c>
      <c r="Q31" s="6" t="s">
        <v>321</v>
      </c>
      <c r="R31" s="6" t="s">
        <v>282</v>
      </c>
      <c r="S31" s="6" t="str">
        <f>VLOOKUP(R31,Customer_Mapping!A:B,2,FALSE)</f>
        <v>Customer_001</v>
      </c>
      <c r="T31" s="6" t="s">
        <v>283</v>
      </c>
      <c r="U31" s="6" t="s">
        <v>396</v>
      </c>
      <c r="V31" s="6" t="s">
        <v>392</v>
      </c>
      <c r="W31" s="6" t="str">
        <f>IF(U31="","",IFERROR(_xlfn.XLOOKUP(U31,Mapping!$A:$A,Mapping!$B:$B),""))</f>
        <v>Project_022</v>
      </c>
      <c r="X31" s="6" t="str">
        <f>IF(V31="","",IFERROR(_xlfn.XLOOKUP(V31,Mapping!$A:$A,Mapping!$B:$B),""))</f>
        <v>Project_021</v>
      </c>
      <c r="Y31" s="6" t="s">
        <v>286</v>
      </c>
      <c r="Z31" s="6" t="s">
        <v>43</v>
      </c>
    </row>
    <row r="32" spans="1:26">
      <c r="A32" s="12">
        <v>31</v>
      </c>
      <c r="B32" s="6" t="s">
        <v>397</v>
      </c>
      <c r="C32" s="6" t="s">
        <v>203</v>
      </c>
      <c r="D32" s="6" t="s">
        <v>86</v>
      </c>
      <c r="E32" s="7">
        <v>44485</v>
      </c>
      <c r="F32" s="6" t="s">
        <v>4</v>
      </c>
      <c r="G32" s="6" t="s">
        <v>120</v>
      </c>
      <c r="H32" s="6" t="s">
        <v>398</v>
      </c>
      <c r="I32" s="6" t="s">
        <v>90</v>
      </c>
      <c r="J32" s="6" t="s">
        <v>91</v>
      </c>
      <c r="K32" s="6" t="s">
        <v>92</v>
      </c>
      <c r="L32" s="6" t="s">
        <v>90</v>
      </c>
      <c r="M32" s="6" t="s">
        <v>93</v>
      </c>
      <c r="N32" s="6" t="s">
        <v>94</v>
      </c>
      <c r="O32" s="6" t="s">
        <v>290</v>
      </c>
      <c r="P32" s="6" t="s">
        <v>122</v>
      </c>
      <c r="Q32" s="6" t="s">
        <v>399</v>
      </c>
      <c r="R32" s="6" t="s">
        <v>282</v>
      </c>
      <c r="S32" s="6" t="str">
        <f>VLOOKUP(R32,Customer_Mapping!A:B,2,FALSE)</f>
        <v>Customer_001</v>
      </c>
      <c r="T32" s="6" t="s">
        <v>283</v>
      </c>
      <c r="U32" s="6" t="s">
        <v>318</v>
      </c>
      <c r="V32" s="6" t="s">
        <v>396</v>
      </c>
      <c r="W32" s="6" t="str">
        <f>IF(U32="","",IFERROR(_xlfn.XLOOKUP(U32,Mapping!$A:$A,Mapping!$B:$B),""))</f>
        <v>Project_008</v>
      </c>
      <c r="X32" s="6" t="str">
        <f>IF(V32="","",IFERROR(_xlfn.XLOOKUP(V32,Mapping!$A:$A,Mapping!$B:$B),""))</f>
        <v>Project_022</v>
      </c>
      <c r="Y32" s="6" t="s">
        <v>286</v>
      </c>
      <c r="Z32" s="6" t="s">
        <v>93</v>
      </c>
    </row>
    <row r="33" spans="1:26">
      <c r="A33" s="12">
        <v>32</v>
      </c>
      <c r="B33" s="6" t="s">
        <v>400</v>
      </c>
      <c r="C33" s="6" t="s">
        <v>207</v>
      </c>
      <c r="D33" s="6" t="s">
        <v>86</v>
      </c>
      <c r="E33" s="7">
        <v>45992</v>
      </c>
      <c r="F33" s="6" t="s">
        <v>337</v>
      </c>
      <c r="G33" s="6" t="s">
        <v>94</v>
      </c>
      <c r="H33" s="6" t="s">
        <v>333</v>
      </c>
      <c r="I33" s="6" t="s">
        <v>90</v>
      </c>
      <c r="J33" s="6" t="s">
        <v>91</v>
      </c>
      <c r="K33" s="6" t="s">
        <v>92</v>
      </c>
      <c r="L33" s="6" t="s">
        <v>90</v>
      </c>
      <c r="M33" s="6" t="s">
        <v>103</v>
      </c>
      <c r="N33" s="6" t="s">
        <v>104</v>
      </c>
      <c r="O33" s="6" t="s">
        <v>131</v>
      </c>
      <c r="P33" s="6" t="s">
        <v>104</v>
      </c>
      <c r="Q33" s="6" t="s">
        <v>338</v>
      </c>
      <c r="R33" s="6" t="s">
        <v>308</v>
      </c>
      <c r="S33" s="6" t="str">
        <f>VLOOKUP(R33,Customer_Mapping!A:B,2,FALSE)</f>
        <v>Customer_004</v>
      </c>
      <c r="T33" s="6" t="s">
        <v>283</v>
      </c>
      <c r="U33" s="6" t="s">
        <v>305</v>
      </c>
      <c r="V33" s="6" t="s">
        <v>318</v>
      </c>
      <c r="W33" s="6" t="str">
        <f>IF(U33="","",IFERROR(_xlfn.XLOOKUP(U33,Mapping!$A:$A,Mapping!$B:$B),""))</f>
        <v>Project_005</v>
      </c>
      <c r="X33" s="6" t="str">
        <f>IF(V33="","",IFERROR(_xlfn.XLOOKUP(V33,Mapping!$A:$A,Mapping!$B:$B),""))</f>
        <v>Project_008</v>
      </c>
      <c r="Y33" s="6" t="s">
        <v>286</v>
      </c>
      <c r="Z33" s="6" t="s">
        <v>103</v>
      </c>
    </row>
    <row r="34" spans="1:26">
      <c r="A34" s="12">
        <v>33</v>
      </c>
      <c r="B34" s="6" t="s">
        <v>401</v>
      </c>
      <c r="C34" s="6" t="s">
        <v>209</v>
      </c>
      <c r="D34" s="6" t="s">
        <v>86</v>
      </c>
      <c r="E34" s="7">
        <v>44697</v>
      </c>
      <c r="F34" s="6" t="s">
        <v>204</v>
      </c>
      <c r="G34" s="6" t="s">
        <v>187</v>
      </c>
      <c r="H34" s="6" t="s">
        <v>402</v>
      </c>
      <c r="I34" s="6" t="s">
        <v>90</v>
      </c>
      <c r="J34" s="6" t="s">
        <v>91</v>
      </c>
      <c r="K34" s="6" t="s">
        <v>92</v>
      </c>
      <c r="L34" s="6" t="s">
        <v>90</v>
      </c>
      <c r="M34" s="6" t="s">
        <v>43</v>
      </c>
      <c r="N34" s="6" t="s">
        <v>104</v>
      </c>
      <c r="O34" s="6" t="s">
        <v>43</v>
      </c>
      <c r="P34" s="6" t="s">
        <v>95</v>
      </c>
      <c r="Q34" s="6" t="s">
        <v>403</v>
      </c>
      <c r="R34" s="6" t="s">
        <v>308</v>
      </c>
      <c r="S34" s="6" t="str">
        <f>VLOOKUP(R34,Customer_Mapping!A:B,2,FALSE)</f>
        <v>Customer_004</v>
      </c>
      <c r="T34" s="6" t="s">
        <v>283</v>
      </c>
      <c r="U34" s="6" t="s">
        <v>341</v>
      </c>
      <c r="V34" s="6" t="s">
        <v>305</v>
      </c>
      <c r="W34" s="6" t="str">
        <f>IF(U34="","",IFERROR(_xlfn.XLOOKUP(U34,Mapping!$A:$A,Mapping!$B:$B),""))</f>
        <v>Project_013</v>
      </c>
      <c r="X34" s="6" t="str">
        <f>IF(V34="","",IFERROR(_xlfn.XLOOKUP(V34,Mapping!$A:$A,Mapping!$B:$B),""))</f>
        <v>Project_005</v>
      </c>
      <c r="Y34" s="6" t="s">
        <v>286</v>
      </c>
      <c r="Z34" s="6" t="s">
        <v>43</v>
      </c>
    </row>
    <row r="35" spans="1:26">
      <c r="A35" s="12">
        <v>34</v>
      </c>
      <c r="B35" s="6" t="s">
        <v>404</v>
      </c>
      <c r="C35" s="6" t="s">
        <v>212</v>
      </c>
      <c r="D35" s="6" t="s">
        <v>86</v>
      </c>
      <c r="E35" s="7">
        <v>46180</v>
      </c>
      <c r="F35" s="6" t="s">
        <v>337</v>
      </c>
      <c r="G35" s="6" t="s">
        <v>94</v>
      </c>
      <c r="H35" s="6" t="s">
        <v>94</v>
      </c>
      <c r="I35" s="6" t="s">
        <v>90</v>
      </c>
      <c r="J35" s="6" t="s">
        <v>91</v>
      </c>
      <c r="K35" s="6" t="s">
        <v>92</v>
      </c>
      <c r="L35" s="6" t="s">
        <v>90</v>
      </c>
      <c r="M35" s="6" t="s">
        <v>94</v>
      </c>
      <c r="N35" s="6" t="s">
        <v>94</v>
      </c>
      <c r="O35" s="6" t="s">
        <v>131</v>
      </c>
      <c r="P35" s="6" t="s">
        <v>104</v>
      </c>
      <c r="Q35" s="6" t="s">
        <v>338</v>
      </c>
      <c r="R35" s="6" t="s">
        <v>282</v>
      </c>
      <c r="S35" s="6" t="str">
        <f>VLOOKUP(R35,Customer_Mapping!A:B,2,FALSE)</f>
        <v>Customer_001</v>
      </c>
      <c r="T35" s="6" t="s">
        <v>283</v>
      </c>
      <c r="U35" s="6" t="s">
        <v>348</v>
      </c>
      <c r="V35" s="6" t="s">
        <v>341</v>
      </c>
      <c r="W35" s="6" t="str">
        <f>IF(U35="","",IFERROR(_xlfn.XLOOKUP(U35,Mapping!$A:$A,Mapping!$B:$B),""))</f>
        <v>Project_014</v>
      </c>
      <c r="X35" s="6" t="str">
        <f>IF(V35="","",IFERROR(_xlfn.XLOOKUP(V35,Mapping!$A:$A,Mapping!$B:$B),""))</f>
        <v>Project_013</v>
      </c>
      <c r="Y35" s="6" t="s">
        <v>286</v>
      </c>
      <c r="Z35" s="6" t="s">
        <v>94</v>
      </c>
    </row>
    <row r="36" spans="1:26">
      <c r="A36" s="12">
        <v>35</v>
      </c>
      <c r="B36" s="6" t="s">
        <v>405</v>
      </c>
      <c r="C36" s="6" t="s">
        <v>215</v>
      </c>
      <c r="D36" s="6" t="s">
        <v>86</v>
      </c>
      <c r="E36" s="7">
        <v>41928</v>
      </c>
      <c r="F36" s="6" t="s">
        <v>406</v>
      </c>
      <c r="G36" s="6" t="s">
        <v>407</v>
      </c>
      <c r="H36" s="6" t="s">
        <v>408</v>
      </c>
      <c r="I36" s="6" t="s">
        <v>90</v>
      </c>
      <c r="J36" s="6" t="s">
        <v>91</v>
      </c>
      <c r="K36" s="6" t="s">
        <v>92</v>
      </c>
      <c r="L36" s="6" t="s">
        <v>90</v>
      </c>
      <c r="M36" s="6" t="s">
        <v>346</v>
      </c>
      <c r="N36" s="6" t="s">
        <v>94</v>
      </c>
      <c r="O36" s="6" t="s">
        <v>346</v>
      </c>
      <c r="P36" s="6" t="s">
        <v>122</v>
      </c>
      <c r="Q36" s="6" t="s">
        <v>409</v>
      </c>
      <c r="R36" s="6" t="s">
        <v>351</v>
      </c>
      <c r="S36" s="6" t="str">
        <f>VLOOKUP(R36,Customer_Mapping!A:B,2,FALSE)</f>
        <v>Customer_010</v>
      </c>
      <c r="T36" s="6" t="s">
        <v>283</v>
      </c>
      <c r="U36" s="6" t="s">
        <v>373</v>
      </c>
      <c r="V36" s="6" t="s">
        <v>348</v>
      </c>
      <c r="W36" s="6" t="str">
        <f>IF(U36="","",IFERROR(_xlfn.XLOOKUP(U36,Mapping!$A:$A,Mapping!$B:$B),""))</f>
        <v>Project_016</v>
      </c>
      <c r="X36" s="6" t="str">
        <f>IF(V36="","",IFERROR(_xlfn.XLOOKUP(V36,Mapping!$A:$A,Mapping!$B:$B),""))</f>
        <v>Project_014</v>
      </c>
      <c r="Y36" s="6" t="s">
        <v>286</v>
      </c>
      <c r="Z36" s="6" t="s">
        <v>346</v>
      </c>
    </row>
    <row r="37" spans="1:26">
      <c r="A37" s="12">
        <v>36</v>
      </c>
      <c r="B37" s="6" t="s">
        <v>410</v>
      </c>
      <c r="C37" s="6" t="s">
        <v>219</v>
      </c>
      <c r="D37" s="6" t="s">
        <v>86</v>
      </c>
      <c r="E37" s="7">
        <v>45338</v>
      </c>
      <c r="F37" s="6" t="s">
        <v>288</v>
      </c>
      <c r="G37" s="6" t="s">
        <v>389</v>
      </c>
      <c r="H37" s="6" t="s">
        <v>411</v>
      </c>
      <c r="I37" s="6" t="s">
        <v>90</v>
      </c>
      <c r="J37" s="6" t="s">
        <v>91</v>
      </c>
      <c r="K37" s="6" t="s">
        <v>92</v>
      </c>
      <c r="L37" s="6" t="s">
        <v>90</v>
      </c>
      <c r="M37" s="6" t="s">
        <v>412</v>
      </c>
      <c r="N37" s="6" t="s">
        <v>104</v>
      </c>
      <c r="O37" s="6" t="s">
        <v>131</v>
      </c>
      <c r="P37" s="6" t="s">
        <v>95</v>
      </c>
      <c r="Q37" s="6" t="s">
        <v>291</v>
      </c>
      <c r="R37" s="6" t="s">
        <v>334</v>
      </c>
      <c r="S37" s="6" t="str">
        <f>VLOOKUP(R37,Customer_Mapping!A:B,2,FALSE)</f>
        <v>Customer_009</v>
      </c>
      <c r="T37" s="6" t="s">
        <v>335</v>
      </c>
      <c r="U37" s="6" t="s">
        <v>413</v>
      </c>
      <c r="V37" s="6" t="s">
        <v>373</v>
      </c>
      <c r="W37" s="6" t="str">
        <f>IF(U37="","",IFERROR(_xlfn.XLOOKUP(U37,Mapping!$A:$A,Mapping!$B:$B),""))</f>
        <v>Project_023</v>
      </c>
      <c r="X37" s="6" t="str">
        <f>IF(V37="","",IFERROR(_xlfn.XLOOKUP(V37,Mapping!$A:$A,Mapping!$B:$B),""))</f>
        <v>Project_016</v>
      </c>
      <c r="Y37" s="6" t="s">
        <v>286</v>
      </c>
      <c r="Z37" s="6" t="s">
        <v>412</v>
      </c>
    </row>
    <row r="38" spans="1:26">
      <c r="A38" s="12">
        <v>37</v>
      </c>
      <c r="B38" s="6" t="s">
        <v>414</v>
      </c>
      <c r="C38" s="6" t="s">
        <v>222</v>
      </c>
      <c r="D38" s="6" t="s">
        <v>86</v>
      </c>
      <c r="E38" s="7">
        <v>44348</v>
      </c>
      <c r="F38" s="6" t="s">
        <v>111</v>
      </c>
      <c r="G38" s="6" t="s">
        <v>120</v>
      </c>
      <c r="H38" s="6" t="s">
        <v>415</v>
      </c>
      <c r="I38" s="6" t="s">
        <v>90</v>
      </c>
      <c r="J38" s="6" t="s">
        <v>91</v>
      </c>
      <c r="K38" s="6" t="s">
        <v>92</v>
      </c>
      <c r="L38" s="6" t="s">
        <v>90</v>
      </c>
      <c r="M38" s="6" t="s">
        <v>416</v>
      </c>
      <c r="N38" s="6" t="s">
        <v>94</v>
      </c>
      <c r="O38" s="6" t="s">
        <v>290</v>
      </c>
      <c r="P38" s="6" t="s">
        <v>417</v>
      </c>
      <c r="Q38" s="6" t="s">
        <v>418</v>
      </c>
      <c r="R38" s="6" t="s">
        <v>334</v>
      </c>
      <c r="S38" s="6" t="str">
        <f>VLOOKUP(R38,Customer_Mapping!A:B,2,FALSE)</f>
        <v>Customer_009</v>
      </c>
      <c r="T38" s="6" t="s">
        <v>335</v>
      </c>
      <c r="U38" s="6" t="s">
        <v>285</v>
      </c>
      <c r="V38" s="6" t="s">
        <v>413</v>
      </c>
      <c r="W38" s="6" t="str">
        <f>IF(U38="","",IFERROR(_xlfn.XLOOKUP(U38,Mapping!$A:$A,Mapping!$B:$B),""))</f>
        <v>Project_017</v>
      </c>
      <c r="X38" s="6" t="str">
        <f>IF(V38="","",IFERROR(_xlfn.XLOOKUP(V38,Mapping!$A:$A,Mapping!$B:$B),""))</f>
        <v>Project_023</v>
      </c>
      <c r="Y38" s="6" t="s">
        <v>286</v>
      </c>
      <c r="Z38" s="6" t="s">
        <v>416</v>
      </c>
    </row>
    <row r="39" spans="1:26">
      <c r="A39" s="12">
        <v>38</v>
      </c>
      <c r="B39" s="6" t="s">
        <v>419</v>
      </c>
      <c r="C39" s="6" t="s">
        <v>224</v>
      </c>
      <c r="D39" s="6" t="s">
        <v>86</v>
      </c>
      <c r="E39" s="7">
        <v>45192</v>
      </c>
      <c r="F39" s="6" t="s">
        <v>14</v>
      </c>
      <c r="G39" s="6" t="s">
        <v>420</v>
      </c>
      <c r="H39" s="6" t="s">
        <v>421</v>
      </c>
      <c r="I39" s="6" t="s">
        <v>90</v>
      </c>
      <c r="J39" s="6" t="s">
        <v>91</v>
      </c>
      <c r="K39" s="6" t="s">
        <v>92</v>
      </c>
      <c r="L39" s="6" t="s">
        <v>90</v>
      </c>
      <c r="M39" s="6" t="s">
        <v>131</v>
      </c>
      <c r="N39" s="6" t="s">
        <v>122</v>
      </c>
      <c r="O39" s="6" t="s">
        <v>313</v>
      </c>
      <c r="P39" s="6" t="s">
        <v>122</v>
      </c>
      <c r="Q39" s="6" t="s">
        <v>422</v>
      </c>
      <c r="R39" s="6" t="s">
        <v>282</v>
      </c>
      <c r="S39" s="6" t="str">
        <f>VLOOKUP(R39,Customer_Mapping!A:B,2,FALSE)</f>
        <v>Customer_001</v>
      </c>
      <c r="T39" s="6" t="s">
        <v>283</v>
      </c>
      <c r="U39" s="6" t="s">
        <v>284</v>
      </c>
      <c r="V39" s="6" t="s">
        <v>285</v>
      </c>
      <c r="W39" s="6" t="str">
        <f>IF(U39="","",IFERROR(_xlfn.XLOOKUP(U39,Mapping!$A:$A,Mapping!$B:$B),""))</f>
        <v>Project_001</v>
      </c>
      <c r="X39" s="6" t="str">
        <f>IF(V39="","",IFERROR(_xlfn.XLOOKUP(V39,Mapping!$A:$A,Mapping!$B:$B),""))</f>
        <v>Project_017</v>
      </c>
      <c r="Y39" s="6" t="s">
        <v>423</v>
      </c>
      <c r="Z39" s="6" t="s">
        <v>131</v>
      </c>
    </row>
    <row r="40" spans="1:26">
      <c r="A40" s="12">
        <v>39</v>
      </c>
      <c r="B40" s="6" t="s">
        <v>424</v>
      </c>
      <c r="C40" s="6" t="s">
        <v>227</v>
      </c>
      <c r="D40" s="6" t="s">
        <v>86</v>
      </c>
      <c r="E40" s="7">
        <v>46135</v>
      </c>
      <c r="F40" s="6" t="s">
        <v>425</v>
      </c>
      <c r="G40" s="6" t="s">
        <v>94</v>
      </c>
      <c r="H40" s="6" t="s">
        <v>94</v>
      </c>
      <c r="I40" s="6" t="s">
        <v>90</v>
      </c>
      <c r="J40" s="6" t="s">
        <v>91</v>
      </c>
      <c r="K40" s="6" t="s">
        <v>92</v>
      </c>
      <c r="L40" s="6" t="s">
        <v>90</v>
      </c>
      <c r="M40" s="6" t="s">
        <v>94</v>
      </c>
      <c r="N40" s="6" t="s">
        <v>94</v>
      </c>
      <c r="O40" s="6" t="s">
        <v>43</v>
      </c>
      <c r="P40" s="6" t="s">
        <v>122</v>
      </c>
      <c r="Q40" s="6" t="s">
        <v>426</v>
      </c>
      <c r="R40" s="6" t="s">
        <v>282</v>
      </c>
      <c r="S40" s="6" t="str">
        <f>VLOOKUP(R40,Customer_Mapping!A:B,2,FALSE)</f>
        <v>Customer_001</v>
      </c>
      <c r="T40" s="6" t="s">
        <v>283</v>
      </c>
      <c r="U40" s="6" t="s">
        <v>305</v>
      </c>
      <c r="V40" s="6" t="s">
        <v>284</v>
      </c>
      <c r="W40" s="6" t="str">
        <f>IF(U40="","",IFERROR(_xlfn.XLOOKUP(U40,Mapping!$A:$A,Mapping!$B:$B),""))</f>
        <v>Project_005</v>
      </c>
      <c r="X40" s="6" t="str">
        <f>IF(V40="","",IFERROR(_xlfn.XLOOKUP(V40,Mapping!$A:$A,Mapping!$B:$B),""))</f>
        <v>Project_001</v>
      </c>
      <c r="Y40" s="6" t="s">
        <v>286</v>
      </c>
      <c r="Z40" s="6" t="s">
        <v>94</v>
      </c>
    </row>
    <row r="41" spans="1:26">
      <c r="A41" s="12">
        <v>40</v>
      </c>
      <c r="B41" s="6" t="s">
        <v>427</v>
      </c>
      <c r="C41" s="6" t="s">
        <v>230</v>
      </c>
      <c r="D41" s="6" t="s">
        <v>86</v>
      </c>
      <c r="E41" s="7">
        <v>46180</v>
      </c>
      <c r="F41" s="6" t="s">
        <v>337</v>
      </c>
      <c r="G41" s="6" t="s">
        <v>94</v>
      </c>
      <c r="H41" s="6" t="s">
        <v>94</v>
      </c>
      <c r="I41" s="6" t="s">
        <v>90</v>
      </c>
      <c r="J41" s="6" t="s">
        <v>91</v>
      </c>
      <c r="K41" s="6" t="s">
        <v>92</v>
      </c>
      <c r="L41" s="6" t="s">
        <v>90</v>
      </c>
      <c r="M41" s="6" t="s">
        <v>94</v>
      </c>
      <c r="N41" s="6" t="s">
        <v>94</v>
      </c>
      <c r="O41" s="6" t="s">
        <v>131</v>
      </c>
      <c r="P41" s="6" t="s">
        <v>104</v>
      </c>
      <c r="Q41" s="6" t="s">
        <v>338</v>
      </c>
      <c r="R41" s="6" t="s">
        <v>308</v>
      </c>
      <c r="S41" s="6" t="str">
        <f>VLOOKUP(R41,Customer_Mapping!A:B,2,FALSE)</f>
        <v>Customer_004</v>
      </c>
      <c r="T41" s="6" t="s">
        <v>283</v>
      </c>
      <c r="U41" s="6" t="s">
        <v>305</v>
      </c>
      <c r="V41" s="6" t="s">
        <v>305</v>
      </c>
      <c r="W41" s="6" t="str">
        <f>IF(U41="","",IFERROR(_xlfn.XLOOKUP(U41,Mapping!$A:$A,Mapping!$B:$B),""))</f>
        <v>Project_005</v>
      </c>
      <c r="X41" s="6" t="str">
        <f>IF(V41="","",IFERROR(_xlfn.XLOOKUP(V41,Mapping!$A:$A,Mapping!$B:$B),""))</f>
        <v>Project_005</v>
      </c>
      <c r="Y41" s="6" t="s">
        <v>286</v>
      </c>
      <c r="Z41" s="6" t="s">
        <v>94</v>
      </c>
    </row>
    <row r="42" spans="1:26">
      <c r="A42" s="12">
        <v>41</v>
      </c>
      <c r="B42" s="6" t="s">
        <v>428</v>
      </c>
      <c r="C42" s="6" t="s">
        <v>232</v>
      </c>
      <c r="D42" s="6" t="s">
        <v>86</v>
      </c>
      <c r="E42" s="7">
        <v>46189</v>
      </c>
      <c r="F42" s="6" t="s">
        <v>337</v>
      </c>
      <c r="G42" s="6" t="s">
        <v>94</v>
      </c>
      <c r="H42" s="6" t="s">
        <v>94</v>
      </c>
      <c r="I42" s="6" t="s">
        <v>90</v>
      </c>
      <c r="J42" s="6" t="s">
        <v>91</v>
      </c>
      <c r="K42" s="6" t="s">
        <v>92</v>
      </c>
      <c r="L42" s="6" t="s">
        <v>90</v>
      </c>
      <c r="M42" s="6" t="s">
        <v>94</v>
      </c>
      <c r="N42" s="6" t="s">
        <v>94</v>
      </c>
      <c r="O42" s="6" t="s">
        <v>131</v>
      </c>
      <c r="P42" s="6" t="s">
        <v>104</v>
      </c>
      <c r="Q42" s="6" t="s">
        <v>338</v>
      </c>
      <c r="R42" s="6" t="s">
        <v>308</v>
      </c>
      <c r="S42" s="6" t="str">
        <f>VLOOKUP(R42,Customer_Mapping!A:B,2,FALSE)</f>
        <v>Customer_004</v>
      </c>
      <c r="T42" s="6" t="s">
        <v>283</v>
      </c>
      <c r="U42" s="6" t="s">
        <v>305</v>
      </c>
      <c r="V42" s="6" t="s">
        <v>305</v>
      </c>
      <c r="W42" s="6" t="str">
        <f>IF(U42="","",IFERROR(_xlfn.XLOOKUP(U42,Mapping!$A:$A,Mapping!$B:$B),""))</f>
        <v>Project_005</v>
      </c>
      <c r="X42" s="6" t="str">
        <f>IF(V42="","",IFERROR(_xlfn.XLOOKUP(V42,Mapping!$A:$A,Mapping!$B:$B),""))</f>
        <v>Project_005</v>
      </c>
      <c r="Y42" s="6" t="s">
        <v>286</v>
      </c>
      <c r="Z42" s="6" t="s">
        <v>94</v>
      </c>
    </row>
    <row r="43" spans="1:26">
      <c r="A43" s="12">
        <v>42</v>
      </c>
      <c r="B43" s="6" t="s">
        <v>429</v>
      </c>
      <c r="C43" s="6" t="s">
        <v>234</v>
      </c>
      <c r="D43" s="6" t="s">
        <v>86</v>
      </c>
      <c r="E43" s="7">
        <v>43617</v>
      </c>
      <c r="F43" s="6" t="s">
        <v>430</v>
      </c>
      <c r="G43" s="6" t="s">
        <v>151</v>
      </c>
      <c r="H43" s="6" t="s">
        <v>431</v>
      </c>
      <c r="I43" s="6" t="s">
        <v>90</v>
      </c>
      <c r="J43" s="6" t="s">
        <v>91</v>
      </c>
      <c r="K43" s="6" t="s">
        <v>92</v>
      </c>
      <c r="L43" s="6" t="s">
        <v>90</v>
      </c>
      <c r="M43" s="6" t="s">
        <v>131</v>
      </c>
      <c r="N43" s="6" t="s">
        <v>122</v>
      </c>
      <c r="O43" s="6" t="s">
        <v>432</v>
      </c>
      <c r="P43" s="6" t="s">
        <v>122</v>
      </c>
      <c r="Q43" s="6" t="s">
        <v>433</v>
      </c>
      <c r="R43" s="6" t="s">
        <v>308</v>
      </c>
      <c r="S43" s="6" t="str">
        <f>VLOOKUP(R43,Customer_Mapping!A:B,2,FALSE)</f>
        <v>Customer_004</v>
      </c>
      <c r="T43" s="6" t="s">
        <v>283</v>
      </c>
      <c r="U43" s="6" t="s">
        <v>434</v>
      </c>
      <c r="V43" s="6" t="s">
        <v>305</v>
      </c>
      <c r="W43" s="6" t="str">
        <f>IF(U43="","",IFERROR(_xlfn.XLOOKUP(U43,Mapping!$A:$A,Mapping!$B:$B),""))</f>
        <v>Project_024</v>
      </c>
      <c r="X43" s="6" t="str">
        <f>IF(V43="","",IFERROR(_xlfn.XLOOKUP(V43,Mapping!$A:$A,Mapping!$B:$B),""))</f>
        <v>Project_005</v>
      </c>
      <c r="Y43" s="6" t="s">
        <v>286</v>
      </c>
      <c r="Z43" s="6" t="s">
        <v>131</v>
      </c>
    </row>
    <row r="44" spans="1:26">
      <c r="A44" s="12">
        <v>43</v>
      </c>
      <c r="B44" s="6" t="s">
        <v>435</v>
      </c>
      <c r="C44" s="6" t="s">
        <v>236</v>
      </c>
      <c r="D44" s="6" t="s">
        <v>86</v>
      </c>
      <c r="E44" s="7">
        <v>42354</v>
      </c>
      <c r="F44" s="6" t="s">
        <v>111</v>
      </c>
      <c r="G44" s="6" t="s">
        <v>146</v>
      </c>
      <c r="H44" s="6" t="s">
        <v>436</v>
      </c>
      <c r="I44" s="6" t="s">
        <v>90</v>
      </c>
      <c r="J44" s="6" t="s">
        <v>91</v>
      </c>
      <c r="K44" s="6" t="s">
        <v>92</v>
      </c>
      <c r="L44" s="6" t="s">
        <v>90</v>
      </c>
      <c r="M44" s="6" t="s">
        <v>437</v>
      </c>
      <c r="N44" s="6" t="s">
        <v>122</v>
      </c>
      <c r="O44" s="6" t="s">
        <v>438</v>
      </c>
      <c r="P44" s="6" t="s">
        <v>122</v>
      </c>
      <c r="Q44" s="6" t="s">
        <v>418</v>
      </c>
      <c r="R44" s="6" t="s">
        <v>334</v>
      </c>
      <c r="S44" s="6" t="str">
        <f>VLOOKUP(R44,Customer_Mapping!A:B,2,FALSE)</f>
        <v>Customer_009</v>
      </c>
      <c r="T44" s="6" t="s">
        <v>335</v>
      </c>
      <c r="U44" s="6" t="s">
        <v>301</v>
      </c>
      <c r="V44" s="6" t="s">
        <v>434</v>
      </c>
      <c r="W44" s="6" t="str">
        <f>IF(U44="","",IFERROR(_xlfn.XLOOKUP(U44,Mapping!$A:$A,Mapping!$B:$B),""))</f>
        <v>Project_004</v>
      </c>
      <c r="X44" s="6" t="str">
        <f>IF(V44="","",IFERROR(_xlfn.XLOOKUP(V44,Mapping!$A:$A,Mapping!$B:$B),""))</f>
        <v>Project_024</v>
      </c>
      <c r="Y44" s="6" t="s">
        <v>286</v>
      </c>
      <c r="Z44" s="6" t="s">
        <v>437</v>
      </c>
    </row>
    <row r="45" spans="1:26">
      <c r="A45" s="12">
        <v>44</v>
      </c>
      <c r="B45" s="6" t="s">
        <v>439</v>
      </c>
      <c r="C45" s="6" t="s">
        <v>239</v>
      </c>
      <c r="D45" s="6" t="s">
        <v>86</v>
      </c>
      <c r="E45" s="7">
        <v>45931</v>
      </c>
      <c r="F45" s="6" t="s">
        <v>204</v>
      </c>
      <c r="G45" s="6" t="s">
        <v>94</v>
      </c>
      <c r="H45" s="6" t="s">
        <v>94</v>
      </c>
      <c r="I45" s="6" t="s">
        <v>90</v>
      </c>
      <c r="J45" s="6" t="s">
        <v>91</v>
      </c>
      <c r="K45" s="6" t="s">
        <v>92</v>
      </c>
      <c r="L45" s="6" t="s">
        <v>90</v>
      </c>
      <c r="M45" s="6" t="s">
        <v>94</v>
      </c>
      <c r="N45" s="6" t="s">
        <v>94</v>
      </c>
      <c r="O45" s="6" t="s">
        <v>43</v>
      </c>
      <c r="P45" s="6" t="s">
        <v>95</v>
      </c>
      <c r="Q45" s="6" t="s">
        <v>403</v>
      </c>
      <c r="R45" s="6" t="s">
        <v>282</v>
      </c>
      <c r="S45" s="6" t="str">
        <f>VLOOKUP(R45,Customer_Mapping!A:B,2,FALSE)</f>
        <v>Customer_001</v>
      </c>
      <c r="T45" s="6" t="s">
        <v>283</v>
      </c>
      <c r="U45" s="6" t="s">
        <v>339</v>
      </c>
      <c r="V45" s="6" t="s">
        <v>301</v>
      </c>
      <c r="W45" s="6" t="str">
        <f>IF(U45="","",IFERROR(_xlfn.XLOOKUP(U45,Mapping!$A:$A,Mapping!$B:$B),""))</f>
        <v>Project_012</v>
      </c>
      <c r="X45" s="6" t="str">
        <f>IF(V45="","",IFERROR(_xlfn.XLOOKUP(V45,Mapping!$A:$A,Mapping!$B:$B),""))</f>
        <v>Project_004</v>
      </c>
      <c r="Y45" s="6" t="s">
        <v>286</v>
      </c>
      <c r="Z45" s="6" t="s">
        <v>94</v>
      </c>
    </row>
    <row r="46" spans="1:26">
      <c r="A46" s="12">
        <v>45</v>
      </c>
      <c r="B46" s="6" t="s">
        <v>440</v>
      </c>
      <c r="C46" s="6" t="s">
        <v>241</v>
      </c>
      <c r="D46" s="6" t="s">
        <v>86</v>
      </c>
      <c r="E46" s="7">
        <v>43102</v>
      </c>
      <c r="F46" s="6" t="s">
        <v>111</v>
      </c>
      <c r="G46" s="6" t="s">
        <v>88</v>
      </c>
      <c r="H46" s="6" t="s">
        <v>441</v>
      </c>
      <c r="I46" s="6" t="s">
        <v>90</v>
      </c>
      <c r="J46" s="6" t="s">
        <v>91</v>
      </c>
      <c r="K46" s="6" t="s">
        <v>92</v>
      </c>
      <c r="L46" s="6" t="s">
        <v>90</v>
      </c>
      <c r="M46" s="6" t="s">
        <v>117</v>
      </c>
      <c r="N46" s="6" t="s">
        <v>94</v>
      </c>
      <c r="O46" s="6" t="s">
        <v>117</v>
      </c>
      <c r="P46" s="6" t="s">
        <v>122</v>
      </c>
      <c r="Q46" s="6" t="s">
        <v>418</v>
      </c>
      <c r="R46" s="6" t="s">
        <v>334</v>
      </c>
      <c r="S46" s="6" t="str">
        <f>VLOOKUP(R46,Customer_Mapping!A:B,2,FALSE)</f>
        <v>Customer_009</v>
      </c>
      <c r="T46" s="6" t="s">
        <v>335</v>
      </c>
      <c r="U46" s="6" t="s">
        <v>442</v>
      </c>
      <c r="V46" s="6" t="s">
        <v>339</v>
      </c>
      <c r="W46" s="6" t="str">
        <f>IF(U46="","",IFERROR(_xlfn.XLOOKUP(U46,Mapping!$A:$A,Mapping!$B:$B),""))</f>
        <v>Project_025</v>
      </c>
      <c r="X46" s="6" t="str">
        <f>IF(V46="","",IFERROR(_xlfn.XLOOKUP(V46,Mapping!$A:$A,Mapping!$B:$B),""))</f>
        <v>Project_012</v>
      </c>
      <c r="Y46" s="6" t="s">
        <v>286</v>
      </c>
      <c r="Z46" s="6" t="s">
        <v>117</v>
      </c>
    </row>
    <row r="47" spans="1:26">
      <c r="A47" s="12">
        <v>46</v>
      </c>
      <c r="B47" s="6" t="s">
        <v>443</v>
      </c>
      <c r="C47" s="6" t="s">
        <v>243</v>
      </c>
      <c r="D47" s="6" t="s">
        <v>86</v>
      </c>
      <c r="E47" s="7">
        <v>45977</v>
      </c>
      <c r="F47" s="6" t="s">
        <v>150</v>
      </c>
      <c r="G47" s="6" t="s">
        <v>94</v>
      </c>
      <c r="H47" s="6" t="s">
        <v>444</v>
      </c>
      <c r="I47" s="6" t="s">
        <v>213</v>
      </c>
      <c r="J47" s="6" t="s">
        <v>91</v>
      </c>
      <c r="K47" s="6" t="s">
        <v>92</v>
      </c>
      <c r="L47" s="6" t="s">
        <v>213</v>
      </c>
      <c r="M47" s="6" t="s">
        <v>94</v>
      </c>
      <c r="N47" s="6" t="s">
        <v>94</v>
      </c>
      <c r="O47" s="6" t="s">
        <v>93</v>
      </c>
      <c r="P47" s="6" t="s">
        <v>95</v>
      </c>
      <c r="Q47" s="6" t="s">
        <v>445</v>
      </c>
      <c r="R47" s="6" t="s">
        <v>446</v>
      </c>
      <c r="S47" s="6" t="e">
        <f>VLOOKUP(R47,Customer_Mapping!A:B,2,FALSE)</f>
        <v>#N/A</v>
      </c>
      <c r="T47" s="6" t="s">
        <v>447</v>
      </c>
      <c r="U47" s="6" t="s">
        <v>341</v>
      </c>
      <c r="V47" s="6" t="s">
        <v>442</v>
      </c>
      <c r="W47" s="6" t="str">
        <f>IF(U47="","",IFERROR(_xlfn.XLOOKUP(U47,Mapping!$A:$A,Mapping!$B:$B),""))</f>
        <v>Project_013</v>
      </c>
      <c r="X47" s="6" t="str">
        <f>IF(V47="","",IFERROR(_xlfn.XLOOKUP(V47,Mapping!$A:$A,Mapping!$B:$B),""))</f>
        <v>Project_025</v>
      </c>
      <c r="Y47" s="6" t="s">
        <v>448</v>
      </c>
      <c r="Z47" s="6" t="s">
        <v>94</v>
      </c>
    </row>
    <row r="48" spans="1:26">
      <c r="A48" s="12">
        <v>47</v>
      </c>
      <c r="B48" s="6" t="s">
        <v>449</v>
      </c>
      <c r="C48" s="6" t="s">
        <v>246</v>
      </c>
      <c r="D48" s="6" t="s">
        <v>86</v>
      </c>
      <c r="E48" s="7">
        <v>45130</v>
      </c>
      <c r="F48" s="6" t="s">
        <v>288</v>
      </c>
      <c r="G48" s="6" t="s">
        <v>151</v>
      </c>
      <c r="H48" s="6" t="s">
        <v>450</v>
      </c>
      <c r="I48" s="6" t="s">
        <v>90</v>
      </c>
      <c r="J48" s="6" t="s">
        <v>91</v>
      </c>
      <c r="K48" s="6" t="s">
        <v>92</v>
      </c>
      <c r="L48" s="6" t="s">
        <v>90</v>
      </c>
      <c r="M48" s="6" t="s">
        <v>451</v>
      </c>
      <c r="N48" s="6" t="s">
        <v>94</v>
      </c>
      <c r="O48" s="6" t="s">
        <v>131</v>
      </c>
      <c r="P48" s="6" t="s">
        <v>95</v>
      </c>
      <c r="Q48" s="6" t="s">
        <v>291</v>
      </c>
      <c r="R48" s="6" t="s">
        <v>282</v>
      </c>
      <c r="S48" s="6" t="str">
        <f>VLOOKUP(R48,Customer_Mapping!A:B,2,FALSE)</f>
        <v>Customer_001</v>
      </c>
      <c r="T48" s="6" t="s">
        <v>283</v>
      </c>
      <c r="U48" s="6" t="s">
        <v>341</v>
      </c>
      <c r="V48" s="6" t="s">
        <v>341</v>
      </c>
      <c r="W48" s="6" t="str">
        <f>IF(U48="","",IFERROR(_xlfn.XLOOKUP(U48,Mapping!$A:$A,Mapping!$B:$B),""))</f>
        <v>Project_013</v>
      </c>
      <c r="X48" s="6" t="str">
        <f>IF(V48="","",IFERROR(_xlfn.XLOOKUP(V48,Mapping!$A:$A,Mapping!$B:$B),""))</f>
        <v>Project_013</v>
      </c>
      <c r="Y48" s="6" t="s">
        <v>286</v>
      </c>
      <c r="Z48" s="6" t="s">
        <v>451</v>
      </c>
    </row>
    <row r="49" spans="1:26">
      <c r="A49" s="12">
        <v>48</v>
      </c>
      <c r="B49" s="6" t="s">
        <v>452</v>
      </c>
      <c r="C49" s="6" t="s">
        <v>248</v>
      </c>
      <c r="D49" s="6" t="s">
        <v>86</v>
      </c>
      <c r="E49" s="7">
        <v>43822</v>
      </c>
      <c r="F49" s="6" t="s">
        <v>111</v>
      </c>
      <c r="G49" s="6" t="s">
        <v>151</v>
      </c>
      <c r="H49" s="6" t="s">
        <v>453</v>
      </c>
      <c r="I49" s="6" t="s">
        <v>90</v>
      </c>
      <c r="J49" s="6" t="s">
        <v>91</v>
      </c>
      <c r="K49" s="6" t="s">
        <v>92</v>
      </c>
      <c r="L49" s="6" t="s">
        <v>90</v>
      </c>
      <c r="M49" s="6" t="s">
        <v>131</v>
      </c>
      <c r="N49" s="6" t="s">
        <v>95</v>
      </c>
      <c r="O49" s="6" t="s">
        <v>131</v>
      </c>
      <c r="P49" s="6" t="s">
        <v>122</v>
      </c>
      <c r="Q49" s="6" t="s">
        <v>281</v>
      </c>
      <c r="R49" s="6" t="s">
        <v>282</v>
      </c>
      <c r="S49" s="6" t="str">
        <f>VLOOKUP(R49,Customer_Mapping!A:B,2,FALSE)</f>
        <v>Customer_001</v>
      </c>
      <c r="T49" s="6" t="s">
        <v>283</v>
      </c>
      <c r="U49" s="6" t="s">
        <v>378</v>
      </c>
      <c r="V49" s="6" t="s">
        <v>341</v>
      </c>
      <c r="W49" s="6" t="str">
        <f>IF(U49="","",IFERROR(_xlfn.XLOOKUP(U49,Mapping!$A:$A,Mapping!$B:$B),""))</f>
        <v>Project_018</v>
      </c>
      <c r="X49" s="6" t="str">
        <f>IF(V49="","",IFERROR(_xlfn.XLOOKUP(V49,Mapping!$A:$A,Mapping!$B:$B),""))</f>
        <v>Project_013</v>
      </c>
      <c r="Y49" s="6" t="s">
        <v>286</v>
      </c>
      <c r="Z49" s="6" t="s">
        <v>131</v>
      </c>
    </row>
    <row r="50" spans="1:26">
      <c r="A50" s="12">
        <v>49</v>
      </c>
      <c r="B50" s="6" t="s">
        <v>454</v>
      </c>
      <c r="C50" s="6" t="s">
        <v>250</v>
      </c>
      <c r="D50" s="6" t="s">
        <v>86</v>
      </c>
      <c r="E50" s="7">
        <v>46023</v>
      </c>
      <c r="F50" s="6" t="s">
        <v>155</v>
      </c>
      <c r="G50" s="6" t="s">
        <v>94</v>
      </c>
      <c r="H50" s="6" t="s">
        <v>333</v>
      </c>
      <c r="I50" s="6" t="s">
        <v>90</v>
      </c>
      <c r="J50" s="6" t="s">
        <v>91</v>
      </c>
      <c r="K50" s="6" t="s">
        <v>92</v>
      </c>
      <c r="L50" s="6" t="s">
        <v>90</v>
      </c>
      <c r="M50" s="6" t="s">
        <v>94</v>
      </c>
      <c r="N50" s="6" t="s">
        <v>94</v>
      </c>
      <c r="O50" s="6" t="s">
        <v>27</v>
      </c>
      <c r="P50" s="6" t="s">
        <v>104</v>
      </c>
      <c r="Q50" s="6" t="s">
        <v>369</v>
      </c>
      <c r="R50" s="6" t="s">
        <v>381</v>
      </c>
      <c r="S50" s="6" t="str">
        <f>VLOOKUP(R50,Customer_Mapping!A:B,2,FALSE)</f>
        <v>Customer_012</v>
      </c>
      <c r="T50" s="6" t="s">
        <v>283</v>
      </c>
      <c r="U50" s="6" t="s">
        <v>298</v>
      </c>
      <c r="V50" s="6" t="s">
        <v>378</v>
      </c>
      <c r="W50" s="6" t="str">
        <f>IF(U50="","",IFERROR(_xlfn.XLOOKUP(U50,Mapping!$A:$A,Mapping!$B:$B),""))</f>
        <v>Project_003</v>
      </c>
      <c r="X50" s="6" t="str">
        <f>IF(V50="","",IFERROR(_xlfn.XLOOKUP(V50,Mapping!$A:$A,Mapping!$B:$B),""))</f>
        <v>Project_018</v>
      </c>
      <c r="Y50" s="6" t="s">
        <v>286</v>
      </c>
      <c r="Z50" s="6" t="s">
        <v>94</v>
      </c>
    </row>
    <row r="51" spans="1:26">
      <c r="A51" s="12">
        <v>50</v>
      </c>
      <c r="B51" s="6" t="s">
        <v>455</v>
      </c>
      <c r="C51" s="6" t="s">
        <v>456</v>
      </c>
      <c r="D51" s="6" t="s">
        <v>86</v>
      </c>
      <c r="E51" s="7">
        <v>45398</v>
      </c>
      <c r="F51" s="6" t="s">
        <v>204</v>
      </c>
      <c r="G51" s="6" t="s">
        <v>151</v>
      </c>
      <c r="H51" s="6" t="s">
        <v>205</v>
      </c>
      <c r="I51" s="6" t="s">
        <v>90</v>
      </c>
      <c r="J51" s="6" t="s">
        <v>91</v>
      </c>
      <c r="K51" s="6" t="s">
        <v>92</v>
      </c>
      <c r="L51" s="6" t="s">
        <v>90</v>
      </c>
      <c r="M51" s="6" t="s">
        <v>94</v>
      </c>
      <c r="N51" s="6" t="s">
        <v>94</v>
      </c>
      <c r="O51" s="6" t="s">
        <v>43</v>
      </c>
      <c r="P51" s="6" t="s">
        <v>95</v>
      </c>
      <c r="Q51" s="6" t="s">
        <v>403</v>
      </c>
      <c r="R51" s="6" t="s">
        <v>300</v>
      </c>
      <c r="S51" s="6" t="str">
        <f>VLOOKUP(R51,Customer_Mapping!A:B,2,FALSE)</f>
        <v>Customer_003</v>
      </c>
      <c r="T51" s="6" t="s">
        <v>283</v>
      </c>
      <c r="U51" s="6" t="s">
        <v>387</v>
      </c>
      <c r="V51" s="6" t="s">
        <v>298</v>
      </c>
      <c r="W51" s="6" t="str">
        <f>IF(U51="","",IFERROR(_xlfn.XLOOKUP(U51,Mapping!$A:$A,Mapping!$B:$B),""))</f>
        <v>Project_020</v>
      </c>
      <c r="X51" s="6" t="str">
        <f>IF(V51="","",IFERROR(_xlfn.XLOOKUP(V51,Mapping!$A:$A,Mapping!$B:$B),""))</f>
        <v>Project_003</v>
      </c>
      <c r="Y51" s="6" t="s">
        <v>286</v>
      </c>
      <c r="Z51" s="6" t="s">
        <v>94</v>
      </c>
    </row>
    <row r="52" spans="1:26">
      <c r="A52" s="12">
        <v>51</v>
      </c>
      <c r="B52" s="6" t="s">
        <v>457</v>
      </c>
      <c r="C52" s="6" t="s">
        <v>458</v>
      </c>
      <c r="D52" s="6" t="s">
        <v>86</v>
      </c>
      <c r="E52" s="7">
        <v>44136</v>
      </c>
      <c r="F52" s="6" t="s">
        <v>204</v>
      </c>
      <c r="G52" s="6" t="s">
        <v>120</v>
      </c>
      <c r="H52" s="6" t="s">
        <v>459</v>
      </c>
      <c r="I52" s="6" t="s">
        <v>90</v>
      </c>
      <c r="J52" s="6" t="s">
        <v>91</v>
      </c>
      <c r="K52" s="6" t="s">
        <v>92</v>
      </c>
      <c r="L52" s="6" t="s">
        <v>90</v>
      </c>
      <c r="M52" s="6" t="s">
        <v>43</v>
      </c>
      <c r="N52" s="6" t="s">
        <v>122</v>
      </c>
      <c r="O52" s="6" t="s">
        <v>43</v>
      </c>
      <c r="P52" s="6" t="s">
        <v>95</v>
      </c>
      <c r="Q52" s="6" t="s">
        <v>403</v>
      </c>
      <c r="R52" s="6" t="s">
        <v>391</v>
      </c>
      <c r="S52" s="6" t="str">
        <f>VLOOKUP(R52,Customer_Mapping!A:B,2,FALSE)</f>
        <v>Customer_014</v>
      </c>
      <c r="T52" s="6" t="s">
        <v>386</v>
      </c>
      <c r="U52" s="6" t="s">
        <v>392</v>
      </c>
      <c r="V52" s="6" t="s">
        <v>387</v>
      </c>
      <c r="W52" s="6" t="str">
        <f>IF(U52="","",IFERROR(_xlfn.XLOOKUP(U52,Mapping!$A:$A,Mapping!$B:$B),""))</f>
        <v>Project_021</v>
      </c>
      <c r="X52" s="6" t="str">
        <f>IF(V52="","",IFERROR(_xlfn.XLOOKUP(V52,Mapping!$A:$A,Mapping!$B:$B),""))</f>
        <v>Project_020</v>
      </c>
      <c r="Y52" s="6" t="s">
        <v>286</v>
      </c>
      <c r="Z52" s="6" t="s">
        <v>43</v>
      </c>
    </row>
    <row r="53" spans="1:26">
      <c r="A53" s="12">
        <v>52</v>
      </c>
      <c r="B53" s="6" t="s">
        <v>460</v>
      </c>
      <c r="C53" s="6" t="s">
        <v>461</v>
      </c>
      <c r="D53" s="6" t="s">
        <v>86</v>
      </c>
      <c r="E53" s="7">
        <v>41214</v>
      </c>
      <c r="F53" s="6" t="s">
        <v>111</v>
      </c>
      <c r="G53" s="6" t="s">
        <v>462</v>
      </c>
      <c r="H53" s="6" t="s">
        <v>463</v>
      </c>
      <c r="I53" s="6" t="s">
        <v>90</v>
      </c>
      <c r="J53" s="6" t="s">
        <v>91</v>
      </c>
      <c r="K53" s="6" t="s">
        <v>92</v>
      </c>
      <c r="L53" s="6" t="s">
        <v>90</v>
      </c>
      <c r="M53" s="6" t="s">
        <v>131</v>
      </c>
      <c r="N53" s="6" t="s">
        <v>95</v>
      </c>
      <c r="O53" s="6" t="s">
        <v>395</v>
      </c>
      <c r="P53" s="6" t="s">
        <v>104</v>
      </c>
      <c r="Q53" s="6" t="s">
        <v>281</v>
      </c>
      <c r="R53" s="6" t="s">
        <v>282</v>
      </c>
      <c r="S53" s="6" t="str">
        <f>VLOOKUP(R53,Customer_Mapping!A:B,2,FALSE)</f>
        <v>Customer_001</v>
      </c>
      <c r="T53" s="6" t="s">
        <v>283</v>
      </c>
      <c r="U53" s="6" t="s">
        <v>464</v>
      </c>
      <c r="V53" s="6" t="s">
        <v>392</v>
      </c>
      <c r="W53" s="6" t="str">
        <f>IF(U53="","",IFERROR(_xlfn.XLOOKUP(U53,Mapping!$A:$A,Mapping!$B:$B),""))</f>
        <v>Project_026</v>
      </c>
      <c r="X53" s="6" t="str">
        <f>IF(V53="","",IFERROR(_xlfn.XLOOKUP(V53,Mapping!$A:$A,Mapping!$B:$B),""))</f>
        <v>Project_021</v>
      </c>
      <c r="Y53" s="6" t="s">
        <v>286</v>
      </c>
      <c r="Z53" s="6" t="s">
        <v>131</v>
      </c>
    </row>
    <row r="54" spans="1:26">
      <c r="A54" s="12">
        <v>53</v>
      </c>
      <c r="B54" s="6" t="s">
        <v>465</v>
      </c>
      <c r="C54" s="6" t="s">
        <v>466</v>
      </c>
      <c r="D54" s="6" t="s">
        <v>86</v>
      </c>
      <c r="E54" s="7">
        <v>44188</v>
      </c>
      <c r="F54" s="6" t="s">
        <v>111</v>
      </c>
      <c r="G54" s="6" t="s">
        <v>107</v>
      </c>
      <c r="H54" s="6" t="s">
        <v>467</v>
      </c>
      <c r="I54" s="6" t="s">
        <v>90</v>
      </c>
      <c r="J54" s="6" t="s">
        <v>91</v>
      </c>
      <c r="K54" s="6" t="s">
        <v>92</v>
      </c>
      <c r="L54" s="6" t="s">
        <v>90</v>
      </c>
      <c r="M54" s="6" t="s">
        <v>131</v>
      </c>
      <c r="N54" s="6" t="s">
        <v>122</v>
      </c>
      <c r="O54" s="6" t="s">
        <v>103</v>
      </c>
      <c r="P54" s="6" t="s">
        <v>95</v>
      </c>
      <c r="Q54" s="6" t="s">
        <v>418</v>
      </c>
      <c r="R54" s="6" t="s">
        <v>308</v>
      </c>
      <c r="S54" s="6" t="str">
        <f>VLOOKUP(R54,Customer_Mapping!A:B,2,FALSE)</f>
        <v>Customer_004</v>
      </c>
      <c r="T54" s="6" t="s">
        <v>283</v>
      </c>
      <c r="U54" s="6" t="s">
        <v>468</v>
      </c>
      <c r="V54" s="6" t="s">
        <v>464</v>
      </c>
      <c r="W54" s="6" t="str">
        <f>IF(U54="","",IFERROR(_xlfn.XLOOKUP(U54,Mapping!$A:$A,Mapping!$B:$B),""))</f>
        <v>Project_027</v>
      </c>
      <c r="X54" s="6" t="str">
        <f>IF(V54="","",IFERROR(_xlfn.XLOOKUP(V54,Mapping!$A:$A,Mapping!$B:$B),""))</f>
        <v>Project_026</v>
      </c>
      <c r="Y54" s="6" t="s">
        <v>286</v>
      </c>
      <c r="Z54" s="6" t="s">
        <v>131</v>
      </c>
    </row>
    <row r="55" spans="1:26">
      <c r="A55" s="12">
        <v>54</v>
      </c>
      <c r="B55" s="6" t="s">
        <v>469</v>
      </c>
      <c r="C55" s="6" t="s">
        <v>470</v>
      </c>
      <c r="D55" s="6" t="s">
        <v>86</v>
      </c>
      <c r="E55" s="7">
        <v>45992</v>
      </c>
      <c r="F55" s="6" t="s">
        <v>111</v>
      </c>
      <c r="G55" s="6" t="s">
        <v>94</v>
      </c>
      <c r="H55" s="6" t="s">
        <v>94</v>
      </c>
      <c r="I55" s="6" t="s">
        <v>90</v>
      </c>
      <c r="J55" s="6" t="s">
        <v>91</v>
      </c>
      <c r="K55" s="6" t="s">
        <v>92</v>
      </c>
      <c r="L55" s="6" t="s">
        <v>90</v>
      </c>
      <c r="M55" s="6" t="s">
        <v>94</v>
      </c>
      <c r="N55" s="6" t="s">
        <v>94</v>
      </c>
      <c r="O55" s="6" t="s">
        <v>131</v>
      </c>
      <c r="P55" s="6" t="s">
        <v>122</v>
      </c>
      <c r="Q55" s="6" t="s">
        <v>418</v>
      </c>
      <c r="R55" s="6" t="s">
        <v>282</v>
      </c>
      <c r="S55" s="6" t="str">
        <f>VLOOKUP(R55,Customer_Mapping!A:B,2,FALSE)</f>
        <v>Customer_001</v>
      </c>
      <c r="T55" s="6" t="s">
        <v>283</v>
      </c>
      <c r="U55" s="6" t="s">
        <v>341</v>
      </c>
      <c r="V55" s="6" t="s">
        <v>468</v>
      </c>
      <c r="W55" s="6" t="str">
        <f>IF(U55="","",IFERROR(_xlfn.XLOOKUP(U55,Mapping!$A:$A,Mapping!$B:$B),""))</f>
        <v>Project_013</v>
      </c>
      <c r="X55" s="6" t="str">
        <f>IF(V55="","",IFERROR(_xlfn.XLOOKUP(V55,Mapping!$A:$A,Mapping!$B:$B),""))</f>
        <v>Project_027</v>
      </c>
      <c r="Y55" s="6" t="s">
        <v>286</v>
      </c>
      <c r="Z55" s="6" t="s">
        <v>94</v>
      </c>
    </row>
    <row r="56" spans="1:26">
      <c r="A56" s="12">
        <v>55</v>
      </c>
      <c r="B56" s="6" t="s">
        <v>471</v>
      </c>
      <c r="C56" s="6" t="s">
        <v>472</v>
      </c>
      <c r="D56" s="6" t="s">
        <v>86</v>
      </c>
      <c r="E56" s="7">
        <v>43070</v>
      </c>
      <c r="F56" s="6" t="s">
        <v>111</v>
      </c>
      <c r="G56" s="6" t="s">
        <v>146</v>
      </c>
      <c r="H56" s="6" t="s">
        <v>473</v>
      </c>
      <c r="I56" s="6" t="s">
        <v>90</v>
      </c>
      <c r="J56" s="6" t="s">
        <v>91</v>
      </c>
      <c r="K56" s="6" t="s">
        <v>92</v>
      </c>
      <c r="L56" s="6" t="s">
        <v>90</v>
      </c>
      <c r="M56" s="6" t="s">
        <v>474</v>
      </c>
      <c r="N56" s="6" t="s">
        <v>122</v>
      </c>
      <c r="O56" s="6" t="s">
        <v>474</v>
      </c>
      <c r="P56" s="6" t="s">
        <v>122</v>
      </c>
      <c r="Q56" s="6" t="s">
        <v>418</v>
      </c>
      <c r="R56" s="6" t="s">
        <v>282</v>
      </c>
      <c r="S56" s="6" t="str">
        <f>VLOOKUP(R56,Customer_Mapping!A:B,2,FALSE)</f>
        <v>Customer_001</v>
      </c>
      <c r="T56" s="6" t="s">
        <v>283</v>
      </c>
      <c r="U56" s="6" t="s">
        <v>94</v>
      </c>
      <c r="V56" s="6" t="s">
        <v>341</v>
      </c>
      <c r="W56" s="6" t="str">
        <f>IF(U56="","",IFERROR(_xlfn.XLOOKUP(U56,Mapping!$A:$A,Mapping!$B:$B),""))</f>
        <v/>
      </c>
      <c r="X56" s="6" t="str">
        <f>IF(V56="","",IFERROR(_xlfn.XLOOKUP(V56,Mapping!$A:$A,Mapping!$B:$B),""))</f>
        <v>Project_013</v>
      </c>
      <c r="Y56" s="6" t="s">
        <v>286</v>
      </c>
      <c r="Z56" s="6" t="s">
        <v>474</v>
      </c>
    </row>
    <row r="57" spans="1:26">
      <c r="A57" s="12">
        <v>56</v>
      </c>
      <c r="B57" s="6" t="s">
        <v>475</v>
      </c>
      <c r="C57" s="6" t="s">
        <v>476</v>
      </c>
      <c r="D57" s="6" t="s">
        <v>86</v>
      </c>
      <c r="E57" s="7">
        <v>41686</v>
      </c>
      <c r="F57" s="6" t="s">
        <v>406</v>
      </c>
      <c r="G57" s="6" t="s">
        <v>311</v>
      </c>
      <c r="H57" s="6" t="s">
        <v>477</v>
      </c>
      <c r="I57" s="6" t="s">
        <v>90</v>
      </c>
      <c r="J57" s="6" t="s">
        <v>91</v>
      </c>
      <c r="K57" s="6" t="s">
        <v>92</v>
      </c>
      <c r="L57" s="6" t="s">
        <v>90</v>
      </c>
      <c r="M57" s="6" t="s">
        <v>93</v>
      </c>
      <c r="N57" s="6" t="s">
        <v>94</v>
      </c>
      <c r="O57" s="6" t="s">
        <v>94</v>
      </c>
      <c r="P57" s="6" t="s">
        <v>94</v>
      </c>
      <c r="Q57" s="6" t="s">
        <v>409</v>
      </c>
      <c r="R57" s="6" t="s">
        <v>94</v>
      </c>
      <c r="S57" s="6" t="e">
        <f>VLOOKUP(R57,Customer_Mapping!A:B,2,FALSE)</f>
        <v>#N/A</v>
      </c>
      <c r="T57" s="6" t="s">
        <v>94</v>
      </c>
      <c r="U57" s="6" t="s">
        <v>387</v>
      </c>
      <c r="V57" s="6" t="s">
        <v>94</v>
      </c>
      <c r="W57" s="6" t="str">
        <f>IF(U57="","",IFERROR(_xlfn.XLOOKUP(U57,Mapping!$A:$A,Mapping!$B:$B),""))</f>
        <v>Project_020</v>
      </c>
      <c r="X57" s="6" t="str">
        <f>IF(V57="","",IFERROR(_xlfn.XLOOKUP(V57,Mapping!$A:$A,Mapping!$B:$B),""))</f>
        <v/>
      </c>
      <c r="Y57" s="6" t="s">
        <v>94</v>
      </c>
      <c r="Z57" s="6" t="s">
        <v>93</v>
      </c>
    </row>
    <row r="58" spans="1:26">
      <c r="A58" s="12">
        <v>57</v>
      </c>
      <c r="B58" s="6" t="s">
        <v>478</v>
      </c>
      <c r="C58" s="6" t="s">
        <v>479</v>
      </c>
      <c r="D58" s="6" t="s">
        <v>86</v>
      </c>
      <c r="E58" s="7">
        <v>46158</v>
      </c>
      <c r="F58" s="6" t="s">
        <v>111</v>
      </c>
      <c r="G58" s="6" t="s">
        <v>94</v>
      </c>
      <c r="H58" s="6" t="s">
        <v>94</v>
      </c>
      <c r="I58" s="6" t="s">
        <v>90</v>
      </c>
      <c r="J58" s="6" t="s">
        <v>91</v>
      </c>
      <c r="K58" s="6" t="s">
        <v>92</v>
      </c>
      <c r="L58" s="6" t="s">
        <v>90</v>
      </c>
      <c r="M58" s="6" t="s">
        <v>94</v>
      </c>
      <c r="N58" s="6" t="s">
        <v>94</v>
      </c>
      <c r="O58" s="6" t="s">
        <v>131</v>
      </c>
      <c r="P58" s="6" t="s">
        <v>95</v>
      </c>
      <c r="Q58" s="6" t="s">
        <v>281</v>
      </c>
      <c r="R58" s="6" t="s">
        <v>391</v>
      </c>
      <c r="S58" s="6" t="str">
        <f>VLOOKUP(R58,Customer_Mapping!A:B,2,FALSE)</f>
        <v>Customer_014</v>
      </c>
      <c r="T58" s="6" t="s">
        <v>386</v>
      </c>
      <c r="U58" s="6" t="s">
        <v>292</v>
      </c>
      <c r="V58" s="6" t="s">
        <v>387</v>
      </c>
      <c r="W58" s="6" t="str">
        <f>IF(U58="","",IFERROR(_xlfn.XLOOKUP(U58,Mapping!$A:$A,Mapping!$B:$B),""))</f>
        <v>Project_002</v>
      </c>
      <c r="X58" s="6" t="str">
        <f>IF(V58="","",IFERROR(_xlfn.XLOOKUP(V58,Mapping!$A:$A,Mapping!$B:$B),""))</f>
        <v>Project_020</v>
      </c>
      <c r="Y58" s="6" t="s">
        <v>286</v>
      </c>
      <c r="Z58" s="6" t="s">
        <v>94</v>
      </c>
    </row>
    <row r="59" spans="1:26">
      <c r="A59" s="12">
        <v>58</v>
      </c>
      <c r="B59" s="6" t="s">
        <v>480</v>
      </c>
      <c r="C59" s="6" t="s">
        <v>481</v>
      </c>
      <c r="D59" s="6" t="s">
        <v>86</v>
      </c>
      <c r="E59" s="7">
        <v>44384</v>
      </c>
      <c r="F59" s="6" t="s">
        <v>111</v>
      </c>
      <c r="G59" s="6" t="s">
        <v>151</v>
      </c>
      <c r="H59" s="6" t="s">
        <v>482</v>
      </c>
      <c r="I59" s="6" t="s">
        <v>90</v>
      </c>
      <c r="J59" s="6" t="s">
        <v>91</v>
      </c>
      <c r="K59" s="6" t="s">
        <v>92</v>
      </c>
      <c r="L59" s="6" t="s">
        <v>90</v>
      </c>
      <c r="M59" s="6" t="s">
        <v>412</v>
      </c>
      <c r="N59" s="6" t="s">
        <v>95</v>
      </c>
      <c r="O59" s="6" t="s">
        <v>451</v>
      </c>
      <c r="P59" s="6" t="s">
        <v>95</v>
      </c>
      <c r="Q59" s="6" t="s">
        <v>281</v>
      </c>
      <c r="R59" s="6" t="s">
        <v>297</v>
      </c>
      <c r="S59" s="6" t="str">
        <f>VLOOKUP(R59,Customer_Mapping!A:B,2,FALSE)</f>
        <v>Customer_002</v>
      </c>
      <c r="T59" s="6" t="s">
        <v>283</v>
      </c>
      <c r="U59" s="6" t="s">
        <v>315</v>
      </c>
      <c r="V59" s="6" t="s">
        <v>292</v>
      </c>
      <c r="W59" s="6" t="str">
        <f>IF(U59="","",IFERROR(_xlfn.XLOOKUP(U59,Mapping!$A:$A,Mapping!$B:$B),""))</f>
        <v>Project_007</v>
      </c>
      <c r="X59" s="6" t="str">
        <f>IF(V59="","",IFERROR(_xlfn.XLOOKUP(V59,Mapping!$A:$A,Mapping!$B:$B),""))</f>
        <v>Project_002</v>
      </c>
      <c r="Y59" s="6" t="s">
        <v>286</v>
      </c>
      <c r="Z59" s="6" t="s">
        <v>412</v>
      </c>
    </row>
    <row r="60" spans="1:26">
      <c r="A60" s="12">
        <v>59</v>
      </c>
      <c r="B60" s="6" t="s">
        <v>483</v>
      </c>
      <c r="C60" s="6" t="s">
        <v>484</v>
      </c>
      <c r="D60" s="6" t="s">
        <v>86</v>
      </c>
      <c r="E60" s="7">
        <v>43175</v>
      </c>
      <c r="F60" s="6" t="s">
        <v>111</v>
      </c>
      <c r="G60" s="6" t="s">
        <v>107</v>
      </c>
      <c r="H60" s="6" t="s">
        <v>485</v>
      </c>
      <c r="I60" s="6" t="s">
        <v>90</v>
      </c>
      <c r="J60" s="6" t="s">
        <v>91</v>
      </c>
      <c r="K60" s="6" t="s">
        <v>92</v>
      </c>
      <c r="L60" s="6" t="s">
        <v>90</v>
      </c>
      <c r="M60" s="6" t="s">
        <v>313</v>
      </c>
      <c r="N60" s="6" t="s">
        <v>94</v>
      </c>
      <c r="O60" s="6" t="s">
        <v>313</v>
      </c>
      <c r="P60" s="6" t="s">
        <v>122</v>
      </c>
      <c r="Q60" s="6" t="s">
        <v>281</v>
      </c>
      <c r="R60" s="6" t="s">
        <v>317</v>
      </c>
      <c r="S60" s="6" t="str">
        <f>VLOOKUP(R60,Customer_Mapping!A:B,2,FALSE)</f>
        <v>Customer_006</v>
      </c>
      <c r="T60" s="6" t="s">
        <v>283</v>
      </c>
      <c r="U60" s="6" t="s">
        <v>486</v>
      </c>
      <c r="V60" s="6" t="s">
        <v>315</v>
      </c>
      <c r="W60" s="6" t="str">
        <f>IF(U60="","",IFERROR(_xlfn.XLOOKUP(U60,Mapping!$A:$A,Mapping!$B:$B),""))</f>
        <v>Project_028</v>
      </c>
      <c r="X60" s="6" t="str">
        <f>IF(V60="","",IFERROR(_xlfn.XLOOKUP(V60,Mapping!$A:$A,Mapping!$B:$B),""))</f>
        <v>Project_007</v>
      </c>
      <c r="Y60" s="6" t="s">
        <v>286</v>
      </c>
      <c r="Z60" s="6" t="s">
        <v>313</v>
      </c>
    </row>
    <row r="61" spans="1:26">
      <c r="A61" s="12">
        <v>60</v>
      </c>
      <c r="B61" s="6" t="s">
        <v>487</v>
      </c>
      <c r="C61" s="6" t="s">
        <v>488</v>
      </c>
      <c r="D61" s="6" t="s">
        <v>86</v>
      </c>
      <c r="E61" s="7">
        <v>42552</v>
      </c>
      <c r="F61" s="6" t="s">
        <v>87</v>
      </c>
      <c r="G61" s="6" t="s">
        <v>359</v>
      </c>
      <c r="H61" s="6" t="s">
        <v>489</v>
      </c>
      <c r="I61" s="6" t="s">
        <v>90</v>
      </c>
      <c r="J61" s="6" t="s">
        <v>91</v>
      </c>
      <c r="K61" s="6" t="s">
        <v>92</v>
      </c>
      <c r="L61" s="6" t="s">
        <v>90</v>
      </c>
      <c r="M61" s="6" t="s">
        <v>93</v>
      </c>
      <c r="N61" s="6" t="s">
        <v>122</v>
      </c>
      <c r="O61" s="6" t="s">
        <v>93</v>
      </c>
      <c r="P61" s="6" t="s">
        <v>122</v>
      </c>
      <c r="Q61" s="6" t="s">
        <v>490</v>
      </c>
      <c r="R61" s="6" t="s">
        <v>491</v>
      </c>
      <c r="S61" s="6" t="str">
        <f>VLOOKUP(R61,Customer_Mapping!A:B,2,FALSE)</f>
        <v>Customer_015</v>
      </c>
      <c r="T61" s="6" t="s">
        <v>492</v>
      </c>
      <c r="U61" s="6" t="s">
        <v>323</v>
      </c>
      <c r="V61" s="6" t="s">
        <v>486</v>
      </c>
      <c r="W61" s="6" t="str">
        <f>IF(U61="","",IFERROR(_xlfn.XLOOKUP(U61,Mapping!$A:$A,Mapping!$B:$B),""))</f>
        <v>Project_009</v>
      </c>
      <c r="X61" s="6" t="str">
        <f>IF(V61="","",IFERROR(_xlfn.XLOOKUP(V61,Mapping!$A:$A,Mapping!$B:$B),""))</f>
        <v>Project_028</v>
      </c>
      <c r="Y61" s="6" t="s">
        <v>286</v>
      </c>
      <c r="Z61" s="6" t="s">
        <v>93</v>
      </c>
    </row>
    <row r="62" spans="1:26">
      <c r="A62" s="12">
        <v>61</v>
      </c>
      <c r="B62" s="6" t="s">
        <v>493</v>
      </c>
      <c r="C62" s="6" t="s">
        <v>494</v>
      </c>
      <c r="D62" s="6" t="s">
        <v>86</v>
      </c>
      <c r="E62" s="7">
        <v>44332</v>
      </c>
      <c r="F62" s="6" t="s">
        <v>111</v>
      </c>
      <c r="G62" s="6" t="s">
        <v>495</v>
      </c>
      <c r="H62" s="6" t="s">
        <v>496</v>
      </c>
      <c r="I62" s="6" t="s">
        <v>90</v>
      </c>
      <c r="J62" s="6" t="s">
        <v>91</v>
      </c>
      <c r="K62" s="6" t="s">
        <v>92</v>
      </c>
      <c r="L62" s="6" t="s">
        <v>90</v>
      </c>
      <c r="M62" s="6" t="s">
        <v>497</v>
      </c>
      <c r="N62" s="6" t="s">
        <v>94</v>
      </c>
      <c r="O62" s="6" t="s">
        <v>364</v>
      </c>
      <c r="P62" s="6" t="s">
        <v>95</v>
      </c>
      <c r="Q62" s="6" t="s">
        <v>281</v>
      </c>
      <c r="R62" s="6" t="s">
        <v>326</v>
      </c>
      <c r="S62" s="6" t="str">
        <f>VLOOKUP(R62,Customer_Mapping!A:B,2,FALSE)</f>
        <v>Customer_007</v>
      </c>
      <c r="T62" s="6" t="s">
        <v>283</v>
      </c>
      <c r="U62" s="6" t="s">
        <v>323</v>
      </c>
      <c r="V62" s="6" t="s">
        <v>323</v>
      </c>
      <c r="W62" s="6" t="str">
        <f>IF(U62="","",IFERROR(_xlfn.XLOOKUP(U62,Mapping!$A:$A,Mapping!$B:$B),""))</f>
        <v>Project_009</v>
      </c>
      <c r="X62" s="6" t="str">
        <f>IF(V62="","",IFERROR(_xlfn.XLOOKUP(V62,Mapping!$A:$A,Mapping!$B:$B),""))</f>
        <v>Project_009</v>
      </c>
      <c r="Y62" s="6" t="s">
        <v>286</v>
      </c>
      <c r="Z62" s="6" t="s">
        <v>497</v>
      </c>
    </row>
    <row r="63" spans="1:26">
      <c r="A63" s="12">
        <v>62</v>
      </c>
      <c r="B63" s="6" t="s">
        <v>498</v>
      </c>
      <c r="C63" s="6" t="s">
        <v>499</v>
      </c>
      <c r="D63" s="6" t="s">
        <v>86</v>
      </c>
      <c r="E63" s="7">
        <v>44735</v>
      </c>
      <c r="F63" s="6" t="s">
        <v>204</v>
      </c>
      <c r="G63" s="6" t="s">
        <v>126</v>
      </c>
      <c r="H63" s="6" t="s">
        <v>500</v>
      </c>
      <c r="I63" s="6" t="s">
        <v>90</v>
      </c>
      <c r="J63" s="6" t="s">
        <v>91</v>
      </c>
      <c r="K63" s="6" t="s">
        <v>92</v>
      </c>
      <c r="L63" s="6" t="s">
        <v>90</v>
      </c>
      <c r="M63" s="6" t="s">
        <v>43</v>
      </c>
      <c r="N63" s="6" t="s">
        <v>104</v>
      </c>
      <c r="O63" s="6" t="s">
        <v>43</v>
      </c>
      <c r="P63" s="6" t="s">
        <v>95</v>
      </c>
      <c r="Q63" s="6" t="s">
        <v>403</v>
      </c>
      <c r="R63" s="6" t="s">
        <v>326</v>
      </c>
      <c r="S63" s="6" t="str">
        <f>VLOOKUP(R63,Customer_Mapping!A:B,2,FALSE)</f>
        <v>Customer_007</v>
      </c>
      <c r="T63" s="6" t="s">
        <v>283</v>
      </c>
      <c r="U63" s="6" t="s">
        <v>501</v>
      </c>
      <c r="V63" s="6" t="s">
        <v>323</v>
      </c>
      <c r="W63" s="6" t="str">
        <f>IF(U63="","",IFERROR(_xlfn.XLOOKUP(U63,Mapping!$A:$A,Mapping!$B:$B),""))</f>
        <v>Project_029</v>
      </c>
      <c r="X63" s="6" t="str">
        <f>IF(V63="","",IFERROR(_xlfn.XLOOKUP(V63,Mapping!$A:$A,Mapping!$B:$B),""))</f>
        <v>Project_009</v>
      </c>
      <c r="Y63" s="6" t="s">
        <v>286</v>
      </c>
      <c r="Z63" s="6" t="s">
        <v>43</v>
      </c>
    </row>
    <row r="64" spans="1:26">
      <c r="A64" s="12">
        <v>63</v>
      </c>
      <c r="B64" s="6" t="s">
        <v>502</v>
      </c>
      <c r="C64" s="6" t="s">
        <v>503</v>
      </c>
      <c r="D64" s="6" t="s">
        <v>86</v>
      </c>
      <c r="E64" s="7">
        <v>43906</v>
      </c>
      <c r="F64" s="6" t="s">
        <v>111</v>
      </c>
      <c r="G64" s="6" t="s">
        <v>126</v>
      </c>
      <c r="H64" s="6" t="s">
        <v>504</v>
      </c>
      <c r="I64" s="6" t="s">
        <v>90</v>
      </c>
      <c r="J64" s="6" t="s">
        <v>91</v>
      </c>
      <c r="K64" s="6" t="s">
        <v>92</v>
      </c>
      <c r="L64" s="6" t="s">
        <v>90</v>
      </c>
      <c r="M64" s="6" t="s">
        <v>131</v>
      </c>
      <c r="N64" s="6" t="s">
        <v>95</v>
      </c>
      <c r="O64" s="6" t="s">
        <v>136</v>
      </c>
      <c r="P64" s="6" t="s">
        <v>122</v>
      </c>
      <c r="Q64" s="6" t="s">
        <v>418</v>
      </c>
      <c r="R64" s="6" t="s">
        <v>334</v>
      </c>
      <c r="S64" s="6" t="str">
        <f>VLOOKUP(R64,Customer_Mapping!A:B,2,FALSE)</f>
        <v>Customer_009</v>
      </c>
      <c r="T64" s="6" t="s">
        <v>335</v>
      </c>
      <c r="U64" s="6" t="s">
        <v>323</v>
      </c>
      <c r="V64" s="6" t="s">
        <v>501</v>
      </c>
      <c r="W64" s="6" t="str">
        <f>IF(U64="","",IFERROR(_xlfn.XLOOKUP(U64,Mapping!$A:$A,Mapping!$B:$B),""))</f>
        <v>Project_009</v>
      </c>
      <c r="X64" s="6" t="str">
        <f>IF(V64="","",IFERROR(_xlfn.XLOOKUP(V64,Mapping!$A:$A,Mapping!$B:$B),""))</f>
        <v>Project_029</v>
      </c>
      <c r="Y64" s="6" t="s">
        <v>286</v>
      </c>
      <c r="Z64" s="6" t="s">
        <v>131</v>
      </c>
    </row>
    <row r="65" spans="1:26">
      <c r="A65" s="12">
        <v>64</v>
      </c>
      <c r="B65" s="6" t="s">
        <v>505</v>
      </c>
      <c r="C65" s="6" t="s">
        <v>506</v>
      </c>
      <c r="D65" s="6" t="s">
        <v>86</v>
      </c>
      <c r="E65" s="7">
        <v>45861</v>
      </c>
      <c r="F65" s="6" t="s">
        <v>507</v>
      </c>
      <c r="G65" s="6" t="s">
        <v>94</v>
      </c>
      <c r="H65" s="6" t="s">
        <v>508</v>
      </c>
      <c r="I65" s="6" t="s">
        <v>90</v>
      </c>
      <c r="J65" s="6" t="s">
        <v>91</v>
      </c>
      <c r="K65" s="6" t="s">
        <v>92</v>
      </c>
      <c r="L65" s="6" t="s">
        <v>90</v>
      </c>
      <c r="M65" s="6" t="s">
        <v>94</v>
      </c>
      <c r="N65" s="6" t="s">
        <v>94</v>
      </c>
      <c r="O65" s="6" t="s">
        <v>364</v>
      </c>
      <c r="P65" s="6" t="s">
        <v>95</v>
      </c>
      <c r="Q65" s="6" t="s">
        <v>509</v>
      </c>
      <c r="R65" s="6" t="s">
        <v>326</v>
      </c>
      <c r="S65" s="6" t="str">
        <f>VLOOKUP(R65,Customer_Mapping!A:B,2,FALSE)</f>
        <v>Customer_007</v>
      </c>
      <c r="T65" s="6" t="s">
        <v>283</v>
      </c>
      <c r="U65" s="6" t="s">
        <v>510</v>
      </c>
      <c r="V65" s="6" t="s">
        <v>323</v>
      </c>
      <c r="W65" s="6" t="str">
        <f>IF(U65="","",IFERROR(_xlfn.XLOOKUP(U65,Mapping!$A:$A,Mapping!$B:$B),""))</f>
        <v>Project_030</v>
      </c>
      <c r="X65" s="6" t="str">
        <f>IF(V65="","",IFERROR(_xlfn.XLOOKUP(V65,Mapping!$A:$A,Mapping!$B:$B),""))</f>
        <v>Project_009</v>
      </c>
      <c r="Y65" s="6" t="s">
        <v>286</v>
      </c>
      <c r="Z65" s="6" t="s">
        <v>94</v>
      </c>
    </row>
    <row r="66" spans="1:26">
      <c r="A66" s="12">
        <v>65</v>
      </c>
      <c r="B66" s="6" t="s">
        <v>511</v>
      </c>
      <c r="C66" s="6" t="s">
        <v>512</v>
      </c>
      <c r="D66" s="6" t="s">
        <v>86</v>
      </c>
      <c r="E66" s="7">
        <v>44278</v>
      </c>
      <c r="F66" s="6" t="s">
        <v>111</v>
      </c>
      <c r="G66" s="6" t="s">
        <v>371</v>
      </c>
      <c r="H66" s="6" t="s">
        <v>513</v>
      </c>
      <c r="I66" s="6" t="s">
        <v>90</v>
      </c>
      <c r="J66" s="6" t="s">
        <v>91</v>
      </c>
      <c r="K66" s="6" t="s">
        <v>92</v>
      </c>
      <c r="L66" s="6" t="s">
        <v>90</v>
      </c>
      <c r="M66" s="6" t="s">
        <v>514</v>
      </c>
      <c r="N66" s="6" t="s">
        <v>122</v>
      </c>
      <c r="O66" s="6" t="s">
        <v>515</v>
      </c>
      <c r="P66" s="6" t="s">
        <v>122</v>
      </c>
      <c r="Q66" s="6" t="s">
        <v>418</v>
      </c>
      <c r="R66" s="6" t="s">
        <v>334</v>
      </c>
      <c r="S66" s="6" t="str">
        <f>VLOOKUP(R66,Customer_Mapping!A:B,2,FALSE)</f>
        <v>Customer_009</v>
      </c>
      <c r="T66" s="6" t="s">
        <v>335</v>
      </c>
      <c r="U66" s="6" t="s">
        <v>392</v>
      </c>
      <c r="V66" s="6" t="s">
        <v>510</v>
      </c>
      <c r="W66" s="6" t="str">
        <f>IF(U66="","",IFERROR(_xlfn.XLOOKUP(U66,Mapping!$A:$A,Mapping!$B:$B),""))</f>
        <v>Project_021</v>
      </c>
      <c r="X66" s="6" t="str">
        <f>IF(V66="","",IFERROR(_xlfn.XLOOKUP(V66,Mapping!$A:$A,Mapping!$B:$B),""))</f>
        <v>Project_030</v>
      </c>
      <c r="Y66" s="6" t="s">
        <v>286</v>
      </c>
      <c r="Z66" s="6" t="s">
        <v>514</v>
      </c>
    </row>
    <row r="67" spans="1:26">
      <c r="A67" s="12">
        <v>66</v>
      </c>
      <c r="B67" s="6" t="s">
        <v>516</v>
      </c>
      <c r="C67" s="6" t="s">
        <v>517</v>
      </c>
      <c r="D67" s="6" t="s">
        <v>86</v>
      </c>
      <c r="E67" s="7">
        <v>44363</v>
      </c>
      <c r="F67" s="6" t="s">
        <v>288</v>
      </c>
      <c r="G67" s="6" t="s">
        <v>187</v>
      </c>
      <c r="H67" s="6" t="s">
        <v>518</v>
      </c>
      <c r="I67" s="6" t="s">
        <v>90</v>
      </c>
      <c r="J67" s="6" t="s">
        <v>91</v>
      </c>
      <c r="K67" s="6" t="s">
        <v>92</v>
      </c>
      <c r="L67" s="6" t="s">
        <v>90</v>
      </c>
      <c r="M67" s="6" t="s">
        <v>519</v>
      </c>
      <c r="N67" s="6" t="s">
        <v>94</v>
      </c>
      <c r="O67" s="6" t="s">
        <v>117</v>
      </c>
      <c r="P67" s="6" t="s">
        <v>95</v>
      </c>
      <c r="Q67" s="6" t="s">
        <v>291</v>
      </c>
      <c r="R67" s="6" t="s">
        <v>282</v>
      </c>
      <c r="S67" s="6" t="str">
        <f>VLOOKUP(R67,Customer_Mapping!A:B,2,FALSE)</f>
        <v>Customer_001</v>
      </c>
      <c r="T67" s="6" t="s">
        <v>283</v>
      </c>
      <c r="U67" s="6" t="s">
        <v>298</v>
      </c>
      <c r="V67" s="6" t="s">
        <v>392</v>
      </c>
      <c r="W67" s="6" t="str">
        <f>IF(U67="","",IFERROR(_xlfn.XLOOKUP(U67,Mapping!$A:$A,Mapping!$B:$B),""))</f>
        <v>Project_003</v>
      </c>
      <c r="X67" s="6" t="str">
        <f>IF(V67="","",IFERROR(_xlfn.XLOOKUP(V67,Mapping!$A:$A,Mapping!$B:$B),""))</f>
        <v>Project_021</v>
      </c>
      <c r="Y67" s="6" t="s">
        <v>286</v>
      </c>
      <c r="Z67" s="6" t="s">
        <v>519</v>
      </c>
    </row>
    <row r="68" spans="1:26">
      <c r="A68" s="12">
        <v>67</v>
      </c>
      <c r="B68" s="6" t="s">
        <v>520</v>
      </c>
      <c r="C68" s="6" t="s">
        <v>521</v>
      </c>
      <c r="D68" s="6" t="s">
        <v>86</v>
      </c>
      <c r="E68" s="7">
        <v>46014</v>
      </c>
      <c r="F68" s="6" t="s">
        <v>111</v>
      </c>
      <c r="G68" s="6" t="s">
        <v>94</v>
      </c>
      <c r="H68" s="6" t="s">
        <v>94</v>
      </c>
      <c r="I68" s="6" t="s">
        <v>90</v>
      </c>
      <c r="J68" s="6" t="s">
        <v>91</v>
      </c>
      <c r="K68" s="6" t="s">
        <v>92</v>
      </c>
      <c r="L68" s="6" t="s">
        <v>90</v>
      </c>
      <c r="M68" s="6" t="s">
        <v>94</v>
      </c>
      <c r="N68" s="6" t="s">
        <v>94</v>
      </c>
      <c r="O68" s="6" t="s">
        <v>131</v>
      </c>
      <c r="P68" s="6" t="s">
        <v>104</v>
      </c>
      <c r="Q68" s="6" t="s">
        <v>418</v>
      </c>
      <c r="R68" s="6" t="s">
        <v>300</v>
      </c>
      <c r="S68" s="6" t="str">
        <f>VLOOKUP(R68,Customer_Mapping!A:B,2,FALSE)</f>
        <v>Customer_003</v>
      </c>
      <c r="T68" s="6" t="s">
        <v>283</v>
      </c>
      <c r="U68" s="6" t="s">
        <v>387</v>
      </c>
      <c r="V68" s="6" t="s">
        <v>298</v>
      </c>
      <c r="W68" s="6" t="str">
        <f>IF(U68="","",IFERROR(_xlfn.XLOOKUP(U68,Mapping!$A:$A,Mapping!$B:$B),""))</f>
        <v>Project_020</v>
      </c>
      <c r="X68" s="6" t="str">
        <f>IF(V68="","",IFERROR(_xlfn.XLOOKUP(V68,Mapping!$A:$A,Mapping!$B:$B),""))</f>
        <v>Project_003</v>
      </c>
      <c r="Y68" s="6" t="s">
        <v>286</v>
      </c>
      <c r="Z68" s="6" t="s">
        <v>94</v>
      </c>
    </row>
    <row r="69" spans="1:26">
      <c r="A69" s="12">
        <v>68</v>
      </c>
      <c r="B69" s="6" t="s">
        <v>522</v>
      </c>
      <c r="C69" s="6" t="s">
        <v>523</v>
      </c>
      <c r="D69" s="6" t="s">
        <v>86</v>
      </c>
      <c r="E69" s="7">
        <v>46180</v>
      </c>
      <c r="F69" s="6" t="s">
        <v>337</v>
      </c>
      <c r="G69" s="6" t="s">
        <v>94</v>
      </c>
      <c r="H69" s="6" t="s">
        <v>94</v>
      </c>
      <c r="I69" s="6" t="s">
        <v>90</v>
      </c>
      <c r="J69" s="6" t="s">
        <v>91</v>
      </c>
      <c r="K69" s="6" t="s">
        <v>92</v>
      </c>
      <c r="L69" s="6" t="s">
        <v>90</v>
      </c>
      <c r="M69" s="6" t="s">
        <v>94</v>
      </c>
      <c r="N69" s="6" t="s">
        <v>94</v>
      </c>
      <c r="O69" s="6" t="s">
        <v>131</v>
      </c>
      <c r="P69" s="6" t="s">
        <v>95</v>
      </c>
      <c r="Q69" s="6" t="s">
        <v>338</v>
      </c>
      <c r="R69" s="6" t="s">
        <v>391</v>
      </c>
      <c r="S69" s="6" t="str">
        <f>VLOOKUP(R69,Customer_Mapping!A:B,2,FALSE)</f>
        <v>Customer_014</v>
      </c>
      <c r="T69" s="6" t="s">
        <v>386</v>
      </c>
      <c r="U69" s="6" t="s">
        <v>468</v>
      </c>
      <c r="V69" s="6" t="s">
        <v>387</v>
      </c>
      <c r="W69" s="6" t="str">
        <f>IF(U69="","",IFERROR(_xlfn.XLOOKUP(U69,Mapping!$A:$A,Mapping!$B:$B),""))</f>
        <v>Project_027</v>
      </c>
      <c r="X69" s="6" t="str">
        <f>IF(V69="","",IFERROR(_xlfn.XLOOKUP(V69,Mapping!$A:$A,Mapping!$B:$B),""))</f>
        <v>Project_020</v>
      </c>
      <c r="Y69" s="6" t="s">
        <v>286</v>
      </c>
      <c r="Z69" s="6" t="s">
        <v>94</v>
      </c>
    </row>
    <row r="70" spans="1:26">
      <c r="A70" s="12">
        <v>69</v>
      </c>
      <c r="B70" s="6" t="s">
        <v>524</v>
      </c>
      <c r="C70" s="6" t="s">
        <v>525</v>
      </c>
      <c r="D70" s="6" t="s">
        <v>86</v>
      </c>
      <c r="E70" s="7">
        <v>41928</v>
      </c>
      <c r="F70" s="6" t="s">
        <v>14</v>
      </c>
      <c r="G70" s="6" t="s">
        <v>526</v>
      </c>
      <c r="H70" s="6" t="s">
        <v>527</v>
      </c>
      <c r="I70" s="6" t="s">
        <v>90</v>
      </c>
      <c r="J70" s="6" t="s">
        <v>91</v>
      </c>
      <c r="K70" s="6" t="s">
        <v>92</v>
      </c>
      <c r="L70" s="6" t="s">
        <v>90</v>
      </c>
      <c r="M70" s="6" t="s">
        <v>103</v>
      </c>
      <c r="N70" s="6" t="s">
        <v>122</v>
      </c>
      <c r="O70" s="6" t="s">
        <v>131</v>
      </c>
      <c r="P70" s="6" t="s">
        <v>417</v>
      </c>
      <c r="Q70" s="6" t="s">
        <v>422</v>
      </c>
      <c r="R70" s="6" t="s">
        <v>282</v>
      </c>
      <c r="S70" s="6" t="str">
        <f>VLOOKUP(R70,Customer_Mapping!A:B,2,FALSE)</f>
        <v>Customer_001</v>
      </c>
      <c r="T70" s="6" t="s">
        <v>283</v>
      </c>
      <c r="U70" s="6" t="s">
        <v>501</v>
      </c>
      <c r="V70" s="6" t="s">
        <v>468</v>
      </c>
      <c r="W70" s="6" t="str">
        <f>IF(U70="","",IFERROR(_xlfn.XLOOKUP(U70,Mapping!$A:$A,Mapping!$B:$B),""))</f>
        <v>Project_029</v>
      </c>
      <c r="X70" s="6" t="str">
        <f>IF(V70="","",IFERROR(_xlfn.XLOOKUP(V70,Mapping!$A:$A,Mapping!$B:$B),""))</f>
        <v>Project_027</v>
      </c>
      <c r="Y70" s="6" t="s">
        <v>286</v>
      </c>
      <c r="Z70" s="6" t="s">
        <v>103</v>
      </c>
    </row>
    <row r="71" spans="1:26">
      <c r="A71" s="12">
        <v>70</v>
      </c>
      <c r="B71" s="6" t="s">
        <v>528</v>
      </c>
      <c r="C71" s="6" t="s">
        <v>529</v>
      </c>
      <c r="D71" s="6" t="s">
        <v>86</v>
      </c>
      <c r="E71" s="7">
        <v>43040</v>
      </c>
      <c r="F71" s="6" t="s">
        <v>111</v>
      </c>
      <c r="G71" s="6" t="s">
        <v>101</v>
      </c>
      <c r="H71" s="6" t="s">
        <v>530</v>
      </c>
      <c r="I71" s="6" t="s">
        <v>90</v>
      </c>
      <c r="J71" s="6" t="s">
        <v>91</v>
      </c>
      <c r="K71" s="6" t="s">
        <v>92</v>
      </c>
      <c r="L71" s="6" t="s">
        <v>90</v>
      </c>
      <c r="M71" s="6" t="s">
        <v>131</v>
      </c>
      <c r="N71" s="6" t="s">
        <v>95</v>
      </c>
      <c r="O71" s="6" t="s">
        <v>136</v>
      </c>
      <c r="P71" s="6" t="s">
        <v>122</v>
      </c>
      <c r="Q71" s="6" t="s">
        <v>281</v>
      </c>
      <c r="R71" s="6" t="s">
        <v>334</v>
      </c>
      <c r="S71" s="6" t="str">
        <f>VLOOKUP(R71,Customer_Mapping!A:B,2,FALSE)</f>
        <v>Customer_009</v>
      </c>
      <c r="T71" s="6" t="s">
        <v>335</v>
      </c>
      <c r="U71" s="6" t="s">
        <v>285</v>
      </c>
      <c r="V71" s="6" t="s">
        <v>501</v>
      </c>
      <c r="W71" s="6" t="str">
        <f>IF(U71="","",IFERROR(_xlfn.XLOOKUP(U71,Mapping!$A:$A,Mapping!$B:$B),""))</f>
        <v>Project_017</v>
      </c>
      <c r="X71" s="6" t="str">
        <f>IF(V71="","",IFERROR(_xlfn.XLOOKUP(V71,Mapping!$A:$A,Mapping!$B:$B),""))</f>
        <v>Project_029</v>
      </c>
      <c r="Y71" s="6" t="s">
        <v>286</v>
      </c>
      <c r="Z71" s="6" t="s">
        <v>131</v>
      </c>
    </row>
    <row r="72" spans="1:26">
      <c r="A72" s="12">
        <v>71</v>
      </c>
      <c r="B72" s="6" t="s">
        <v>531</v>
      </c>
      <c r="C72" s="6" t="s">
        <v>532</v>
      </c>
      <c r="D72" s="6" t="s">
        <v>86</v>
      </c>
      <c r="E72" s="7">
        <v>45459</v>
      </c>
      <c r="F72" s="6" t="s">
        <v>111</v>
      </c>
      <c r="G72" s="6" t="s">
        <v>146</v>
      </c>
      <c r="H72" s="6" t="s">
        <v>533</v>
      </c>
      <c r="I72" s="6" t="s">
        <v>90</v>
      </c>
      <c r="J72" s="6" t="s">
        <v>91</v>
      </c>
      <c r="K72" s="6" t="s">
        <v>92</v>
      </c>
      <c r="L72" s="6" t="s">
        <v>90</v>
      </c>
      <c r="M72" s="6" t="s">
        <v>94</v>
      </c>
      <c r="N72" s="6" t="s">
        <v>94</v>
      </c>
      <c r="O72" s="6" t="s">
        <v>131</v>
      </c>
      <c r="P72" s="6" t="s">
        <v>95</v>
      </c>
      <c r="Q72" s="6" t="s">
        <v>281</v>
      </c>
      <c r="R72" s="6" t="s">
        <v>282</v>
      </c>
      <c r="S72" s="6" t="str">
        <f>VLOOKUP(R72,Customer_Mapping!A:B,2,FALSE)</f>
        <v>Customer_001</v>
      </c>
      <c r="T72" s="6" t="s">
        <v>283</v>
      </c>
      <c r="U72" s="6" t="s">
        <v>301</v>
      </c>
      <c r="V72" s="6" t="s">
        <v>285</v>
      </c>
      <c r="W72" s="6" t="str">
        <f>IF(U72="","",IFERROR(_xlfn.XLOOKUP(U72,Mapping!$A:$A,Mapping!$B:$B),""))</f>
        <v>Project_004</v>
      </c>
      <c r="X72" s="6" t="str">
        <f>IF(V72="","",IFERROR(_xlfn.XLOOKUP(V72,Mapping!$A:$A,Mapping!$B:$B),""))</f>
        <v>Project_017</v>
      </c>
      <c r="Y72" s="6" t="s">
        <v>286</v>
      </c>
      <c r="Z72" s="6" t="s">
        <v>94</v>
      </c>
    </row>
    <row r="73" spans="1:26">
      <c r="A73" s="12">
        <v>72</v>
      </c>
      <c r="B73" s="6" t="s">
        <v>534</v>
      </c>
      <c r="C73" s="6" t="s">
        <v>535</v>
      </c>
      <c r="D73" s="6" t="s">
        <v>86</v>
      </c>
      <c r="E73" s="7">
        <v>46014</v>
      </c>
      <c r="F73" s="6" t="s">
        <v>337</v>
      </c>
      <c r="G73" s="6" t="s">
        <v>94</v>
      </c>
      <c r="H73" s="6" t="s">
        <v>536</v>
      </c>
      <c r="I73" s="6" t="s">
        <v>90</v>
      </c>
      <c r="J73" s="6" t="s">
        <v>91</v>
      </c>
      <c r="K73" s="6" t="s">
        <v>92</v>
      </c>
      <c r="L73" s="6" t="s">
        <v>90</v>
      </c>
      <c r="M73" s="6" t="s">
        <v>94</v>
      </c>
      <c r="N73" s="6" t="s">
        <v>94</v>
      </c>
      <c r="O73" s="6" t="s">
        <v>131</v>
      </c>
      <c r="P73" s="6" t="s">
        <v>104</v>
      </c>
      <c r="Q73" s="6" t="s">
        <v>338</v>
      </c>
      <c r="R73" s="6" t="s">
        <v>282</v>
      </c>
      <c r="S73" s="6" t="str">
        <f>VLOOKUP(R73,Customer_Mapping!A:B,2,FALSE)</f>
        <v>Customer_001</v>
      </c>
      <c r="T73" s="6" t="s">
        <v>283</v>
      </c>
      <c r="U73" s="6" t="s">
        <v>537</v>
      </c>
      <c r="V73" s="6" t="s">
        <v>301</v>
      </c>
      <c r="W73" s="6" t="str">
        <f>IF(U73="","",IFERROR(_xlfn.XLOOKUP(U73,Mapping!$A:$A,Mapping!$B:$B),""))</f>
        <v>Project_031</v>
      </c>
      <c r="X73" s="6" t="str">
        <f>IF(V73="","",IFERROR(_xlfn.XLOOKUP(V73,Mapping!$A:$A,Mapping!$B:$B),""))</f>
        <v>Project_004</v>
      </c>
      <c r="Y73" s="6" t="s">
        <v>286</v>
      </c>
      <c r="Z73" s="6" t="s">
        <v>94</v>
      </c>
    </row>
    <row r="74" spans="1:26">
      <c r="A74" s="12">
        <v>73</v>
      </c>
      <c r="B74" s="6" t="s">
        <v>538</v>
      </c>
      <c r="C74" s="6" t="s">
        <v>539</v>
      </c>
      <c r="D74" s="6" t="s">
        <v>86</v>
      </c>
      <c r="E74" s="7">
        <v>45444</v>
      </c>
      <c r="F74" s="6" t="s">
        <v>540</v>
      </c>
      <c r="G74" s="6" t="s">
        <v>389</v>
      </c>
      <c r="H74" s="6" t="s">
        <v>541</v>
      </c>
      <c r="I74" s="6" t="s">
        <v>213</v>
      </c>
      <c r="J74" s="6" t="s">
        <v>91</v>
      </c>
      <c r="K74" s="6" t="s">
        <v>92</v>
      </c>
      <c r="L74" s="6" t="s">
        <v>213</v>
      </c>
      <c r="M74" s="6" t="s">
        <v>94</v>
      </c>
      <c r="N74" s="6" t="s">
        <v>94</v>
      </c>
      <c r="O74" s="6" t="s">
        <v>27</v>
      </c>
      <c r="P74" s="6" t="s">
        <v>122</v>
      </c>
      <c r="Q74" s="6" t="s">
        <v>542</v>
      </c>
      <c r="R74" s="6" t="s">
        <v>385</v>
      </c>
      <c r="S74" s="6" t="str">
        <f>VLOOKUP(R74,Customer_Mapping!A:B,2,FALSE)</f>
        <v>Customer_013</v>
      </c>
      <c r="T74" s="6" t="s">
        <v>386</v>
      </c>
      <c r="U74" s="6" t="s">
        <v>305</v>
      </c>
      <c r="V74" s="6" t="s">
        <v>537</v>
      </c>
      <c r="W74" s="6" t="str">
        <f>IF(U74="","",IFERROR(_xlfn.XLOOKUP(U74,Mapping!$A:$A,Mapping!$B:$B),""))</f>
        <v>Project_005</v>
      </c>
      <c r="X74" s="6" t="str">
        <f>IF(V74="","",IFERROR(_xlfn.XLOOKUP(V74,Mapping!$A:$A,Mapping!$B:$B),""))</f>
        <v>Project_031</v>
      </c>
      <c r="Y74" s="6" t="s">
        <v>286</v>
      </c>
      <c r="Z74" s="6" t="s">
        <v>94</v>
      </c>
    </row>
    <row r="75" spans="1:26">
      <c r="A75" s="12">
        <v>74</v>
      </c>
      <c r="B75" s="6" t="s">
        <v>543</v>
      </c>
      <c r="C75" s="6" t="s">
        <v>544</v>
      </c>
      <c r="D75" s="6" t="s">
        <v>86</v>
      </c>
      <c r="E75" s="7">
        <v>43366</v>
      </c>
      <c r="F75" s="6" t="s">
        <v>111</v>
      </c>
      <c r="G75" s="6" t="s">
        <v>146</v>
      </c>
      <c r="H75" s="6" t="s">
        <v>545</v>
      </c>
      <c r="I75" s="6" t="s">
        <v>90</v>
      </c>
      <c r="J75" s="6" t="s">
        <v>91</v>
      </c>
      <c r="K75" s="6" t="s">
        <v>92</v>
      </c>
      <c r="L75" s="6" t="s">
        <v>90</v>
      </c>
      <c r="M75" s="6" t="s">
        <v>103</v>
      </c>
      <c r="N75" s="6" t="s">
        <v>95</v>
      </c>
      <c r="O75" s="6" t="s">
        <v>131</v>
      </c>
      <c r="P75" s="6" t="s">
        <v>122</v>
      </c>
      <c r="Q75" s="6" t="s">
        <v>418</v>
      </c>
      <c r="R75" s="6" t="s">
        <v>308</v>
      </c>
      <c r="S75" s="6" t="str">
        <f>VLOOKUP(R75,Customer_Mapping!A:B,2,FALSE)</f>
        <v>Customer_004</v>
      </c>
      <c r="T75" s="6" t="s">
        <v>283</v>
      </c>
      <c r="U75" s="6" t="s">
        <v>546</v>
      </c>
      <c r="V75" s="6" t="s">
        <v>305</v>
      </c>
      <c r="W75" s="6" t="str">
        <f>IF(U75="","",IFERROR(_xlfn.XLOOKUP(U75,Mapping!$A:$A,Mapping!$B:$B),""))</f>
        <v>Project_032</v>
      </c>
      <c r="X75" s="6" t="str">
        <f>IF(V75="","",IFERROR(_xlfn.XLOOKUP(V75,Mapping!$A:$A,Mapping!$B:$B),""))</f>
        <v>Project_005</v>
      </c>
      <c r="Y75" s="6" t="s">
        <v>286</v>
      </c>
      <c r="Z75" s="6" t="s">
        <v>103</v>
      </c>
    </row>
    <row r="76" spans="1:26">
      <c r="A76" s="12">
        <v>75</v>
      </c>
      <c r="B76" s="6" t="s">
        <v>547</v>
      </c>
      <c r="C76" s="6" t="s">
        <v>548</v>
      </c>
      <c r="D76" s="6" t="s">
        <v>86</v>
      </c>
      <c r="E76" s="7">
        <v>45206</v>
      </c>
      <c r="F76" s="6" t="s">
        <v>111</v>
      </c>
      <c r="G76" s="6" t="s">
        <v>94</v>
      </c>
      <c r="H76" s="6" t="s">
        <v>549</v>
      </c>
      <c r="I76" s="6" t="s">
        <v>90</v>
      </c>
      <c r="J76" s="6" t="s">
        <v>91</v>
      </c>
      <c r="K76" s="6" t="s">
        <v>92</v>
      </c>
      <c r="L76" s="6" t="s">
        <v>90</v>
      </c>
      <c r="M76" s="6" t="s">
        <v>550</v>
      </c>
      <c r="N76" s="6" t="s">
        <v>122</v>
      </c>
      <c r="O76" s="6" t="s">
        <v>184</v>
      </c>
      <c r="P76" s="6" t="s">
        <v>104</v>
      </c>
      <c r="Q76" s="6" t="s">
        <v>418</v>
      </c>
      <c r="R76" s="6" t="s">
        <v>551</v>
      </c>
      <c r="S76" s="6" t="str">
        <f>VLOOKUP(R76,Customer_Mapping!A:B,2,FALSE)</f>
        <v>Customer_016</v>
      </c>
      <c r="T76" s="6" t="s">
        <v>335</v>
      </c>
      <c r="U76" s="6" t="s">
        <v>468</v>
      </c>
      <c r="V76" s="6" t="s">
        <v>546</v>
      </c>
      <c r="W76" s="6" t="str">
        <f>IF(U76="","",IFERROR(_xlfn.XLOOKUP(U76,Mapping!$A:$A,Mapping!$B:$B),""))</f>
        <v>Project_027</v>
      </c>
      <c r="X76" s="6" t="str">
        <f>IF(V76="","",IFERROR(_xlfn.XLOOKUP(V76,Mapping!$A:$A,Mapping!$B:$B),""))</f>
        <v>Project_032</v>
      </c>
      <c r="Y76" s="6" t="s">
        <v>286</v>
      </c>
      <c r="Z76" s="6" t="s">
        <v>550</v>
      </c>
    </row>
    <row r="77" spans="1:26">
      <c r="A77" s="12">
        <v>76</v>
      </c>
      <c r="B77" s="6" t="s">
        <v>552</v>
      </c>
      <c r="C77" s="6" t="s">
        <v>553</v>
      </c>
      <c r="D77" s="6" t="s">
        <v>86</v>
      </c>
      <c r="E77" s="7">
        <v>46149</v>
      </c>
      <c r="F77" s="6" t="s">
        <v>430</v>
      </c>
      <c r="G77" s="6" t="s">
        <v>94</v>
      </c>
      <c r="H77" s="6" t="s">
        <v>94</v>
      </c>
      <c r="I77" s="6" t="s">
        <v>90</v>
      </c>
      <c r="J77" s="6" t="s">
        <v>91</v>
      </c>
      <c r="K77" s="6" t="s">
        <v>92</v>
      </c>
      <c r="L77" s="6" t="s">
        <v>90</v>
      </c>
      <c r="M77" s="6" t="s">
        <v>94</v>
      </c>
      <c r="N77" s="6" t="s">
        <v>94</v>
      </c>
      <c r="O77" s="6" t="s">
        <v>136</v>
      </c>
      <c r="P77" s="6" t="s">
        <v>122</v>
      </c>
      <c r="Q77" s="6" t="s">
        <v>433</v>
      </c>
      <c r="R77" s="6" t="s">
        <v>282</v>
      </c>
      <c r="S77" s="6" t="str">
        <f>VLOOKUP(R77,Customer_Mapping!A:B,2,FALSE)</f>
        <v>Customer_001</v>
      </c>
      <c r="T77" s="6" t="s">
        <v>283</v>
      </c>
      <c r="U77" s="6" t="s">
        <v>387</v>
      </c>
      <c r="V77" s="6" t="s">
        <v>468</v>
      </c>
      <c r="W77" s="6" t="str">
        <f>IF(U77="","",IFERROR(_xlfn.XLOOKUP(U77,Mapping!$A:$A,Mapping!$B:$B),""))</f>
        <v>Project_020</v>
      </c>
      <c r="X77" s="6" t="str">
        <f>IF(V77="","",IFERROR(_xlfn.XLOOKUP(V77,Mapping!$A:$A,Mapping!$B:$B),""))</f>
        <v>Project_027</v>
      </c>
      <c r="Y77" s="6" t="s">
        <v>286</v>
      </c>
      <c r="Z77" s="6" t="s">
        <v>94</v>
      </c>
    </row>
    <row r="78" spans="1:26">
      <c r="A78" s="12">
        <v>77</v>
      </c>
      <c r="B78" s="6" t="s">
        <v>554</v>
      </c>
      <c r="C78" s="6" t="s">
        <v>555</v>
      </c>
      <c r="D78" s="6" t="s">
        <v>86</v>
      </c>
      <c r="E78" s="7">
        <v>45084</v>
      </c>
      <c r="F78" s="6" t="s">
        <v>111</v>
      </c>
      <c r="G78" s="6" t="s">
        <v>495</v>
      </c>
      <c r="H78" s="6" t="s">
        <v>556</v>
      </c>
      <c r="I78" s="6" t="s">
        <v>90</v>
      </c>
      <c r="J78" s="6" t="s">
        <v>91</v>
      </c>
      <c r="K78" s="6" t="s">
        <v>92</v>
      </c>
      <c r="L78" s="6" t="s">
        <v>90</v>
      </c>
      <c r="M78" s="6" t="s">
        <v>131</v>
      </c>
      <c r="N78" s="6" t="s">
        <v>95</v>
      </c>
      <c r="O78" s="6" t="s">
        <v>131</v>
      </c>
      <c r="P78" s="6" t="s">
        <v>95</v>
      </c>
      <c r="Q78" s="6" t="s">
        <v>281</v>
      </c>
      <c r="R78" s="6" t="s">
        <v>391</v>
      </c>
      <c r="S78" s="6" t="str">
        <f>VLOOKUP(R78,Customer_Mapping!A:B,2,FALSE)</f>
        <v>Customer_014</v>
      </c>
      <c r="T78" s="6" t="s">
        <v>386</v>
      </c>
      <c r="U78" s="6" t="s">
        <v>301</v>
      </c>
      <c r="V78" s="6" t="s">
        <v>387</v>
      </c>
      <c r="W78" s="6" t="str">
        <f>IF(U78="","",IFERROR(_xlfn.XLOOKUP(U78,Mapping!$A:$A,Mapping!$B:$B),""))</f>
        <v>Project_004</v>
      </c>
      <c r="X78" s="6" t="str">
        <f>IF(V78="","",IFERROR(_xlfn.XLOOKUP(V78,Mapping!$A:$A,Mapping!$B:$B),""))</f>
        <v>Project_020</v>
      </c>
      <c r="Y78" s="6" t="s">
        <v>286</v>
      </c>
      <c r="Z78" s="6" t="s">
        <v>131</v>
      </c>
    </row>
    <row r="79" spans="1:26">
      <c r="A79" s="12">
        <v>78</v>
      </c>
      <c r="B79" s="6" t="s">
        <v>557</v>
      </c>
      <c r="C79" s="6" t="s">
        <v>558</v>
      </c>
      <c r="D79" s="6" t="s">
        <v>86</v>
      </c>
      <c r="E79" s="7">
        <v>44440</v>
      </c>
      <c r="F79" s="6" t="s">
        <v>204</v>
      </c>
      <c r="G79" s="6" t="s">
        <v>151</v>
      </c>
      <c r="H79" s="6" t="s">
        <v>559</v>
      </c>
      <c r="I79" s="6" t="s">
        <v>90</v>
      </c>
      <c r="J79" s="6" t="s">
        <v>91</v>
      </c>
      <c r="K79" s="6" t="s">
        <v>92</v>
      </c>
      <c r="L79" s="6" t="s">
        <v>90</v>
      </c>
      <c r="M79" s="6" t="s">
        <v>43</v>
      </c>
      <c r="N79" s="6" t="s">
        <v>94</v>
      </c>
      <c r="O79" s="6" t="s">
        <v>43</v>
      </c>
      <c r="P79" s="6" t="s">
        <v>95</v>
      </c>
      <c r="Q79" s="6" t="s">
        <v>403</v>
      </c>
      <c r="R79" s="6" t="s">
        <v>282</v>
      </c>
      <c r="S79" s="6" t="str">
        <f>VLOOKUP(R79,Customer_Mapping!A:B,2,FALSE)</f>
        <v>Customer_001</v>
      </c>
      <c r="T79" s="6" t="s">
        <v>283</v>
      </c>
      <c r="U79" s="6" t="s">
        <v>387</v>
      </c>
      <c r="V79" s="6" t="s">
        <v>301</v>
      </c>
      <c r="W79" s="6" t="str">
        <f>IF(U79="","",IFERROR(_xlfn.XLOOKUP(U79,Mapping!$A:$A,Mapping!$B:$B),""))</f>
        <v>Project_020</v>
      </c>
      <c r="X79" s="6" t="str">
        <f>IF(V79="","",IFERROR(_xlfn.XLOOKUP(V79,Mapping!$A:$A,Mapping!$B:$B),""))</f>
        <v>Project_004</v>
      </c>
      <c r="Y79" s="6" t="s">
        <v>286</v>
      </c>
      <c r="Z79" s="6" t="s">
        <v>43</v>
      </c>
    </row>
    <row r="80" spans="1:26">
      <c r="A80" s="12">
        <v>79</v>
      </c>
      <c r="B80" s="6" t="s">
        <v>560</v>
      </c>
      <c r="C80" s="6" t="s">
        <v>561</v>
      </c>
      <c r="D80" s="6" t="s">
        <v>86</v>
      </c>
      <c r="E80" s="7">
        <v>46128</v>
      </c>
      <c r="F80" s="6" t="s">
        <v>111</v>
      </c>
      <c r="G80" s="6" t="s">
        <v>94</v>
      </c>
      <c r="H80" s="6" t="s">
        <v>562</v>
      </c>
      <c r="I80" s="6" t="s">
        <v>90</v>
      </c>
      <c r="J80" s="6" t="s">
        <v>91</v>
      </c>
      <c r="K80" s="6" t="s">
        <v>92</v>
      </c>
      <c r="L80" s="6" t="s">
        <v>90</v>
      </c>
      <c r="M80" s="6" t="s">
        <v>94</v>
      </c>
      <c r="N80" s="6" t="s">
        <v>94</v>
      </c>
      <c r="O80" s="6" t="s">
        <v>131</v>
      </c>
      <c r="P80" s="6" t="s">
        <v>95</v>
      </c>
      <c r="Q80" s="6" t="s">
        <v>281</v>
      </c>
      <c r="R80" s="6" t="s">
        <v>391</v>
      </c>
      <c r="S80" s="6" t="str">
        <f>VLOOKUP(R80,Customer_Mapping!A:B,2,FALSE)</f>
        <v>Customer_014</v>
      </c>
      <c r="T80" s="6" t="s">
        <v>386</v>
      </c>
      <c r="U80" s="6" t="s">
        <v>298</v>
      </c>
      <c r="V80" s="6" t="s">
        <v>387</v>
      </c>
      <c r="W80" s="6" t="str">
        <f>IF(U80="","",IFERROR(_xlfn.XLOOKUP(U80,Mapping!$A:$A,Mapping!$B:$B),""))</f>
        <v>Project_003</v>
      </c>
      <c r="X80" s="6" t="str">
        <f>IF(V80="","",IFERROR(_xlfn.XLOOKUP(V80,Mapping!$A:$A,Mapping!$B:$B),""))</f>
        <v>Project_020</v>
      </c>
      <c r="Y80" s="6" t="s">
        <v>286</v>
      </c>
      <c r="Z80" s="6" t="s">
        <v>94</v>
      </c>
    </row>
    <row r="81" spans="1:26">
      <c r="A81" s="12">
        <v>80</v>
      </c>
      <c r="B81" s="6" t="s">
        <v>563</v>
      </c>
      <c r="C81" s="6" t="s">
        <v>564</v>
      </c>
      <c r="D81" s="6" t="s">
        <v>86</v>
      </c>
      <c r="E81" s="7">
        <v>45923</v>
      </c>
      <c r="F81" s="6" t="s">
        <v>199</v>
      </c>
      <c r="G81" s="6" t="s">
        <v>94</v>
      </c>
      <c r="H81" s="6" t="s">
        <v>94</v>
      </c>
      <c r="I81" s="6" t="s">
        <v>90</v>
      </c>
      <c r="J81" s="6" t="s">
        <v>91</v>
      </c>
      <c r="K81" s="6" t="s">
        <v>92</v>
      </c>
      <c r="L81" s="6" t="s">
        <v>90</v>
      </c>
      <c r="M81" s="6" t="s">
        <v>94</v>
      </c>
      <c r="N81" s="6" t="s">
        <v>94</v>
      </c>
      <c r="O81" s="6" t="s">
        <v>43</v>
      </c>
      <c r="P81" s="6" t="s">
        <v>122</v>
      </c>
      <c r="Q81" s="6" t="s">
        <v>565</v>
      </c>
      <c r="R81" s="6" t="s">
        <v>300</v>
      </c>
      <c r="S81" s="6" t="str">
        <f>VLOOKUP(R81,Customer_Mapping!A:B,2,FALSE)</f>
        <v>Customer_003</v>
      </c>
      <c r="T81" s="6" t="s">
        <v>283</v>
      </c>
      <c r="U81" s="6" t="s">
        <v>323</v>
      </c>
      <c r="V81" s="6" t="s">
        <v>298</v>
      </c>
      <c r="W81" s="6" t="str">
        <f>IF(U81="","",IFERROR(_xlfn.XLOOKUP(U81,Mapping!$A:$A,Mapping!$B:$B),""))</f>
        <v>Project_009</v>
      </c>
      <c r="X81" s="6" t="str">
        <f>IF(V81="","",IFERROR(_xlfn.XLOOKUP(V81,Mapping!$A:$A,Mapping!$B:$B),""))</f>
        <v>Project_003</v>
      </c>
      <c r="Y81" s="6" t="s">
        <v>286</v>
      </c>
      <c r="Z81" s="6" t="s">
        <v>94</v>
      </c>
    </row>
    <row r="82" spans="1:26">
      <c r="A82" s="12">
        <v>81</v>
      </c>
      <c r="B82" s="6" t="s">
        <v>566</v>
      </c>
      <c r="C82" s="6" t="s">
        <v>567</v>
      </c>
      <c r="D82" s="6" t="s">
        <v>86</v>
      </c>
      <c r="E82" s="7">
        <v>43897</v>
      </c>
      <c r="F82" s="6" t="s">
        <v>204</v>
      </c>
      <c r="G82" s="6" t="s">
        <v>107</v>
      </c>
      <c r="H82" s="6" t="s">
        <v>568</v>
      </c>
      <c r="I82" s="6" t="s">
        <v>90</v>
      </c>
      <c r="J82" s="6" t="s">
        <v>91</v>
      </c>
      <c r="K82" s="6" t="s">
        <v>92</v>
      </c>
      <c r="L82" s="6" t="s">
        <v>90</v>
      </c>
      <c r="M82" s="6" t="s">
        <v>43</v>
      </c>
      <c r="N82" s="6" t="s">
        <v>122</v>
      </c>
      <c r="O82" s="6" t="s">
        <v>43</v>
      </c>
      <c r="P82" s="6" t="s">
        <v>122</v>
      </c>
      <c r="Q82" s="6" t="s">
        <v>403</v>
      </c>
      <c r="R82" s="6" t="s">
        <v>326</v>
      </c>
      <c r="S82" s="6" t="str">
        <f>VLOOKUP(R82,Customer_Mapping!A:B,2,FALSE)</f>
        <v>Customer_007</v>
      </c>
      <c r="T82" s="6" t="s">
        <v>283</v>
      </c>
      <c r="U82" s="6" t="s">
        <v>323</v>
      </c>
      <c r="V82" s="6" t="s">
        <v>323</v>
      </c>
      <c r="W82" s="6" t="str">
        <f>IF(U82="","",IFERROR(_xlfn.XLOOKUP(U82,Mapping!$A:$A,Mapping!$B:$B),""))</f>
        <v>Project_009</v>
      </c>
      <c r="X82" s="6" t="str">
        <f>IF(V82="","",IFERROR(_xlfn.XLOOKUP(V82,Mapping!$A:$A,Mapping!$B:$B),""))</f>
        <v>Project_009</v>
      </c>
      <c r="Y82" s="6" t="s">
        <v>286</v>
      </c>
      <c r="Z82" s="6" t="s">
        <v>43</v>
      </c>
    </row>
    <row r="83" spans="1:26">
      <c r="A83" s="12">
        <v>82</v>
      </c>
      <c r="B83" s="6" t="s">
        <v>569</v>
      </c>
      <c r="C83" s="6" t="s">
        <v>570</v>
      </c>
      <c r="D83" s="6" t="s">
        <v>86</v>
      </c>
      <c r="E83" s="7">
        <v>44850</v>
      </c>
      <c r="F83" s="6" t="s">
        <v>111</v>
      </c>
      <c r="G83" s="6" t="s">
        <v>182</v>
      </c>
      <c r="H83" s="6" t="s">
        <v>571</v>
      </c>
      <c r="I83" s="6" t="s">
        <v>90</v>
      </c>
      <c r="J83" s="6" t="s">
        <v>91</v>
      </c>
      <c r="K83" s="6" t="s">
        <v>92</v>
      </c>
      <c r="L83" s="6" t="s">
        <v>90</v>
      </c>
      <c r="M83" s="6" t="s">
        <v>103</v>
      </c>
      <c r="N83" s="6" t="s">
        <v>104</v>
      </c>
      <c r="O83" s="6" t="s">
        <v>136</v>
      </c>
      <c r="P83" s="6" t="s">
        <v>95</v>
      </c>
      <c r="Q83" s="6" t="s">
        <v>281</v>
      </c>
      <c r="R83" s="6" t="s">
        <v>326</v>
      </c>
      <c r="S83" s="6" t="str">
        <f>VLOOKUP(R83,Customer_Mapping!A:B,2,FALSE)</f>
        <v>Customer_007</v>
      </c>
      <c r="T83" s="6" t="s">
        <v>283</v>
      </c>
      <c r="U83" s="6" t="s">
        <v>392</v>
      </c>
      <c r="V83" s="6" t="s">
        <v>323</v>
      </c>
      <c r="W83" s="6" t="str">
        <f>IF(U83="","",IFERROR(_xlfn.XLOOKUP(U83,Mapping!$A:$A,Mapping!$B:$B),""))</f>
        <v>Project_021</v>
      </c>
      <c r="X83" s="6" t="str">
        <f>IF(V83="","",IFERROR(_xlfn.XLOOKUP(V83,Mapping!$A:$A,Mapping!$B:$B),""))</f>
        <v>Project_009</v>
      </c>
      <c r="Y83" s="6" t="s">
        <v>286</v>
      </c>
      <c r="Z83" s="6" t="s">
        <v>103</v>
      </c>
    </row>
    <row r="84" spans="1:26">
      <c r="A84" s="12">
        <v>83</v>
      </c>
      <c r="B84" s="6" t="s">
        <v>572</v>
      </c>
      <c r="C84" s="6" t="s">
        <v>573</v>
      </c>
      <c r="D84" s="6" t="s">
        <v>86</v>
      </c>
      <c r="E84" s="7">
        <v>42720</v>
      </c>
      <c r="F84" s="6" t="s">
        <v>204</v>
      </c>
      <c r="G84" s="6" t="s">
        <v>420</v>
      </c>
      <c r="H84" s="6" t="s">
        <v>574</v>
      </c>
      <c r="I84" s="6" t="s">
        <v>90</v>
      </c>
      <c r="J84" s="6" t="s">
        <v>91</v>
      </c>
      <c r="K84" s="6" t="s">
        <v>92</v>
      </c>
      <c r="L84" s="6" t="s">
        <v>90</v>
      </c>
      <c r="M84" s="6" t="s">
        <v>43</v>
      </c>
      <c r="N84" s="6" t="s">
        <v>122</v>
      </c>
      <c r="O84" s="6" t="s">
        <v>43</v>
      </c>
      <c r="P84" s="6" t="s">
        <v>95</v>
      </c>
      <c r="Q84" s="6" t="s">
        <v>403</v>
      </c>
      <c r="R84" s="6" t="s">
        <v>282</v>
      </c>
      <c r="S84" s="6" t="str">
        <f>VLOOKUP(R84,Customer_Mapping!A:B,2,FALSE)</f>
        <v>Customer_001</v>
      </c>
      <c r="T84" s="6" t="s">
        <v>283</v>
      </c>
      <c r="U84" s="6" t="s">
        <v>575</v>
      </c>
      <c r="V84" s="6" t="s">
        <v>392</v>
      </c>
      <c r="W84" s="6" t="str">
        <f>IF(U84="","",IFERROR(_xlfn.XLOOKUP(U84,Mapping!$A:$A,Mapping!$B:$B),""))</f>
        <v>Project_033</v>
      </c>
      <c r="X84" s="6" t="str">
        <f>IF(V84="","",IFERROR(_xlfn.XLOOKUP(V84,Mapping!$A:$A,Mapping!$B:$B),""))</f>
        <v>Project_021</v>
      </c>
      <c r="Y84" s="6" t="s">
        <v>286</v>
      </c>
      <c r="Z84" s="6" t="s">
        <v>43</v>
      </c>
    </row>
    <row r="85" spans="1:26">
      <c r="A85" s="12">
        <v>84</v>
      </c>
      <c r="B85" s="6" t="s">
        <v>576</v>
      </c>
      <c r="C85" s="6" t="s">
        <v>577</v>
      </c>
      <c r="D85" s="6" t="s">
        <v>86</v>
      </c>
      <c r="E85" s="7">
        <v>44332</v>
      </c>
      <c r="F85" s="6" t="s">
        <v>111</v>
      </c>
      <c r="G85" s="6" t="s">
        <v>134</v>
      </c>
      <c r="H85" s="6" t="s">
        <v>578</v>
      </c>
      <c r="I85" s="6" t="s">
        <v>90</v>
      </c>
      <c r="J85" s="6" t="s">
        <v>91</v>
      </c>
      <c r="K85" s="6" t="s">
        <v>92</v>
      </c>
      <c r="L85" s="6" t="s">
        <v>90</v>
      </c>
      <c r="M85" s="6" t="s">
        <v>131</v>
      </c>
      <c r="N85" s="6" t="s">
        <v>94</v>
      </c>
      <c r="O85" s="6" t="s">
        <v>131</v>
      </c>
      <c r="P85" s="6" t="s">
        <v>122</v>
      </c>
      <c r="Q85" s="6" t="s">
        <v>281</v>
      </c>
      <c r="R85" s="6" t="s">
        <v>282</v>
      </c>
      <c r="S85" s="6" t="str">
        <f>VLOOKUP(R85,Customer_Mapping!A:B,2,FALSE)</f>
        <v>Customer_001</v>
      </c>
      <c r="T85" s="6" t="s">
        <v>283</v>
      </c>
      <c r="U85" s="6" t="s">
        <v>305</v>
      </c>
      <c r="V85" s="6" t="s">
        <v>575</v>
      </c>
      <c r="W85" s="6" t="str">
        <f>IF(U85="","",IFERROR(_xlfn.XLOOKUP(U85,Mapping!$A:$A,Mapping!$B:$B),""))</f>
        <v>Project_005</v>
      </c>
      <c r="X85" s="6" t="str">
        <f>IF(V85="","",IFERROR(_xlfn.XLOOKUP(V85,Mapping!$A:$A,Mapping!$B:$B),""))</f>
        <v>Project_033</v>
      </c>
      <c r="Y85" s="6" t="s">
        <v>286</v>
      </c>
      <c r="Z85" s="6" t="s">
        <v>131</v>
      </c>
    </row>
    <row r="86" spans="1:26">
      <c r="A86" s="12">
        <v>85</v>
      </c>
      <c r="B86" s="6" t="s">
        <v>579</v>
      </c>
      <c r="C86" s="6" t="s">
        <v>580</v>
      </c>
      <c r="D86" s="6" t="s">
        <v>251</v>
      </c>
      <c r="E86" s="7">
        <v>46226</v>
      </c>
      <c r="F86" s="6" t="s">
        <v>155</v>
      </c>
      <c r="G86" s="6" t="s">
        <v>94</v>
      </c>
      <c r="H86" s="6" t="s">
        <v>94</v>
      </c>
      <c r="I86" s="6" t="s">
        <v>90</v>
      </c>
      <c r="J86" s="6" t="s">
        <v>91</v>
      </c>
      <c r="K86" s="6" t="s">
        <v>92</v>
      </c>
      <c r="L86" s="6" t="s">
        <v>90</v>
      </c>
      <c r="M86" s="6" t="s">
        <v>94</v>
      </c>
      <c r="N86" s="6" t="s">
        <v>94</v>
      </c>
      <c r="O86" s="6" t="s">
        <v>93</v>
      </c>
      <c r="P86" s="6" t="s">
        <v>95</v>
      </c>
      <c r="Q86" s="6" t="s">
        <v>369</v>
      </c>
      <c r="R86" s="6" t="s">
        <v>308</v>
      </c>
      <c r="S86" s="6" t="str">
        <f>VLOOKUP(R86,Customer_Mapping!A:B,2,FALSE)</f>
        <v>Customer_004</v>
      </c>
      <c r="T86" s="6" t="s">
        <v>283</v>
      </c>
      <c r="U86" s="6" t="s">
        <v>468</v>
      </c>
      <c r="V86" s="6" t="s">
        <v>305</v>
      </c>
      <c r="W86" s="6" t="str">
        <f>IF(U86="","",IFERROR(_xlfn.XLOOKUP(U86,Mapping!$A:$A,Mapping!$B:$B),""))</f>
        <v>Project_027</v>
      </c>
      <c r="X86" s="6" t="str">
        <f>IF(V86="","",IFERROR(_xlfn.XLOOKUP(V86,Mapping!$A:$A,Mapping!$B:$B),""))</f>
        <v>Project_005</v>
      </c>
      <c r="Y86" s="6" t="s">
        <v>286</v>
      </c>
      <c r="Z86" s="6" t="s">
        <v>94</v>
      </c>
    </row>
    <row r="87" spans="1:26">
      <c r="A87" s="12">
        <v>86</v>
      </c>
      <c r="B87" s="6" t="s">
        <v>581</v>
      </c>
      <c r="C87" s="6" t="s">
        <v>582</v>
      </c>
      <c r="D87" s="6" t="s">
        <v>86</v>
      </c>
      <c r="E87" s="7">
        <v>44363</v>
      </c>
      <c r="F87" s="6" t="s">
        <v>111</v>
      </c>
      <c r="G87" s="6" t="s">
        <v>359</v>
      </c>
      <c r="H87" s="6" t="s">
        <v>583</v>
      </c>
      <c r="I87" s="6" t="s">
        <v>90</v>
      </c>
      <c r="J87" s="6" t="s">
        <v>91</v>
      </c>
      <c r="K87" s="6" t="s">
        <v>92</v>
      </c>
      <c r="L87" s="6" t="s">
        <v>90</v>
      </c>
      <c r="M87" s="6" t="s">
        <v>584</v>
      </c>
      <c r="N87" s="6" t="s">
        <v>94</v>
      </c>
      <c r="O87" s="6" t="s">
        <v>131</v>
      </c>
      <c r="P87" s="6" t="s">
        <v>95</v>
      </c>
      <c r="Q87" s="6" t="s">
        <v>418</v>
      </c>
      <c r="R87" s="6" t="s">
        <v>282</v>
      </c>
      <c r="S87" s="6" t="str">
        <f>VLOOKUP(R87,Customer_Mapping!A:B,2,FALSE)</f>
        <v>Customer_001</v>
      </c>
      <c r="T87" s="6" t="s">
        <v>283</v>
      </c>
      <c r="U87" s="6" t="s">
        <v>284</v>
      </c>
      <c r="V87" s="6" t="s">
        <v>468</v>
      </c>
      <c r="W87" s="6" t="str">
        <f>IF(U87="","",IFERROR(_xlfn.XLOOKUP(U87,Mapping!$A:$A,Mapping!$B:$B),""))</f>
        <v>Project_001</v>
      </c>
      <c r="X87" s="6" t="str">
        <f>IF(V87="","",IFERROR(_xlfn.XLOOKUP(V87,Mapping!$A:$A,Mapping!$B:$B),""))</f>
        <v>Project_027</v>
      </c>
      <c r="Y87" s="6" t="s">
        <v>286</v>
      </c>
      <c r="Z87" s="6" t="s">
        <v>584</v>
      </c>
    </row>
    <row r="88" spans="1:26">
      <c r="A88" s="12">
        <v>87</v>
      </c>
      <c r="B88" s="6" t="s">
        <v>585</v>
      </c>
      <c r="C88" s="6" t="s">
        <v>586</v>
      </c>
      <c r="D88" s="6" t="s">
        <v>86</v>
      </c>
      <c r="E88" s="7">
        <v>44332</v>
      </c>
      <c r="F88" s="6" t="s">
        <v>111</v>
      </c>
      <c r="G88" s="6" t="s">
        <v>420</v>
      </c>
      <c r="H88" s="6" t="s">
        <v>587</v>
      </c>
      <c r="I88" s="6" t="s">
        <v>90</v>
      </c>
      <c r="J88" s="6" t="s">
        <v>91</v>
      </c>
      <c r="K88" s="6" t="s">
        <v>92</v>
      </c>
      <c r="L88" s="6" t="s">
        <v>90</v>
      </c>
      <c r="M88" s="6" t="s">
        <v>131</v>
      </c>
      <c r="N88" s="6" t="s">
        <v>94</v>
      </c>
      <c r="O88" s="6" t="s">
        <v>131</v>
      </c>
      <c r="P88" s="6" t="s">
        <v>122</v>
      </c>
      <c r="Q88" s="6" t="s">
        <v>418</v>
      </c>
      <c r="R88" s="6" t="s">
        <v>282</v>
      </c>
      <c r="S88" s="6" t="str">
        <f>VLOOKUP(R88,Customer_Mapping!A:B,2,FALSE)</f>
        <v>Customer_001</v>
      </c>
      <c r="T88" s="6" t="s">
        <v>283</v>
      </c>
      <c r="U88" s="6" t="s">
        <v>387</v>
      </c>
      <c r="V88" s="6" t="s">
        <v>284</v>
      </c>
      <c r="W88" s="6" t="str">
        <f>IF(U88="","",IFERROR(_xlfn.XLOOKUP(U88,Mapping!$A:$A,Mapping!$B:$B),""))</f>
        <v>Project_020</v>
      </c>
      <c r="X88" s="6" t="str">
        <f>IF(V88="","",IFERROR(_xlfn.XLOOKUP(V88,Mapping!$A:$A,Mapping!$B:$B),""))</f>
        <v>Project_001</v>
      </c>
      <c r="Y88" s="6" t="s">
        <v>286</v>
      </c>
      <c r="Z88" s="6" t="s">
        <v>131</v>
      </c>
    </row>
    <row r="89" spans="1:26">
      <c r="A89" s="12">
        <v>88</v>
      </c>
      <c r="B89" s="6" t="s">
        <v>588</v>
      </c>
      <c r="C89" s="6" t="s">
        <v>589</v>
      </c>
      <c r="D89" s="6" t="s">
        <v>86</v>
      </c>
      <c r="E89" s="7">
        <v>45253</v>
      </c>
      <c r="F89" s="6" t="s">
        <v>204</v>
      </c>
      <c r="G89" s="6" t="s">
        <v>88</v>
      </c>
      <c r="H89" s="6" t="s">
        <v>590</v>
      </c>
      <c r="I89" s="6" t="s">
        <v>90</v>
      </c>
      <c r="J89" s="6" t="s">
        <v>91</v>
      </c>
      <c r="K89" s="6" t="s">
        <v>92</v>
      </c>
      <c r="L89" s="6" t="s">
        <v>90</v>
      </c>
      <c r="M89" s="6" t="s">
        <v>94</v>
      </c>
      <c r="N89" s="6" t="s">
        <v>94</v>
      </c>
      <c r="O89" s="6" t="s">
        <v>131</v>
      </c>
      <c r="P89" s="6" t="s">
        <v>95</v>
      </c>
      <c r="Q89" s="6" t="s">
        <v>321</v>
      </c>
      <c r="R89" s="6" t="s">
        <v>391</v>
      </c>
      <c r="S89" s="6" t="str">
        <f>VLOOKUP(R89,Customer_Mapping!A:B,2,FALSE)</f>
        <v>Customer_014</v>
      </c>
      <c r="T89" s="6" t="s">
        <v>386</v>
      </c>
      <c r="U89" s="6" t="s">
        <v>387</v>
      </c>
      <c r="V89" s="6" t="s">
        <v>387</v>
      </c>
      <c r="W89" s="6" t="str">
        <f>IF(U89="","",IFERROR(_xlfn.XLOOKUP(U89,Mapping!$A:$A,Mapping!$B:$B),""))</f>
        <v>Project_020</v>
      </c>
      <c r="X89" s="6" t="str">
        <f>IF(V89="","",IFERROR(_xlfn.XLOOKUP(V89,Mapping!$A:$A,Mapping!$B:$B),""))</f>
        <v>Project_020</v>
      </c>
      <c r="Y89" s="6" t="s">
        <v>286</v>
      </c>
      <c r="Z89" s="6" t="s">
        <v>94</v>
      </c>
    </row>
    <row r="90" spans="1:26">
      <c r="A90" s="12">
        <v>89</v>
      </c>
      <c r="B90" s="6" t="s">
        <v>591</v>
      </c>
      <c r="C90" s="6" t="s">
        <v>592</v>
      </c>
      <c r="D90" s="6" t="s">
        <v>86</v>
      </c>
      <c r="E90" s="7">
        <v>42902</v>
      </c>
      <c r="F90" s="6" t="s">
        <v>204</v>
      </c>
      <c r="G90" s="6" t="s">
        <v>182</v>
      </c>
      <c r="H90" s="6" t="s">
        <v>593</v>
      </c>
      <c r="I90" s="6" t="s">
        <v>90</v>
      </c>
      <c r="J90" s="6" t="s">
        <v>91</v>
      </c>
      <c r="K90" s="6" t="s">
        <v>92</v>
      </c>
      <c r="L90" s="6" t="s">
        <v>90</v>
      </c>
      <c r="M90" s="6" t="s">
        <v>43</v>
      </c>
      <c r="N90" s="6" t="s">
        <v>122</v>
      </c>
      <c r="O90" s="6" t="s">
        <v>43</v>
      </c>
      <c r="P90" s="6" t="s">
        <v>104</v>
      </c>
      <c r="Q90" s="6" t="s">
        <v>403</v>
      </c>
      <c r="R90" s="6" t="s">
        <v>391</v>
      </c>
      <c r="S90" s="6" t="str">
        <f>VLOOKUP(R90,Customer_Mapping!A:B,2,FALSE)</f>
        <v>Customer_014</v>
      </c>
      <c r="T90" s="6" t="s">
        <v>386</v>
      </c>
      <c r="U90" s="6" t="s">
        <v>285</v>
      </c>
      <c r="V90" s="6" t="s">
        <v>387</v>
      </c>
      <c r="W90" s="6" t="str">
        <f>IF(U90="","",IFERROR(_xlfn.XLOOKUP(U90,Mapping!$A:$A,Mapping!$B:$B),""))</f>
        <v>Project_017</v>
      </c>
      <c r="X90" s="6" t="str">
        <f>IF(V90="","",IFERROR(_xlfn.XLOOKUP(V90,Mapping!$A:$A,Mapping!$B:$B),""))</f>
        <v>Project_020</v>
      </c>
      <c r="Y90" s="6" t="s">
        <v>286</v>
      </c>
      <c r="Z90" s="6" t="s">
        <v>43</v>
      </c>
    </row>
    <row r="91" spans="1:26">
      <c r="A91" s="12">
        <v>90</v>
      </c>
      <c r="B91" s="6" t="s">
        <v>594</v>
      </c>
      <c r="C91" s="6" t="s">
        <v>595</v>
      </c>
      <c r="D91" s="6" t="s">
        <v>86</v>
      </c>
      <c r="E91" s="7">
        <v>45962</v>
      </c>
      <c r="F91" s="6" t="s">
        <v>111</v>
      </c>
      <c r="G91" s="6" t="s">
        <v>94</v>
      </c>
      <c r="H91" s="6" t="s">
        <v>333</v>
      </c>
      <c r="I91" s="6" t="s">
        <v>90</v>
      </c>
      <c r="J91" s="6" t="s">
        <v>91</v>
      </c>
      <c r="K91" s="6" t="s">
        <v>92</v>
      </c>
      <c r="L91" s="6" t="s">
        <v>90</v>
      </c>
      <c r="M91" s="6" t="s">
        <v>94</v>
      </c>
      <c r="N91" s="6" t="s">
        <v>94</v>
      </c>
      <c r="O91" s="6" t="s">
        <v>131</v>
      </c>
      <c r="P91" s="6" t="s">
        <v>95</v>
      </c>
      <c r="Q91" s="6" t="s">
        <v>281</v>
      </c>
      <c r="R91" s="6" t="s">
        <v>282</v>
      </c>
      <c r="S91" s="6" t="str">
        <f>VLOOKUP(R91,Customer_Mapping!A:B,2,FALSE)</f>
        <v>Customer_001</v>
      </c>
      <c r="T91" s="6" t="s">
        <v>283</v>
      </c>
      <c r="U91" s="6" t="s">
        <v>298</v>
      </c>
      <c r="V91" s="6" t="s">
        <v>285</v>
      </c>
      <c r="W91" s="6" t="str">
        <f>IF(U91="","",IFERROR(_xlfn.XLOOKUP(U91,Mapping!$A:$A,Mapping!$B:$B),""))</f>
        <v>Project_003</v>
      </c>
      <c r="X91" s="6" t="str">
        <f>IF(V91="","",IFERROR(_xlfn.XLOOKUP(V91,Mapping!$A:$A,Mapping!$B:$B),""))</f>
        <v>Project_017</v>
      </c>
      <c r="Y91" s="6" t="s">
        <v>286</v>
      </c>
      <c r="Z91" s="6" t="s">
        <v>94</v>
      </c>
    </row>
    <row r="92" spans="1:26">
      <c r="A92" s="12">
        <v>91</v>
      </c>
      <c r="B92" s="6" t="s">
        <v>596</v>
      </c>
      <c r="C92" s="6" t="s">
        <v>597</v>
      </c>
      <c r="D92" s="6" t="s">
        <v>86</v>
      </c>
      <c r="E92" s="7">
        <v>46082</v>
      </c>
      <c r="F92" s="6" t="s">
        <v>4</v>
      </c>
      <c r="G92" s="6" t="s">
        <v>94</v>
      </c>
      <c r="H92" s="6" t="s">
        <v>94</v>
      </c>
      <c r="I92" s="6" t="s">
        <v>90</v>
      </c>
      <c r="J92" s="6" t="s">
        <v>91</v>
      </c>
      <c r="K92" s="6" t="s">
        <v>92</v>
      </c>
      <c r="L92" s="6" t="s">
        <v>90</v>
      </c>
      <c r="M92" s="6" t="s">
        <v>94</v>
      </c>
      <c r="N92" s="6" t="s">
        <v>94</v>
      </c>
      <c r="O92" s="6" t="s">
        <v>93</v>
      </c>
      <c r="P92" s="6" t="s">
        <v>95</v>
      </c>
      <c r="Q92" s="6" t="s">
        <v>399</v>
      </c>
      <c r="R92" s="6" t="s">
        <v>300</v>
      </c>
      <c r="S92" s="6" t="str">
        <f>VLOOKUP(R92,Customer_Mapping!A:B,2,FALSE)</f>
        <v>Customer_003</v>
      </c>
      <c r="T92" s="6" t="s">
        <v>283</v>
      </c>
      <c r="U92" s="6" t="s">
        <v>301</v>
      </c>
      <c r="V92" s="6" t="s">
        <v>298</v>
      </c>
      <c r="W92" s="6" t="str">
        <f>IF(U92="","",IFERROR(_xlfn.XLOOKUP(U92,Mapping!$A:$A,Mapping!$B:$B),""))</f>
        <v>Project_004</v>
      </c>
      <c r="X92" s="6" t="str">
        <f>IF(V92="","",IFERROR(_xlfn.XLOOKUP(V92,Mapping!$A:$A,Mapping!$B:$B),""))</f>
        <v>Project_003</v>
      </c>
      <c r="Y92" s="6" t="s">
        <v>286</v>
      </c>
      <c r="Z92" s="6" t="s">
        <v>94</v>
      </c>
    </row>
    <row r="93" spans="1:26">
      <c r="A93" s="12">
        <v>92</v>
      </c>
      <c r="B93" s="6" t="s">
        <v>598</v>
      </c>
      <c r="C93" s="6" t="s">
        <v>599</v>
      </c>
      <c r="D93" s="6" t="s">
        <v>86</v>
      </c>
      <c r="E93" s="7">
        <v>46060</v>
      </c>
      <c r="F93" s="6" t="s">
        <v>100</v>
      </c>
      <c r="G93" s="6" t="s">
        <v>94</v>
      </c>
      <c r="H93" s="6" t="s">
        <v>600</v>
      </c>
      <c r="I93" s="6" t="s">
        <v>213</v>
      </c>
      <c r="J93" s="6" t="s">
        <v>91</v>
      </c>
      <c r="K93" s="6" t="s">
        <v>92</v>
      </c>
      <c r="L93" s="6" t="s">
        <v>213</v>
      </c>
      <c r="M93" s="6" t="s">
        <v>94</v>
      </c>
      <c r="N93" s="6" t="s">
        <v>94</v>
      </c>
      <c r="O93" s="6" t="s">
        <v>93</v>
      </c>
      <c r="P93" s="6" t="s">
        <v>104</v>
      </c>
      <c r="Q93" s="6" t="s">
        <v>304</v>
      </c>
      <c r="R93" s="6" t="s">
        <v>282</v>
      </c>
      <c r="S93" s="6" t="str">
        <f>VLOOKUP(R93,Customer_Mapping!A:B,2,FALSE)</f>
        <v>Customer_001</v>
      </c>
      <c r="T93" s="6" t="s">
        <v>283</v>
      </c>
      <c r="U93" s="6" t="s">
        <v>323</v>
      </c>
      <c r="V93" s="6" t="s">
        <v>301</v>
      </c>
      <c r="W93" s="6" t="str">
        <f>IF(U93="","",IFERROR(_xlfn.XLOOKUP(U93,Mapping!$A:$A,Mapping!$B:$B),""))</f>
        <v>Project_009</v>
      </c>
      <c r="X93" s="6" t="str">
        <f>IF(V93="","",IFERROR(_xlfn.XLOOKUP(V93,Mapping!$A:$A,Mapping!$B:$B),""))</f>
        <v>Project_004</v>
      </c>
      <c r="Y93" s="6" t="s">
        <v>286</v>
      </c>
      <c r="Z93" s="6" t="s">
        <v>94</v>
      </c>
    </row>
    <row r="94" spans="1:26">
      <c r="A94" s="12">
        <v>93</v>
      </c>
      <c r="B94" s="6" t="s">
        <v>601</v>
      </c>
      <c r="C94" s="6" t="s">
        <v>602</v>
      </c>
      <c r="D94" s="6" t="s">
        <v>86</v>
      </c>
      <c r="E94" s="7">
        <v>45062</v>
      </c>
      <c r="F94" s="6" t="s">
        <v>111</v>
      </c>
      <c r="G94" s="6" t="s">
        <v>603</v>
      </c>
      <c r="H94" s="6" t="s">
        <v>604</v>
      </c>
      <c r="I94" s="6" t="s">
        <v>90</v>
      </c>
      <c r="J94" s="6" t="s">
        <v>91</v>
      </c>
      <c r="K94" s="6" t="s">
        <v>92</v>
      </c>
      <c r="L94" s="6" t="s">
        <v>90</v>
      </c>
      <c r="M94" s="6" t="s">
        <v>313</v>
      </c>
      <c r="N94" s="6" t="s">
        <v>94</v>
      </c>
      <c r="O94" s="6" t="s">
        <v>364</v>
      </c>
      <c r="P94" s="6" t="s">
        <v>122</v>
      </c>
      <c r="Q94" s="6" t="s">
        <v>418</v>
      </c>
      <c r="R94" s="6" t="s">
        <v>326</v>
      </c>
      <c r="S94" s="6" t="str">
        <f>VLOOKUP(R94,Customer_Mapping!A:B,2,FALSE)</f>
        <v>Customer_007</v>
      </c>
      <c r="T94" s="6" t="s">
        <v>283</v>
      </c>
      <c r="U94" s="6" t="s">
        <v>305</v>
      </c>
      <c r="V94" s="6" t="s">
        <v>323</v>
      </c>
      <c r="W94" s="6" t="str">
        <f>IF(U94="","",IFERROR(_xlfn.XLOOKUP(U94,Mapping!$A:$A,Mapping!$B:$B),""))</f>
        <v>Project_005</v>
      </c>
      <c r="X94" s="6" t="str">
        <f>IF(V94="","",IFERROR(_xlfn.XLOOKUP(V94,Mapping!$A:$A,Mapping!$B:$B),""))</f>
        <v>Project_009</v>
      </c>
      <c r="Y94" s="6" t="s">
        <v>286</v>
      </c>
      <c r="Z94" s="6" t="s">
        <v>313</v>
      </c>
    </row>
    <row r="95" spans="1:26">
      <c r="A95" s="12">
        <v>94</v>
      </c>
      <c r="B95" s="6" t="s">
        <v>605</v>
      </c>
      <c r="C95" s="6" t="s">
        <v>606</v>
      </c>
      <c r="D95" s="6" t="s">
        <v>86</v>
      </c>
      <c r="E95" s="7">
        <v>43669</v>
      </c>
      <c r="F95" s="6" t="s">
        <v>26</v>
      </c>
      <c r="G95" s="6" t="s">
        <v>126</v>
      </c>
      <c r="H95" s="6" t="s">
        <v>607</v>
      </c>
      <c r="I95" s="6" t="s">
        <v>90</v>
      </c>
      <c r="J95" s="6" t="s">
        <v>91</v>
      </c>
      <c r="K95" s="6" t="s">
        <v>92</v>
      </c>
      <c r="L95" s="6" t="s">
        <v>90</v>
      </c>
      <c r="M95" s="6" t="s">
        <v>27</v>
      </c>
      <c r="N95" s="6" t="s">
        <v>95</v>
      </c>
      <c r="O95" s="6" t="s">
        <v>27</v>
      </c>
      <c r="P95" s="6" t="s">
        <v>104</v>
      </c>
      <c r="Q95" s="6" t="s">
        <v>296</v>
      </c>
      <c r="R95" s="6" t="s">
        <v>308</v>
      </c>
      <c r="S95" s="6" t="str">
        <f>VLOOKUP(R95,Customer_Mapping!A:B,2,FALSE)</f>
        <v>Customer_004</v>
      </c>
      <c r="T95" s="6" t="s">
        <v>283</v>
      </c>
      <c r="U95" s="6" t="s">
        <v>318</v>
      </c>
      <c r="V95" s="6" t="s">
        <v>305</v>
      </c>
      <c r="W95" s="6" t="str">
        <f>IF(U95="","",IFERROR(_xlfn.XLOOKUP(U95,Mapping!$A:$A,Mapping!$B:$B),""))</f>
        <v>Project_008</v>
      </c>
      <c r="X95" s="6" t="str">
        <f>IF(V95="","",IFERROR(_xlfn.XLOOKUP(V95,Mapping!$A:$A,Mapping!$B:$B),""))</f>
        <v>Project_005</v>
      </c>
      <c r="Y95" s="6" t="s">
        <v>286</v>
      </c>
      <c r="Z95" s="6" t="s">
        <v>27</v>
      </c>
    </row>
    <row r="96" spans="1:26">
      <c r="A96" s="12">
        <v>95</v>
      </c>
      <c r="B96" s="6" t="s">
        <v>608</v>
      </c>
      <c r="C96" s="6" t="s">
        <v>609</v>
      </c>
      <c r="D96" s="6" t="s">
        <v>86</v>
      </c>
      <c r="E96" s="7">
        <v>42614</v>
      </c>
      <c r="F96" s="6" t="s">
        <v>111</v>
      </c>
      <c r="G96" s="6" t="s">
        <v>175</v>
      </c>
      <c r="H96" s="6" t="s">
        <v>610</v>
      </c>
      <c r="I96" s="6" t="s">
        <v>90</v>
      </c>
      <c r="J96" s="6" t="s">
        <v>91</v>
      </c>
      <c r="K96" s="6" t="s">
        <v>92</v>
      </c>
      <c r="L96" s="6" t="s">
        <v>90</v>
      </c>
      <c r="M96" s="6" t="s">
        <v>117</v>
      </c>
      <c r="N96" s="6" t="s">
        <v>94</v>
      </c>
      <c r="O96" s="6" t="s">
        <v>117</v>
      </c>
      <c r="P96" s="6" t="s">
        <v>122</v>
      </c>
      <c r="Q96" s="6" t="s">
        <v>281</v>
      </c>
      <c r="R96" s="6" t="s">
        <v>308</v>
      </c>
      <c r="S96" s="6" t="str">
        <f>VLOOKUP(R96,Customer_Mapping!A:B,2,FALSE)</f>
        <v>Customer_004</v>
      </c>
      <c r="T96" s="6" t="s">
        <v>283</v>
      </c>
      <c r="U96" s="6" t="s">
        <v>348</v>
      </c>
      <c r="V96" s="6" t="s">
        <v>318</v>
      </c>
      <c r="W96" s="6" t="str">
        <f>IF(U96="","",IFERROR(_xlfn.XLOOKUP(U96,Mapping!$A:$A,Mapping!$B:$B),""))</f>
        <v>Project_014</v>
      </c>
      <c r="X96" s="6" t="str">
        <f>IF(V96="","",IFERROR(_xlfn.XLOOKUP(V96,Mapping!$A:$A,Mapping!$B:$B),""))</f>
        <v>Project_008</v>
      </c>
      <c r="Y96" s="6" t="s">
        <v>286</v>
      </c>
      <c r="Z96" s="6" t="s">
        <v>117</v>
      </c>
    </row>
    <row r="97" spans="1:26">
      <c r="A97" s="12">
        <v>96</v>
      </c>
      <c r="B97" s="6" t="s">
        <v>611</v>
      </c>
      <c r="C97" s="6" t="s">
        <v>612</v>
      </c>
      <c r="D97" s="6" t="s">
        <v>86</v>
      </c>
      <c r="E97" s="7">
        <v>43359</v>
      </c>
      <c r="F97" s="6" t="s">
        <v>111</v>
      </c>
      <c r="G97" s="6" t="s">
        <v>120</v>
      </c>
      <c r="H97" s="6" t="s">
        <v>613</v>
      </c>
      <c r="I97" s="6" t="s">
        <v>90</v>
      </c>
      <c r="J97" s="6" t="s">
        <v>91</v>
      </c>
      <c r="K97" s="6" t="s">
        <v>92</v>
      </c>
      <c r="L97" s="6" t="s">
        <v>90</v>
      </c>
      <c r="M97" s="6" t="s">
        <v>103</v>
      </c>
      <c r="N97" s="6" t="s">
        <v>122</v>
      </c>
      <c r="O97" s="6" t="s">
        <v>103</v>
      </c>
      <c r="P97" s="6" t="s">
        <v>122</v>
      </c>
      <c r="Q97" s="6" t="s">
        <v>418</v>
      </c>
      <c r="R97" s="6" t="s">
        <v>351</v>
      </c>
      <c r="S97" s="6" t="str">
        <f>VLOOKUP(R97,Customer_Mapping!A:B,2,FALSE)</f>
        <v>Customer_010</v>
      </c>
      <c r="T97" s="6" t="s">
        <v>283</v>
      </c>
      <c r="U97" s="6" t="s">
        <v>348</v>
      </c>
      <c r="V97" s="6" t="s">
        <v>348</v>
      </c>
      <c r="W97" s="6" t="str">
        <f>IF(U97="","",IFERROR(_xlfn.XLOOKUP(U97,Mapping!$A:$A,Mapping!$B:$B),""))</f>
        <v>Project_014</v>
      </c>
      <c r="X97" s="6" t="str">
        <f>IF(V97="","",IFERROR(_xlfn.XLOOKUP(V97,Mapping!$A:$A,Mapping!$B:$B),""))</f>
        <v>Project_014</v>
      </c>
      <c r="Y97" s="6" t="s">
        <v>286</v>
      </c>
      <c r="Z97" s="6" t="s">
        <v>103</v>
      </c>
    </row>
    <row r="98" spans="1:26">
      <c r="A98" s="12">
        <v>97</v>
      </c>
      <c r="B98" s="6" t="s">
        <v>614</v>
      </c>
      <c r="C98" s="6" t="s">
        <v>615</v>
      </c>
      <c r="D98" s="6" t="s">
        <v>86</v>
      </c>
      <c r="E98" s="7">
        <v>45185</v>
      </c>
      <c r="F98" s="6" t="s">
        <v>111</v>
      </c>
      <c r="G98" s="6" t="s">
        <v>94</v>
      </c>
      <c r="H98" s="6" t="s">
        <v>616</v>
      </c>
      <c r="I98" s="6" t="s">
        <v>90</v>
      </c>
      <c r="J98" s="6" t="s">
        <v>91</v>
      </c>
      <c r="K98" s="6" t="s">
        <v>92</v>
      </c>
      <c r="L98" s="6" t="s">
        <v>90</v>
      </c>
      <c r="M98" s="6" t="s">
        <v>550</v>
      </c>
      <c r="N98" s="6" t="s">
        <v>122</v>
      </c>
      <c r="O98" s="6" t="s">
        <v>103</v>
      </c>
      <c r="P98" s="6" t="s">
        <v>122</v>
      </c>
      <c r="Q98" s="6" t="s">
        <v>418</v>
      </c>
      <c r="R98" s="6" t="s">
        <v>351</v>
      </c>
      <c r="S98" s="6" t="str">
        <f>VLOOKUP(R98,Customer_Mapping!A:B,2,FALSE)</f>
        <v>Customer_010</v>
      </c>
      <c r="T98" s="6" t="s">
        <v>283</v>
      </c>
      <c r="U98" s="6" t="s">
        <v>575</v>
      </c>
      <c r="V98" s="6" t="s">
        <v>348</v>
      </c>
      <c r="W98" s="6" t="str">
        <f>IF(U98="","",IFERROR(_xlfn.XLOOKUP(U98,Mapping!$A:$A,Mapping!$B:$B),""))</f>
        <v>Project_033</v>
      </c>
      <c r="X98" s="6" t="str">
        <f>IF(V98="","",IFERROR(_xlfn.XLOOKUP(V98,Mapping!$A:$A,Mapping!$B:$B),""))</f>
        <v>Project_014</v>
      </c>
      <c r="Y98" s="6" t="s">
        <v>286</v>
      </c>
      <c r="Z98" s="6" t="s">
        <v>550</v>
      </c>
    </row>
    <row r="99" spans="1:26">
      <c r="A99" s="12">
        <v>98</v>
      </c>
      <c r="B99" s="6" t="s">
        <v>617</v>
      </c>
      <c r="C99" s="6" t="s">
        <v>618</v>
      </c>
      <c r="D99" s="6" t="s">
        <v>86</v>
      </c>
      <c r="E99" s="7">
        <v>44911</v>
      </c>
      <c r="F99" s="6" t="s">
        <v>288</v>
      </c>
      <c r="G99" s="6" t="s">
        <v>359</v>
      </c>
      <c r="H99" s="6" t="s">
        <v>619</v>
      </c>
      <c r="I99" s="6" t="s">
        <v>90</v>
      </c>
      <c r="J99" s="6" t="s">
        <v>91</v>
      </c>
      <c r="K99" s="6" t="s">
        <v>92</v>
      </c>
      <c r="L99" s="6" t="s">
        <v>90</v>
      </c>
      <c r="M99" s="6" t="s">
        <v>131</v>
      </c>
      <c r="N99" s="6" t="s">
        <v>104</v>
      </c>
      <c r="O99" s="6" t="s">
        <v>131</v>
      </c>
      <c r="P99" s="6" t="s">
        <v>104</v>
      </c>
      <c r="Q99" s="6" t="s">
        <v>291</v>
      </c>
      <c r="R99" s="6" t="s">
        <v>282</v>
      </c>
      <c r="S99" s="6" t="str">
        <f>VLOOKUP(R99,Customer_Mapping!A:B,2,FALSE)</f>
        <v>Customer_001</v>
      </c>
      <c r="T99" s="6" t="s">
        <v>283</v>
      </c>
      <c r="U99" s="6" t="s">
        <v>318</v>
      </c>
      <c r="V99" s="6" t="s">
        <v>575</v>
      </c>
      <c r="W99" s="6" t="str">
        <f>IF(U99="","",IFERROR(_xlfn.XLOOKUP(U99,Mapping!$A:$A,Mapping!$B:$B),""))</f>
        <v>Project_008</v>
      </c>
      <c r="X99" s="6" t="str">
        <f>IF(V99="","",IFERROR(_xlfn.XLOOKUP(V99,Mapping!$A:$A,Mapping!$B:$B),""))</f>
        <v>Project_033</v>
      </c>
      <c r="Y99" s="6" t="s">
        <v>286</v>
      </c>
      <c r="Z99" s="6" t="s">
        <v>131</v>
      </c>
    </row>
    <row r="100" spans="1:26">
      <c r="A100" s="12">
        <v>99</v>
      </c>
      <c r="B100" s="6" t="s">
        <v>620</v>
      </c>
      <c r="C100" s="6" t="s">
        <v>621</v>
      </c>
      <c r="D100" s="6" t="s">
        <v>86</v>
      </c>
      <c r="E100" s="7">
        <v>44470</v>
      </c>
      <c r="F100" s="6" t="s">
        <v>111</v>
      </c>
      <c r="G100" s="6" t="s">
        <v>622</v>
      </c>
      <c r="H100" s="6" t="s">
        <v>623</v>
      </c>
      <c r="I100" s="6" t="s">
        <v>90</v>
      </c>
      <c r="J100" s="6" t="s">
        <v>91</v>
      </c>
      <c r="K100" s="6" t="s">
        <v>92</v>
      </c>
      <c r="L100" s="6" t="s">
        <v>90</v>
      </c>
      <c r="M100" s="6" t="s">
        <v>131</v>
      </c>
      <c r="N100" s="6" t="s">
        <v>94</v>
      </c>
      <c r="O100" s="6" t="s">
        <v>584</v>
      </c>
      <c r="P100" s="6" t="s">
        <v>95</v>
      </c>
      <c r="Q100" s="6" t="s">
        <v>281</v>
      </c>
      <c r="R100" s="6" t="s">
        <v>308</v>
      </c>
      <c r="S100" s="6" t="str">
        <f>VLOOKUP(R100,Customer_Mapping!A:B,2,FALSE)</f>
        <v>Customer_004</v>
      </c>
      <c r="T100" s="6" t="s">
        <v>283</v>
      </c>
      <c r="U100" s="6" t="s">
        <v>387</v>
      </c>
      <c r="V100" s="6" t="s">
        <v>318</v>
      </c>
      <c r="W100" s="6" t="str">
        <f>IF(U100="","",IFERROR(_xlfn.XLOOKUP(U100,Mapping!$A:$A,Mapping!$B:$B),""))</f>
        <v>Project_020</v>
      </c>
      <c r="X100" s="6" t="str">
        <f>IF(V100="","",IFERROR(_xlfn.XLOOKUP(V100,Mapping!$A:$A,Mapping!$B:$B),""))</f>
        <v>Project_008</v>
      </c>
      <c r="Y100" s="6" t="s">
        <v>286</v>
      </c>
      <c r="Z100" s="6" t="s">
        <v>131</v>
      </c>
    </row>
    <row r="101" spans="1:26">
      <c r="A101" s="12">
        <v>100</v>
      </c>
      <c r="B101" s="6" t="s">
        <v>624</v>
      </c>
      <c r="C101" s="6" t="s">
        <v>625</v>
      </c>
      <c r="D101" s="6" t="s">
        <v>86</v>
      </c>
      <c r="E101" s="7">
        <v>46149</v>
      </c>
      <c r="F101" s="6" t="s">
        <v>111</v>
      </c>
      <c r="G101" s="6" t="s">
        <v>94</v>
      </c>
      <c r="H101" s="6" t="s">
        <v>94</v>
      </c>
      <c r="I101" s="6" t="s">
        <v>90</v>
      </c>
      <c r="J101" s="6" t="s">
        <v>91</v>
      </c>
      <c r="K101" s="6" t="s">
        <v>92</v>
      </c>
      <c r="L101" s="6" t="s">
        <v>90</v>
      </c>
      <c r="M101" s="6" t="s">
        <v>94</v>
      </c>
      <c r="N101" s="6" t="s">
        <v>94</v>
      </c>
      <c r="O101" s="6" t="s">
        <v>136</v>
      </c>
      <c r="P101" s="6" t="s">
        <v>95</v>
      </c>
      <c r="Q101" s="6" t="s">
        <v>281</v>
      </c>
      <c r="R101" s="6" t="s">
        <v>391</v>
      </c>
      <c r="S101" s="6" t="str">
        <f>VLOOKUP(R101,Customer_Mapping!A:B,2,FALSE)</f>
        <v>Customer_014</v>
      </c>
      <c r="T101" s="6" t="s">
        <v>386</v>
      </c>
      <c r="U101" s="6" t="s">
        <v>626</v>
      </c>
      <c r="V101" s="6" t="s">
        <v>387</v>
      </c>
      <c r="W101" s="6" t="str">
        <f>IF(U101="","",IFERROR(_xlfn.XLOOKUP(U101,Mapping!$A:$A,Mapping!$B:$B),""))</f>
        <v>Project_034</v>
      </c>
      <c r="X101" s="6" t="str">
        <f>IF(V101="","",IFERROR(_xlfn.XLOOKUP(V101,Mapping!$A:$A,Mapping!$B:$B),""))</f>
        <v>Project_020</v>
      </c>
      <c r="Y101" s="6" t="s">
        <v>286</v>
      </c>
      <c r="Z101" s="6" t="s">
        <v>94</v>
      </c>
    </row>
    <row r="102" spans="1:26">
      <c r="A102" s="12">
        <v>101</v>
      </c>
      <c r="B102" s="6" t="s">
        <v>627</v>
      </c>
      <c r="C102" s="6" t="s">
        <v>628</v>
      </c>
      <c r="D102" s="6" t="s">
        <v>86</v>
      </c>
      <c r="E102" s="7">
        <v>42705</v>
      </c>
      <c r="F102" s="6" t="s">
        <v>204</v>
      </c>
      <c r="G102" s="6" t="s">
        <v>107</v>
      </c>
      <c r="H102" s="6" t="s">
        <v>629</v>
      </c>
      <c r="I102" s="6" t="s">
        <v>90</v>
      </c>
      <c r="J102" s="6" t="s">
        <v>91</v>
      </c>
      <c r="K102" s="6" t="s">
        <v>92</v>
      </c>
      <c r="L102" s="6" t="s">
        <v>90</v>
      </c>
      <c r="M102" s="6" t="s">
        <v>43</v>
      </c>
      <c r="N102" s="6" t="s">
        <v>122</v>
      </c>
      <c r="O102" s="6" t="s">
        <v>43</v>
      </c>
      <c r="P102" s="6" t="s">
        <v>104</v>
      </c>
      <c r="Q102" s="6" t="s">
        <v>403</v>
      </c>
      <c r="R102" s="6" t="s">
        <v>630</v>
      </c>
      <c r="S102" s="6" t="str">
        <f>VLOOKUP(R102,Customer_Mapping!A:B,2,FALSE)</f>
        <v>Customer_017</v>
      </c>
      <c r="T102" s="6" t="s">
        <v>386</v>
      </c>
      <c r="U102" s="6" t="s">
        <v>305</v>
      </c>
      <c r="V102" s="6" t="s">
        <v>626</v>
      </c>
      <c r="W102" s="6" t="str">
        <f>IF(U102="","",IFERROR(_xlfn.XLOOKUP(U102,Mapping!$A:$A,Mapping!$B:$B),""))</f>
        <v>Project_005</v>
      </c>
      <c r="X102" s="6" t="str">
        <f>IF(V102="","",IFERROR(_xlfn.XLOOKUP(V102,Mapping!$A:$A,Mapping!$B:$B),""))</f>
        <v>Project_034</v>
      </c>
      <c r="Y102" s="6" t="s">
        <v>286</v>
      </c>
      <c r="Z102" s="6" t="s">
        <v>43</v>
      </c>
    </row>
    <row r="103" spans="1:26">
      <c r="A103" s="12">
        <v>102</v>
      </c>
      <c r="B103" s="6" t="s">
        <v>627</v>
      </c>
      <c r="C103" s="6" t="s">
        <v>631</v>
      </c>
      <c r="D103" s="6" t="s">
        <v>86</v>
      </c>
      <c r="E103" s="7">
        <v>41806</v>
      </c>
      <c r="F103" s="6" t="s">
        <v>199</v>
      </c>
      <c r="G103" s="6" t="s">
        <v>182</v>
      </c>
      <c r="H103" s="6" t="s">
        <v>632</v>
      </c>
      <c r="I103" s="6" t="s">
        <v>90</v>
      </c>
      <c r="J103" s="6" t="s">
        <v>91</v>
      </c>
      <c r="K103" s="6" t="s">
        <v>92</v>
      </c>
      <c r="L103" s="6" t="s">
        <v>90</v>
      </c>
      <c r="M103" s="6" t="s">
        <v>43</v>
      </c>
      <c r="N103" s="6" t="s">
        <v>94</v>
      </c>
      <c r="O103" s="6" t="s">
        <v>43</v>
      </c>
      <c r="P103" s="6" t="s">
        <v>122</v>
      </c>
      <c r="Q103" s="6" t="s">
        <v>565</v>
      </c>
      <c r="R103" s="6" t="s">
        <v>308</v>
      </c>
      <c r="S103" s="6" t="str">
        <f>VLOOKUP(R103,Customer_Mapping!A:B,2,FALSE)</f>
        <v>Customer_004</v>
      </c>
      <c r="T103" s="6" t="s">
        <v>283</v>
      </c>
      <c r="U103" s="6" t="s">
        <v>94</v>
      </c>
      <c r="V103" s="6" t="s">
        <v>305</v>
      </c>
      <c r="W103" s="6" t="str">
        <f>IF(U103="","",IFERROR(_xlfn.XLOOKUP(U103,Mapping!$A:$A,Mapping!$B:$B),""))</f>
        <v/>
      </c>
      <c r="X103" s="6" t="str">
        <f>IF(V103="","",IFERROR(_xlfn.XLOOKUP(V103,Mapping!$A:$A,Mapping!$B:$B),""))</f>
        <v>Project_005</v>
      </c>
      <c r="Y103" s="6" t="s">
        <v>286</v>
      </c>
      <c r="Z103" s="6" t="s">
        <v>43</v>
      </c>
    </row>
    <row r="104" spans="1:26">
      <c r="A104" s="12">
        <v>103</v>
      </c>
      <c r="B104" s="6" t="s">
        <v>633</v>
      </c>
      <c r="C104" s="6" t="s">
        <v>634</v>
      </c>
      <c r="D104" s="6" t="s">
        <v>86</v>
      </c>
      <c r="E104" s="7">
        <v>45078</v>
      </c>
      <c r="F104" s="6" t="s">
        <v>288</v>
      </c>
      <c r="G104" s="6" t="s">
        <v>175</v>
      </c>
      <c r="H104" s="6" t="s">
        <v>635</v>
      </c>
      <c r="I104" s="6" t="s">
        <v>90</v>
      </c>
      <c r="J104" s="6" t="s">
        <v>91</v>
      </c>
      <c r="K104" s="6" t="s">
        <v>92</v>
      </c>
      <c r="L104" s="6" t="s">
        <v>90</v>
      </c>
      <c r="M104" s="6" t="s">
        <v>94</v>
      </c>
      <c r="N104" s="6" t="s">
        <v>94</v>
      </c>
      <c r="O104" s="6" t="s">
        <v>131</v>
      </c>
      <c r="P104" s="6" t="s">
        <v>95</v>
      </c>
      <c r="Q104" s="6" t="s">
        <v>291</v>
      </c>
      <c r="R104" s="6" t="s">
        <v>94</v>
      </c>
      <c r="S104" s="6" t="e">
        <f>VLOOKUP(R104,Customer_Mapping!A:B,2,FALSE)</f>
        <v>#N/A</v>
      </c>
      <c r="T104" s="6" t="s">
        <v>94</v>
      </c>
      <c r="U104" s="6" t="s">
        <v>348</v>
      </c>
      <c r="V104" s="6" t="s">
        <v>94</v>
      </c>
      <c r="W104" s="6" t="str">
        <f>IF(U104="","",IFERROR(_xlfn.XLOOKUP(U104,Mapping!$A:$A,Mapping!$B:$B),""))</f>
        <v>Project_014</v>
      </c>
      <c r="X104" s="6" t="str">
        <f>IF(V104="","",IFERROR(_xlfn.XLOOKUP(V104,Mapping!$A:$A,Mapping!$B:$B),""))</f>
        <v/>
      </c>
      <c r="Y104" s="6" t="s">
        <v>94</v>
      </c>
      <c r="Z104" s="6" t="s">
        <v>94</v>
      </c>
    </row>
    <row r="105" spans="1:26">
      <c r="A105" s="12">
        <v>104</v>
      </c>
      <c r="B105" s="6" t="s">
        <v>636</v>
      </c>
      <c r="C105" s="6" t="s">
        <v>637</v>
      </c>
      <c r="D105" s="6" t="s">
        <v>86</v>
      </c>
      <c r="E105" s="7">
        <v>43952</v>
      </c>
      <c r="F105" s="6" t="s">
        <v>204</v>
      </c>
      <c r="G105" s="6" t="s">
        <v>603</v>
      </c>
      <c r="H105" s="6" t="s">
        <v>638</v>
      </c>
      <c r="I105" s="6" t="s">
        <v>90</v>
      </c>
      <c r="J105" s="6" t="s">
        <v>91</v>
      </c>
      <c r="K105" s="6" t="s">
        <v>92</v>
      </c>
      <c r="L105" s="6" t="s">
        <v>90</v>
      </c>
      <c r="M105" s="6" t="s">
        <v>43</v>
      </c>
      <c r="N105" s="6" t="s">
        <v>122</v>
      </c>
      <c r="O105" s="6" t="s">
        <v>43</v>
      </c>
      <c r="P105" s="6" t="s">
        <v>104</v>
      </c>
      <c r="Q105" s="6" t="s">
        <v>403</v>
      </c>
      <c r="R105" s="6" t="s">
        <v>351</v>
      </c>
      <c r="S105" s="6" t="str">
        <f>VLOOKUP(R105,Customer_Mapping!A:B,2,FALSE)</f>
        <v>Customer_010</v>
      </c>
      <c r="T105" s="6" t="s">
        <v>283</v>
      </c>
      <c r="U105" s="6" t="s">
        <v>434</v>
      </c>
      <c r="V105" s="6" t="s">
        <v>348</v>
      </c>
      <c r="W105" s="6" t="str">
        <f>IF(U105="","",IFERROR(_xlfn.XLOOKUP(U105,Mapping!$A:$A,Mapping!$B:$B),""))</f>
        <v>Project_024</v>
      </c>
      <c r="X105" s="6" t="str">
        <f>IF(V105="","",IFERROR(_xlfn.XLOOKUP(V105,Mapping!$A:$A,Mapping!$B:$B),""))</f>
        <v>Project_014</v>
      </c>
      <c r="Y105" s="6" t="s">
        <v>286</v>
      </c>
      <c r="Z105" s="6" t="s">
        <v>43</v>
      </c>
    </row>
    <row r="106" spans="1:26">
      <c r="A106" s="12">
        <v>105</v>
      </c>
      <c r="B106" s="6" t="s">
        <v>639</v>
      </c>
      <c r="C106" s="6" t="s">
        <v>640</v>
      </c>
      <c r="D106" s="6" t="s">
        <v>86</v>
      </c>
      <c r="E106" s="7">
        <v>44059</v>
      </c>
      <c r="F106" s="6" t="s">
        <v>204</v>
      </c>
      <c r="G106" s="6" t="s">
        <v>107</v>
      </c>
      <c r="H106" s="6" t="s">
        <v>641</v>
      </c>
      <c r="I106" s="6" t="s">
        <v>90</v>
      </c>
      <c r="J106" s="6" t="s">
        <v>91</v>
      </c>
      <c r="K106" s="6" t="s">
        <v>92</v>
      </c>
      <c r="L106" s="6" t="s">
        <v>90</v>
      </c>
      <c r="M106" s="6" t="s">
        <v>43</v>
      </c>
      <c r="N106" s="6" t="s">
        <v>122</v>
      </c>
      <c r="O106" s="6" t="s">
        <v>642</v>
      </c>
      <c r="P106" s="6" t="s">
        <v>122</v>
      </c>
      <c r="Q106" s="6" t="s">
        <v>403</v>
      </c>
      <c r="R106" s="6" t="s">
        <v>334</v>
      </c>
      <c r="S106" s="6" t="str">
        <f>VLOOKUP(R106,Customer_Mapping!A:B,2,FALSE)</f>
        <v>Customer_009</v>
      </c>
      <c r="T106" s="6" t="s">
        <v>335</v>
      </c>
      <c r="U106" s="6" t="s">
        <v>341</v>
      </c>
      <c r="V106" s="6" t="s">
        <v>434</v>
      </c>
      <c r="W106" s="6" t="str">
        <f>IF(U106="","",IFERROR(_xlfn.XLOOKUP(U106,Mapping!$A:$A,Mapping!$B:$B),""))</f>
        <v>Project_013</v>
      </c>
      <c r="X106" s="6" t="str">
        <f>IF(V106="","",IFERROR(_xlfn.XLOOKUP(V106,Mapping!$A:$A,Mapping!$B:$B),""))</f>
        <v>Project_024</v>
      </c>
      <c r="Y106" s="6" t="s">
        <v>286</v>
      </c>
      <c r="Z106" s="6" t="s">
        <v>43</v>
      </c>
    </row>
    <row r="107" spans="1:26">
      <c r="A107" s="12">
        <v>106</v>
      </c>
      <c r="B107" s="6" t="s">
        <v>643</v>
      </c>
      <c r="C107" s="6" t="s">
        <v>644</v>
      </c>
      <c r="D107" s="6" t="s">
        <v>86</v>
      </c>
      <c r="E107" s="7">
        <v>46069</v>
      </c>
      <c r="F107" s="6" t="s">
        <v>337</v>
      </c>
      <c r="G107" s="6" t="s">
        <v>94</v>
      </c>
      <c r="H107" s="6" t="s">
        <v>645</v>
      </c>
      <c r="I107" s="6" t="s">
        <v>90</v>
      </c>
      <c r="J107" s="6" t="s">
        <v>91</v>
      </c>
      <c r="K107" s="6" t="s">
        <v>92</v>
      </c>
      <c r="L107" s="6" t="s">
        <v>90</v>
      </c>
      <c r="M107" s="6" t="s">
        <v>94</v>
      </c>
      <c r="N107" s="6" t="s">
        <v>94</v>
      </c>
      <c r="O107" s="6" t="s">
        <v>131</v>
      </c>
      <c r="P107" s="6" t="s">
        <v>104</v>
      </c>
      <c r="Q107" s="6" t="s">
        <v>338</v>
      </c>
      <c r="R107" s="6" t="s">
        <v>282</v>
      </c>
      <c r="S107" s="6" t="str">
        <f>VLOOKUP(R107,Customer_Mapping!A:B,2,FALSE)</f>
        <v>Customer_001</v>
      </c>
      <c r="T107" s="6" t="s">
        <v>283</v>
      </c>
      <c r="U107" s="6" t="s">
        <v>305</v>
      </c>
      <c r="V107" s="6" t="s">
        <v>341</v>
      </c>
      <c r="W107" s="6" t="str">
        <f>IF(U107="","",IFERROR(_xlfn.XLOOKUP(U107,Mapping!$A:$A,Mapping!$B:$B),""))</f>
        <v>Project_005</v>
      </c>
      <c r="X107" s="6" t="str">
        <f>IF(V107="","",IFERROR(_xlfn.XLOOKUP(V107,Mapping!$A:$A,Mapping!$B:$B),""))</f>
        <v>Project_013</v>
      </c>
      <c r="Y107" s="6" t="s">
        <v>286</v>
      </c>
      <c r="Z107" s="6" t="s">
        <v>94</v>
      </c>
    </row>
    <row r="108" spans="1:26">
      <c r="A108" s="12">
        <v>107</v>
      </c>
      <c r="B108" s="6" t="s">
        <v>646</v>
      </c>
      <c r="C108" s="6" t="s">
        <v>647</v>
      </c>
      <c r="D108" s="6" t="s">
        <v>86</v>
      </c>
      <c r="E108" s="7">
        <v>46180</v>
      </c>
      <c r="F108" s="6" t="s">
        <v>337</v>
      </c>
      <c r="G108" s="6" t="s">
        <v>94</v>
      </c>
      <c r="H108" s="6" t="s">
        <v>94</v>
      </c>
      <c r="I108" s="6" t="s">
        <v>90</v>
      </c>
      <c r="J108" s="6" t="s">
        <v>91</v>
      </c>
      <c r="K108" s="6" t="s">
        <v>92</v>
      </c>
      <c r="L108" s="6" t="s">
        <v>90</v>
      </c>
      <c r="M108" s="6" t="s">
        <v>94</v>
      </c>
      <c r="N108" s="6" t="s">
        <v>94</v>
      </c>
      <c r="O108" s="6" t="s">
        <v>131</v>
      </c>
      <c r="P108" s="6" t="s">
        <v>104</v>
      </c>
      <c r="Q108" s="6" t="s">
        <v>338</v>
      </c>
      <c r="R108" s="6" t="s">
        <v>308</v>
      </c>
      <c r="S108" s="6" t="str">
        <f>VLOOKUP(R108,Customer_Mapping!A:B,2,FALSE)</f>
        <v>Customer_004</v>
      </c>
      <c r="T108" s="6" t="s">
        <v>283</v>
      </c>
      <c r="U108" s="6" t="s">
        <v>648</v>
      </c>
      <c r="V108" s="6" t="s">
        <v>305</v>
      </c>
      <c r="W108" s="6" t="str">
        <f>IF(U108="","",IFERROR(_xlfn.XLOOKUP(U108,Mapping!$A:$A,Mapping!$B:$B),""))</f>
        <v>Project_035</v>
      </c>
      <c r="X108" s="6" t="str">
        <f>IF(V108="","",IFERROR(_xlfn.XLOOKUP(V108,Mapping!$A:$A,Mapping!$B:$B),""))</f>
        <v>Project_005</v>
      </c>
      <c r="Y108" s="6" t="s">
        <v>286</v>
      </c>
      <c r="Z108" s="6" t="s">
        <v>94</v>
      </c>
    </row>
    <row r="109" spans="1:26">
      <c r="A109" s="12">
        <v>108</v>
      </c>
      <c r="B109" s="6" t="s">
        <v>649</v>
      </c>
      <c r="C109" s="6" t="s">
        <v>650</v>
      </c>
      <c r="D109" s="6" t="s">
        <v>86</v>
      </c>
      <c r="E109" s="7">
        <v>43359</v>
      </c>
      <c r="F109" s="6" t="s">
        <v>111</v>
      </c>
      <c r="G109" s="6" t="s">
        <v>187</v>
      </c>
      <c r="H109" s="6" t="s">
        <v>651</v>
      </c>
      <c r="I109" s="6" t="s">
        <v>90</v>
      </c>
      <c r="J109" s="6" t="s">
        <v>91</v>
      </c>
      <c r="K109" s="6" t="s">
        <v>92</v>
      </c>
      <c r="L109" s="6" t="s">
        <v>90</v>
      </c>
      <c r="M109" s="6" t="s">
        <v>103</v>
      </c>
      <c r="N109" s="6" t="s">
        <v>122</v>
      </c>
      <c r="O109" s="6" t="s">
        <v>117</v>
      </c>
      <c r="P109" s="6" t="s">
        <v>122</v>
      </c>
      <c r="Q109" s="6" t="s">
        <v>418</v>
      </c>
      <c r="R109" s="6" t="s">
        <v>652</v>
      </c>
      <c r="S109" s="6" t="str">
        <f>VLOOKUP(R109,Customer_Mapping!A:B,2,FALSE)</f>
        <v>Customer_018</v>
      </c>
      <c r="T109" s="6" t="s">
        <v>283</v>
      </c>
      <c r="U109" s="6" t="s">
        <v>653</v>
      </c>
      <c r="V109" s="6" t="s">
        <v>648</v>
      </c>
      <c r="W109" s="6" t="str">
        <f>IF(U109="","",IFERROR(_xlfn.XLOOKUP(U109,Mapping!$A:$A,Mapping!$B:$B),""))</f>
        <v>Project_036</v>
      </c>
      <c r="X109" s="6" t="str">
        <f>IF(V109="","",IFERROR(_xlfn.XLOOKUP(V109,Mapping!$A:$A,Mapping!$B:$B),""))</f>
        <v>Project_035</v>
      </c>
      <c r="Y109" s="6" t="s">
        <v>286</v>
      </c>
      <c r="Z109" s="6" t="s">
        <v>103</v>
      </c>
    </row>
    <row r="110" spans="1:26">
      <c r="A110" s="12">
        <v>109</v>
      </c>
      <c r="B110" s="6" t="s">
        <v>654</v>
      </c>
      <c r="C110" s="6" t="s">
        <v>655</v>
      </c>
      <c r="D110" s="6" t="s">
        <v>86</v>
      </c>
      <c r="E110" s="7">
        <v>45276</v>
      </c>
      <c r="F110" s="6" t="s">
        <v>204</v>
      </c>
      <c r="G110" s="6" t="s">
        <v>151</v>
      </c>
      <c r="H110" s="6" t="s">
        <v>656</v>
      </c>
      <c r="I110" s="6" t="s">
        <v>90</v>
      </c>
      <c r="J110" s="6" t="s">
        <v>91</v>
      </c>
      <c r="K110" s="6" t="s">
        <v>92</v>
      </c>
      <c r="L110" s="6" t="s">
        <v>90</v>
      </c>
      <c r="M110" s="6" t="s">
        <v>94</v>
      </c>
      <c r="N110" s="6" t="s">
        <v>94</v>
      </c>
      <c r="O110" s="6" t="s">
        <v>642</v>
      </c>
      <c r="P110" s="6" t="s">
        <v>95</v>
      </c>
      <c r="Q110" s="6" t="s">
        <v>403</v>
      </c>
      <c r="R110" s="6" t="s">
        <v>334</v>
      </c>
      <c r="S110" s="6" t="str">
        <f>VLOOKUP(R110,Customer_Mapping!A:B,2,FALSE)</f>
        <v>Customer_009</v>
      </c>
      <c r="T110" s="6" t="s">
        <v>335</v>
      </c>
      <c r="U110" s="6" t="s">
        <v>341</v>
      </c>
      <c r="V110" s="6" t="s">
        <v>653</v>
      </c>
      <c r="W110" s="6" t="str">
        <f>IF(U110="","",IFERROR(_xlfn.XLOOKUP(U110,Mapping!$A:$A,Mapping!$B:$B),""))</f>
        <v>Project_013</v>
      </c>
      <c r="X110" s="6" t="str">
        <f>IF(V110="","",IFERROR(_xlfn.XLOOKUP(V110,Mapping!$A:$A,Mapping!$B:$B),""))</f>
        <v>Project_036</v>
      </c>
      <c r="Y110" s="6" t="s">
        <v>286</v>
      </c>
      <c r="Z110" s="6" t="s">
        <v>94</v>
      </c>
    </row>
    <row r="111" spans="1:26">
      <c r="A111" s="12">
        <v>110</v>
      </c>
      <c r="B111" s="6" t="s">
        <v>657</v>
      </c>
      <c r="C111" s="6" t="s">
        <v>658</v>
      </c>
      <c r="D111" s="6" t="s">
        <v>86</v>
      </c>
      <c r="E111" s="7">
        <v>45215</v>
      </c>
      <c r="F111" s="6" t="s">
        <v>111</v>
      </c>
      <c r="G111" s="6" t="s">
        <v>495</v>
      </c>
      <c r="H111" s="6" t="s">
        <v>659</v>
      </c>
      <c r="I111" s="6" t="s">
        <v>90</v>
      </c>
      <c r="J111" s="6" t="s">
        <v>91</v>
      </c>
      <c r="K111" s="6" t="s">
        <v>92</v>
      </c>
      <c r="L111" s="6" t="s">
        <v>90</v>
      </c>
      <c r="M111" s="6" t="s">
        <v>136</v>
      </c>
      <c r="N111" s="6" t="s">
        <v>95</v>
      </c>
      <c r="O111" s="6" t="s">
        <v>136</v>
      </c>
      <c r="P111" s="6" t="s">
        <v>122</v>
      </c>
      <c r="Q111" s="6" t="s">
        <v>418</v>
      </c>
      <c r="R111" s="6" t="s">
        <v>282</v>
      </c>
      <c r="S111" s="6" t="str">
        <f>VLOOKUP(R111,Customer_Mapping!A:B,2,FALSE)</f>
        <v>Customer_001</v>
      </c>
      <c r="T111" s="6" t="s">
        <v>283</v>
      </c>
      <c r="U111" s="6" t="s">
        <v>301</v>
      </c>
      <c r="V111" s="6" t="s">
        <v>341</v>
      </c>
      <c r="W111" s="6" t="str">
        <f>IF(U111="","",IFERROR(_xlfn.XLOOKUP(U111,Mapping!$A:$A,Mapping!$B:$B),""))</f>
        <v>Project_004</v>
      </c>
      <c r="X111" s="6" t="str">
        <f>IF(V111="","",IFERROR(_xlfn.XLOOKUP(V111,Mapping!$A:$A,Mapping!$B:$B),""))</f>
        <v>Project_013</v>
      </c>
      <c r="Y111" s="6" t="s">
        <v>286</v>
      </c>
      <c r="Z111" s="6" t="s">
        <v>136</v>
      </c>
    </row>
    <row r="112" spans="1:26">
      <c r="A112" s="12">
        <v>111</v>
      </c>
      <c r="B112" s="6" t="s">
        <v>660</v>
      </c>
      <c r="C112" s="6" t="s">
        <v>661</v>
      </c>
      <c r="D112" s="6" t="s">
        <v>86</v>
      </c>
      <c r="E112" s="7">
        <v>45824</v>
      </c>
      <c r="F112" s="6" t="s">
        <v>337</v>
      </c>
      <c r="G112" s="6" t="s">
        <v>94</v>
      </c>
      <c r="H112" s="6" t="s">
        <v>94</v>
      </c>
      <c r="I112" s="6" t="s">
        <v>90</v>
      </c>
      <c r="J112" s="6" t="s">
        <v>91</v>
      </c>
      <c r="K112" s="6" t="s">
        <v>92</v>
      </c>
      <c r="L112" s="6" t="s">
        <v>90</v>
      </c>
      <c r="M112" s="6" t="s">
        <v>94</v>
      </c>
      <c r="N112" s="6" t="s">
        <v>94</v>
      </c>
      <c r="O112" s="6" t="s">
        <v>136</v>
      </c>
      <c r="P112" s="6" t="s">
        <v>104</v>
      </c>
      <c r="Q112" s="6" t="s">
        <v>338</v>
      </c>
      <c r="R112" s="6" t="s">
        <v>282</v>
      </c>
      <c r="S112" s="6" t="str">
        <f>VLOOKUP(R112,Customer_Mapping!A:B,2,FALSE)</f>
        <v>Customer_001</v>
      </c>
      <c r="T112" s="6" t="s">
        <v>283</v>
      </c>
      <c r="U112" s="6" t="s">
        <v>301</v>
      </c>
      <c r="V112" s="6" t="s">
        <v>301</v>
      </c>
      <c r="W112" s="6" t="str">
        <f>IF(U112="","",IFERROR(_xlfn.XLOOKUP(U112,Mapping!$A:$A,Mapping!$B:$B),""))</f>
        <v>Project_004</v>
      </c>
      <c r="X112" s="6" t="str">
        <f>IF(V112="","",IFERROR(_xlfn.XLOOKUP(V112,Mapping!$A:$A,Mapping!$B:$B),""))</f>
        <v>Project_004</v>
      </c>
      <c r="Y112" s="6" t="s">
        <v>286</v>
      </c>
      <c r="Z112" s="6" t="s">
        <v>94</v>
      </c>
    </row>
    <row r="113" spans="1:26">
      <c r="A113" s="12">
        <v>112</v>
      </c>
      <c r="B113" s="6" t="s">
        <v>662</v>
      </c>
      <c r="C113" s="6" t="s">
        <v>663</v>
      </c>
      <c r="D113" s="6" t="s">
        <v>86</v>
      </c>
      <c r="E113" s="7">
        <v>44485</v>
      </c>
      <c r="F113" s="6" t="s">
        <v>288</v>
      </c>
      <c r="G113" s="6" t="s">
        <v>175</v>
      </c>
      <c r="H113" s="6" t="s">
        <v>664</v>
      </c>
      <c r="I113" s="6" t="s">
        <v>90</v>
      </c>
      <c r="J113" s="6" t="s">
        <v>91</v>
      </c>
      <c r="K113" s="6" t="s">
        <v>92</v>
      </c>
      <c r="L113" s="6" t="s">
        <v>90</v>
      </c>
      <c r="M113" s="6" t="s">
        <v>136</v>
      </c>
      <c r="N113" s="6" t="s">
        <v>94</v>
      </c>
      <c r="O113" s="6" t="s">
        <v>131</v>
      </c>
      <c r="P113" s="6" t="s">
        <v>95</v>
      </c>
      <c r="Q113" s="6" t="s">
        <v>291</v>
      </c>
      <c r="R113" s="6" t="s">
        <v>282</v>
      </c>
      <c r="S113" s="6" t="str">
        <f>VLOOKUP(R113,Customer_Mapping!A:B,2,FALSE)</f>
        <v>Customer_001</v>
      </c>
      <c r="T113" s="6" t="s">
        <v>283</v>
      </c>
      <c r="U113" s="6" t="s">
        <v>348</v>
      </c>
      <c r="V113" s="6" t="s">
        <v>301</v>
      </c>
      <c r="W113" s="6" t="str">
        <f>IF(U113="","",IFERROR(_xlfn.XLOOKUP(U113,Mapping!$A:$A,Mapping!$B:$B),""))</f>
        <v>Project_014</v>
      </c>
      <c r="X113" s="6" t="str">
        <f>IF(V113="","",IFERROR(_xlfn.XLOOKUP(V113,Mapping!$A:$A,Mapping!$B:$B),""))</f>
        <v>Project_004</v>
      </c>
      <c r="Y113" s="6" t="s">
        <v>286</v>
      </c>
      <c r="Z113" s="6" t="s">
        <v>136</v>
      </c>
    </row>
    <row r="114" spans="1:26">
      <c r="A114" s="12">
        <v>113</v>
      </c>
      <c r="B114" s="6" t="s">
        <v>665</v>
      </c>
      <c r="C114" s="6" t="s">
        <v>666</v>
      </c>
      <c r="D114" s="6" t="s">
        <v>86</v>
      </c>
      <c r="E114" s="7">
        <v>45123</v>
      </c>
      <c r="F114" s="6" t="s">
        <v>430</v>
      </c>
      <c r="G114" s="6" t="s">
        <v>526</v>
      </c>
      <c r="H114" s="6" t="s">
        <v>667</v>
      </c>
      <c r="I114" s="6" t="s">
        <v>90</v>
      </c>
      <c r="J114" s="6" t="s">
        <v>91</v>
      </c>
      <c r="K114" s="6" t="s">
        <v>92</v>
      </c>
      <c r="L114" s="6" t="s">
        <v>90</v>
      </c>
      <c r="M114" s="6" t="s">
        <v>103</v>
      </c>
      <c r="N114" s="6" t="s">
        <v>122</v>
      </c>
      <c r="O114" s="6" t="s">
        <v>103</v>
      </c>
      <c r="P114" s="6" t="s">
        <v>122</v>
      </c>
      <c r="Q114" s="6" t="s">
        <v>433</v>
      </c>
      <c r="R114" s="6" t="s">
        <v>351</v>
      </c>
      <c r="S114" s="6" t="str">
        <f>VLOOKUP(R114,Customer_Mapping!A:B,2,FALSE)</f>
        <v>Customer_010</v>
      </c>
      <c r="T114" s="6" t="s">
        <v>283</v>
      </c>
      <c r="U114" s="6" t="s">
        <v>668</v>
      </c>
      <c r="V114" s="6" t="s">
        <v>348</v>
      </c>
      <c r="W114" s="6" t="str">
        <f>IF(U114="","",IFERROR(_xlfn.XLOOKUP(U114,Mapping!$A:$A,Mapping!$B:$B),""))</f>
        <v>Project_037</v>
      </c>
      <c r="X114" s="6" t="str">
        <f>IF(V114="","",IFERROR(_xlfn.XLOOKUP(V114,Mapping!$A:$A,Mapping!$B:$B),""))</f>
        <v>Project_014</v>
      </c>
      <c r="Y114" s="6" t="s">
        <v>286</v>
      </c>
      <c r="Z114" s="6" t="s">
        <v>103</v>
      </c>
    </row>
    <row r="115" spans="1:26">
      <c r="A115" s="12">
        <v>114</v>
      </c>
      <c r="B115" s="6" t="s">
        <v>669</v>
      </c>
      <c r="C115" s="6" t="s">
        <v>670</v>
      </c>
      <c r="D115" s="6" t="s">
        <v>86</v>
      </c>
      <c r="E115" s="7">
        <v>45984</v>
      </c>
      <c r="F115" s="6" t="s">
        <v>100</v>
      </c>
      <c r="G115" s="6" t="s">
        <v>94</v>
      </c>
      <c r="H115" s="6" t="s">
        <v>94</v>
      </c>
      <c r="I115" s="6" t="s">
        <v>213</v>
      </c>
      <c r="J115" s="6" t="s">
        <v>91</v>
      </c>
      <c r="K115" s="6" t="s">
        <v>92</v>
      </c>
      <c r="L115" s="6" t="s">
        <v>213</v>
      </c>
      <c r="M115" s="6" t="s">
        <v>94</v>
      </c>
      <c r="N115" s="6" t="s">
        <v>94</v>
      </c>
      <c r="O115" s="6" t="s">
        <v>27</v>
      </c>
      <c r="P115" s="6" t="s">
        <v>95</v>
      </c>
      <c r="Q115" s="6" t="s">
        <v>304</v>
      </c>
      <c r="R115" s="6" t="s">
        <v>671</v>
      </c>
      <c r="S115" s="6" t="str">
        <f>VLOOKUP(R115,Customer_Mapping!A:B,2,FALSE)</f>
        <v>Customer_019</v>
      </c>
      <c r="T115" s="6" t="s">
        <v>283</v>
      </c>
      <c r="U115" s="6" t="s">
        <v>387</v>
      </c>
      <c r="V115" s="6" t="s">
        <v>668</v>
      </c>
      <c r="W115" s="6" t="str">
        <f>IF(U115="","",IFERROR(_xlfn.XLOOKUP(U115,Mapping!$A:$A,Mapping!$B:$B),""))</f>
        <v>Project_020</v>
      </c>
      <c r="X115" s="6" t="str">
        <f>IF(V115="","",IFERROR(_xlfn.XLOOKUP(V115,Mapping!$A:$A,Mapping!$B:$B),""))</f>
        <v>Project_037</v>
      </c>
      <c r="Y115" s="6" t="s">
        <v>286</v>
      </c>
      <c r="Z115" s="6" t="s">
        <v>94</v>
      </c>
    </row>
    <row r="116" spans="1:26">
      <c r="A116" s="12">
        <v>115</v>
      </c>
      <c r="B116" s="6" t="s">
        <v>672</v>
      </c>
      <c r="C116" s="6" t="s">
        <v>673</v>
      </c>
      <c r="D116" s="6" t="s">
        <v>86</v>
      </c>
      <c r="E116" s="7">
        <v>44553</v>
      </c>
      <c r="F116" s="6" t="s">
        <v>4</v>
      </c>
      <c r="G116" s="6" t="s">
        <v>389</v>
      </c>
      <c r="H116" s="6" t="s">
        <v>674</v>
      </c>
      <c r="I116" s="6" t="s">
        <v>90</v>
      </c>
      <c r="J116" s="6" t="s">
        <v>91</v>
      </c>
      <c r="K116" s="6" t="s">
        <v>92</v>
      </c>
      <c r="L116" s="6" t="s">
        <v>90</v>
      </c>
      <c r="M116" s="6" t="s">
        <v>675</v>
      </c>
      <c r="N116" s="6" t="s">
        <v>122</v>
      </c>
      <c r="O116" s="6" t="s">
        <v>93</v>
      </c>
      <c r="P116" s="6" t="s">
        <v>122</v>
      </c>
      <c r="Q116" s="6" t="s">
        <v>399</v>
      </c>
      <c r="R116" s="6" t="s">
        <v>391</v>
      </c>
      <c r="S116" s="6" t="str">
        <f>VLOOKUP(R116,Customer_Mapping!A:B,2,FALSE)</f>
        <v>Customer_014</v>
      </c>
      <c r="T116" s="6" t="s">
        <v>386</v>
      </c>
      <c r="U116" s="6" t="s">
        <v>348</v>
      </c>
      <c r="V116" s="6" t="s">
        <v>387</v>
      </c>
      <c r="W116" s="6" t="str">
        <f>IF(U116="","",IFERROR(_xlfn.XLOOKUP(U116,Mapping!$A:$A,Mapping!$B:$B),""))</f>
        <v>Project_014</v>
      </c>
      <c r="X116" s="6" t="str">
        <f>IF(V116="","",IFERROR(_xlfn.XLOOKUP(V116,Mapping!$A:$A,Mapping!$B:$B),""))</f>
        <v>Project_020</v>
      </c>
      <c r="Y116" s="6" t="s">
        <v>286</v>
      </c>
      <c r="Z116" s="6" t="s">
        <v>675</v>
      </c>
    </row>
    <row r="117" spans="1:26">
      <c r="A117" s="12">
        <v>116</v>
      </c>
      <c r="B117" s="6" t="s">
        <v>676</v>
      </c>
      <c r="C117" s="6" t="s">
        <v>677</v>
      </c>
      <c r="D117" s="6" t="s">
        <v>86</v>
      </c>
      <c r="E117" s="7">
        <v>44455</v>
      </c>
      <c r="F117" s="6" t="s">
        <v>111</v>
      </c>
      <c r="G117" s="6" t="s">
        <v>146</v>
      </c>
      <c r="H117" s="6" t="s">
        <v>678</v>
      </c>
      <c r="I117" s="6" t="s">
        <v>90</v>
      </c>
      <c r="J117" s="6" t="s">
        <v>91</v>
      </c>
      <c r="K117" s="6" t="s">
        <v>92</v>
      </c>
      <c r="L117" s="6" t="s">
        <v>90</v>
      </c>
      <c r="M117" s="6" t="s">
        <v>131</v>
      </c>
      <c r="N117" s="6" t="s">
        <v>95</v>
      </c>
      <c r="O117" s="6" t="s">
        <v>184</v>
      </c>
      <c r="P117" s="6" t="s">
        <v>104</v>
      </c>
      <c r="Q117" s="6" t="s">
        <v>418</v>
      </c>
      <c r="R117" s="6" t="s">
        <v>351</v>
      </c>
      <c r="S117" s="6" t="str">
        <f>VLOOKUP(R117,Customer_Mapping!A:B,2,FALSE)</f>
        <v>Customer_010</v>
      </c>
      <c r="T117" s="6" t="s">
        <v>283</v>
      </c>
      <c r="U117" s="6" t="s">
        <v>679</v>
      </c>
      <c r="V117" s="6" t="s">
        <v>348</v>
      </c>
      <c r="W117" s="6" t="str">
        <f>IF(U117="","",IFERROR(_xlfn.XLOOKUP(U117,Mapping!$A:$A,Mapping!$B:$B),""))</f>
        <v>Project_038</v>
      </c>
      <c r="X117" s="6" t="str">
        <f>IF(V117="","",IFERROR(_xlfn.XLOOKUP(V117,Mapping!$A:$A,Mapping!$B:$B),""))</f>
        <v>Project_014</v>
      </c>
      <c r="Y117" s="6" t="s">
        <v>286</v>
      </c>
      <c r="Z117" s="6" t="s">
        <v>131</v>
      </c>
    </row>
    <row r="118" spans="1:26">
      <c r="A118" s="12">
        <v>117</v>
      </c>
      <c r="B118" s="6" t="s">
        <v>680</v>
      </c>
      <c r="C118" s="6" t="s">
        <v>681</v>
      </c>
      <c r="D118" s="6" t="s">
        <v>86</v>
      </c>
      <c r="E118" s="7">
        <v>44485</v>
      </c>
      <c r="F118" s="6" t="s">
        <v>87</v>
      </c>
      <c r="G118" s="6" t="s">
        <v>120</v>
      </c>
      <c r="H118" s="6" t="s">
        <v>682</v>
      </c>
      <c r="I118" s="6" t="s">
        <v>90</v>
      </c>
      <c r="J118" s="6" t="s">
        <v>91</v>
      </c>
      <c r="K118" s="6" t="s">
        <v>92</v>
      </c>
      <c r="L118" s="6" t="s">
        <v>90</v>
      </c>
      <c r="M118" s="6" t="s">
        <v>93</v>
      </c>
      <c r="N118" s="6" t="s">
        <v>122</v>
      </c>
      <c r="O118" s="6" t="s">
        <v>93</v>
      </c>
      <c r="P118" s="6" t="s">
        <v>95</v>
      </c>
      <c r="Q118" s="6" t="s">
        <v>490</v>
      </c>
      <c r="R118" s="6" t="s">
        <v>282</v>
      </c>
      <c r="S118" s="6" t="str">
        <f>VLOOKUP(R118,Customer_Mapping!A:B,2,FALSE)</f>
        <v>Customer_001</v>
      </c>
      <c r="T118" s="6" t="s">
        <v>283</v>
      </c>
      <c r="U118" s="6" t="s">
        <v>301</v>
      </c>
      <c r="V118" s="6" t="s">
        <v>679</v>
      </c>
      <c r="W118" s="6" t="str">
        <f>IF(U118="","",IFERROR(_xlfn.XLOOKUP(U118,Mapping!$A:$A,Mapping!$B:$B),""))</f>
        <v>Project_004</v>
      </c>
      <c r="X118" s="6" t="str">
        <f>IF(V118="","",IFERROR(_xlfn.XLOOKUP(V118,Mapping!$A:$A,Mapping!$B:$B),""))</f>
        <v>Project_038</v>
      </c>
      <c r="Y118" s="6" t="s">
        <v>286</v>
      </c>
      <c r="Z118" s="6" t="s">
        <v>93</v>
      </c>
    </row>
    <row r="119" spans="1:26">
      <c r="A119" s="12">
        <v>118</v>
      </c>
      <c r="B119" s="6" t="s">
        <v>683</v>
      </c>
      <c r="C119" s="6" t="s">
        <v>684</v>
      </c>
      <c r="D119" s="6" t="s">
        <v>86</v>
      </c>
      <c r="E119" s="7">
        <v>45748</v>
      </c>
      <c r="F119" s="6" t="s">
        <v>204</v>
      </c>
      <c r="G119" s="6" t="s">
        <v>94</v>
      </c>
      <c r="H119" s="6" t="s">
        <v>162</v>
      </c>
      <c r="I119" s="6" t="s">
        <v>90</v>
      </c>
      <c r="J119" s="6" t="s">
        <v>91</v>
      </c>
      <c r="K119" s="6" t="s">
        <v>92</v>
      </c>
      <c r="L119" s="6" t="s">
        <v>90</v>
      </c>
      <c r="M119" s="6" t="s">
        <v>94</v>
      </c>
      <c r="N119" s="6" t="s">
        <v>94</v>
      </c>
      <c r="O119" s="6" t="s">
        <v>43</v>
      </c>
      <c r="P119" s="6" t="s">
        <v>104</v>
      </c>
      <c r="Q119" s="6" t="s">
        <v>403</v>
      </c>
      <c r="R119" s="6" t="s">
        <v>282</v>
      </c>
      <c r="S119" s="6" t="str">
        <f>VLOOKUP(R119,Customer_Mapping!A:B,2,FALSE)</f>
        <v>Customer_001</v>
      </c>
      <c r="T119" s="6" t="s">
        <v>283</v>
      </c>
      <c r="U119" s="6" t="s">
        <v>348</v>
      </c>
      <c r="V119" s="6" t="s">
        <v>301</v>
      </c>
      <c r="W119" s="6" t="str">
        <f>IF(U119="","",IFERROR(_xlfn.XLOOKUP(U119,Mapping!$A:$A,Mapping!$B:$B),""))</f>
        <v>Project_014</v>
      </c>
      <c r="X119" s="6" t="str">
        <f>IF(V119="","",IFERROR(_xlfn.XLOOKUP(V119,Mapping!$A:$A,Mapping!$B:$B),""))</f>
        <v>Project_004</v>
      </c>
      <c r="Y119" s="6" t="s">
        <v>286</v>
      </c>
      <c r="Z119" s="6" t="s">
        <v>94</v>
      </c>
    </row>
    <row r="120" spans="1:26">
      <c r="A120" s="12">
        <v>119</v>
      </c>
      <c r="B120" s="6" t="s">
        <v>685</v>
      </c>
      <c r="C120" s="6" t="s">
        <v>686</v>
      </c>
      <c r="D120" s="6" t="s">
        <v>86</v>
      </c>
      <c r="E120" s="7">
        <v>44933</v>
      </c>
      <c r="F120" s="6" t="s">
        <v>111</v>
      </c>
      <c r="G120" s="6" t="s">
        <v>311</v>
      </c>
      <c r="H120" s="6" t="s">
        <v>687</v>
      </c>
      <c r="I120" s="6" t="s">
        <v>90</v>
      </c>
      <c r="J120" s="6" t="s">
        <v>91</v>
      </c>
      <c r="K120" s="6" t="s">
        <v>92</v>
      </c>
      <c r="L120" s="6" t="s">
        <v>90</v>
      </c>
      <c r="M120" s="6" t="s">
        <v>675</v>
      </c>
      <c r="N120" s="6" t="s">
        <v>95</v>
      </c>
      <c r="O120" s="6" t="s">
        <v>550</v>
      </c>
      <c r="P120" s="6" t="s">
        <v>122</v>
      </c>
      <c r="Q120" s="6" t="s">
        <v>281</v>
      </c>
      <c r="R120" s="6" t="s">
        <v>351</v>
      </c>
      <c r="S120" s="6" t="str">
        <f>VLOOKUP(R120,Customer_Mapping!A:B,2,FALSE)</f>
        <v>Customer_010</v>
      </c>
      <c r="T120" s="6" t="s">
        <v>283</v>
      </c>
      <c r="U120" s="6" t="s">
        <v>284</v>
      </c>
      <c r="V120" s="6" t="s">
        <v>348</v>
      </c>
      <c r="W120" s="6" t="str">
        <f>IF(U120="","",IFERROR(_xlfn.XLOOKUP(U120,Mapping!$A:$A,Mapping!$B:$B),""))</f>
        <v>Project_001</v>
      </c>
      <c r="X120" s="6" t="str">
        <f>IF(V120="","",IFERROR(_xlfn.XLOOKUP(V120,Mapping!$A:$A,Mapping!$B:$B),""))</f>
        <v>Project_014</v>
      </c>
      <c r="Y120" s="6" t="s">
        <v>286</v>
      </c>
      <c r="Z120" s="6" t="s">
        <v>675</v>
      </c>
    </row>
    <row r="121" spans="1:26">
      <c r="A121" s="12">
        <v>120</v>
      </c>
      <c r="B121" s="6" t="s">
        <v>688</v>
      </c>
      <c r="C121" s="6" t="s">
        <v>689</v>
      </c>
      <c r="D121" s="6" t="s">
        <v>86</v>
      </c>
      <c r="E121" s="7">
        <v>44827</v>
      </c>
      <c r="F121" s="6" t="s">
        <v>111</v>
      </c>
      <c r="G121" s="6" t="s">
        <v>294</v>
      </c>
      <c r="H121" s="6" t="s">
        <v>690</v>
      </c>
      <c r="I121" s="6" t="s">
        <v>90</v>
      </c>
      <c r="J121" s="6" t="s">
        <v>91</v>
      </c>
      <c r="K121" s="6" t="s">
        <v>92</v>
      </c>
      <c r="L121" s="6" t="s">
        <v>90</v>
      </c>
      <c r="M121" s="6" t="s">
        <v>131</v>
      </c>
      <c r="N121" s="6" t="s">
        <v>122</v>
      </c>
      <c r="O121" s="6" t="s">
        <v>131</v>
      </c>
      <c r="P121" s="6" t="s">
        <v>122</v>
      </c>
      <c r="Q121" s="6" t="s">
        <v>418</v>
      </c>
      <c r="R121" s="6" t="s">
        <v>282</v>
      </c>
      <c r="S121" s="6" t="str">
        <f>VLOOKUP(R121,Customer_Mapping!A:B,2,FALSE)</f>
        <v>Customer_001</v>
      </c>
      <c r="T121" s="6" t="s">
        <v>283</v>
      </c>
      <c r="U121" s="6" t="s">
        <v>387</v>
      </c>
      <c r="V121" s="6" t="s">
        <v>284</v>
      </c>
      <c r="W121" s="6" t="str">
        <f>IF(U121="","",IFERROR(_xlfn.XLOOKUP(U121,Mapping!$A:$A,Mapping!$B:$B),""))</f>
        <v>Project_020</v>
      </c>
      <c r="X121" s="6" t="str">
        <f>IF(V121="","",IFERROR(_xlfn.XLOOKUP(V121,Mapping!$A:$A,Mapping!$B:$B),""))</f>
        <v>Project_001</v>
      </c>
      <c r="Y121" s="6" t="s">
        <v>286</v>
      </c>
      <c r="Z121" s="6" t="s">
        <v>131</v>
      </c>
    </row>
    <row r="122" spans="1:26">
      <c r="A122" s="12">
        <v>121</v>
      </c>
      <c r="B122" s="6" t="s">
        <v>691</v>
      </c>
      <c r="C122" s="6" t="s">
        <v>692</v>
      </c>
      <c r="D122" s="6" t="s">
        <v>86</v>
      </c>
      <c r="E122" s="7">
        <v>46158</v>
      </c>
      <c r="F122" s="6" t="s">
        <v>288</v>
      </c>
      <c r="G122" s="6" t="s">
        <v>94</v>
      </c>
      <c r="H122" s="6" t="s">
        <v>94</v>
      </c>
      <c r="I122" s="6" t="s">
        <v>90</v>
      </c>
      <c r="J122" s="6" t="s">
        <v>91</v>
      </c>
      <c r="K122" s="6" t="s">
        <v>92</v>
      </c>
      <c r="L122" s="6" t="s">
        <v>90</v>
      </c>
      <c r="M122" s="6" t="s">
        <v>94</v>
      </c>
      <c r="N122" s="6" t="s">
        <v>94</v>
      </c>
      <c r="O122" s="6" t="s">
        <v>94</v>
      </c>
      <c r="P122" s="6" t="s">
        <v>94</v>
      </c>
      <c r="Q122" s="6" t="s">
        <v>291</v>
      </c>
      <c r="R122" s="6" t="s">
        <v>391</v>
      </c>
      <c r="S122" s="6" t="str">
        <f>VLOOKUP(R122,Customer_Mapping!A:B,2,FALSE)</f>
        <v>Customer_014</v>
      </c>
      <c r="T122" s="6" t="s">
        <v>386</v>
      </c>
      <c r="U122" s="6" t="s">
        <v>387</v>
      </c>
      <c r="V122" s="6" t="s">
        <v>387</v>
      </c>
      <c r="W122" s="6" t="str">
        <f>IF(U122="","",IFERROR(_xlfn.XLOOKUP(U122,Mapping!$A:$A,Mapping!$B:$B),""))</f>
        <v>Project_020</v>
      </c>
      <c r="X122" s="6" t="str">
        <f>IF(V122="","",IFERROR(_xlfn.XLOOKUP(V122,Mapping!$A:$A,Mapping!$B:$B),""))</f>
        <v>Project_020</v>
      </c>
      <c r="Y122" s="6" t="s">
        <v>286</v>
      </c>
      <c r="Z122" s="6" t="s">
        <v>94</v>
      </c>
    </row>
    <row r="123" spans="1:26">
      <c r="A123" s="12">
        <v>122</v>
      </c>
      <c r="B123" s="6" t="s">
        <v>693</v>
      </c>
      <c r="C123" s="6" t="s">
        <v>694</v>
      </c>
      <c r="D123" s="6" t="s">
        <v>86</v>
      </c>
      <c r="E123" s="7">
        <v>40072</v>
      </c>
      <c r="F123" s="6" t="s">
        <v>87</v>
      </c>
      <c r="G123" s="6" t="s">
        <v>94</v>
      </c>
      <c r="H123" s="6" t="s">
        <v>695</v>
      </c>
      <c r="I123" s="6" t="s">
        <v>213</v>
      </c>
      <c r="J123" s="6" t="s">
        <v>91</v>
      </c>
      <c r="K123" s="6" t="s">
        <v>92</v>
      </c>
      <c r="L123" s="6" t="s">
        <v>213</v>
      </c>
      <c r="M123" s="6" t="s">
        <v>696</v>
      </c>
      <c r="N123" s="6" t="s">
        <v>94</v>
      </c>
      <c r="O123" s="6" t="s">
        <v>117</v>
      </c>
      <c r="P123" s="6" t="s">
        <v>104</v>
      </c>
      <c r="Q123" s="6" t="s">
        <v>697</v>
      </c>
      <c r="R123" s="6" t="s">
        <v>391</v>
      </c>
      <c r="S123" s="6" t="str">
        <f>VLOOKUP(R123,Customer_Mapping!A:B,2,FALSE)</f>
        <v>Customer_014</v>
      </c>
      <c r="T123" s="6" t="s">
        <v>386</v>
      </c>
      <c r="U123" s="6" t="s">
        <v>501</v>
      </c>
      <c r="V123" s="6" t="s">
        <v>387</v>
      </c>
      <c r="W123" s="6" t="str">
        <f>IF(U123="","",IFERROR(_xlfn.XLOOKUP(U123,Mapping!$A:$A,Mapping!$B:$B),""))</f>
        <v>Project_029</v>
      </c>
      <c r="X123" s="6" t="str">
        <f>IF(V123="","",IFERROR(_xlfn.XLOOKUP(V123,Mapping!$A:$A,Mapping!$B:$B),""))</f>
        <v>Project_020</v>
      </c>
      <c r="Y123" s="6" t="s">
        <v>286</v>
      </c>
      <c r="Z123" s="6" t="s">
        <v>696</v>
      </c>
    </row>
    <row r="124" spans="1:26">
      <c r="A124" s="12">
        <v>123</v>
      </c>
      <c r="B124" s="6" t="s">
        <v>698</v>
      </c>
      <c r="C124" s="6" t="s">
        <v>699</v>
      </c>
      <c r="D124" s="6" t="s">
        <v>86</v>
      </c>
      <c r="E124" s="7">
        <v>44492</v>
      </c>
      <c r="F124" s="6" t="s">
        <v>111</v>
      </c>
      <c r="G124" s="6" t="s">
        <v>420</v>
      </c>
      <c r="H124" s="6" t="s">
        <v>700</v>
      </c>
      <c r="I124" s="6" t="s">
        <v>90</v>
      </c>
      <c r="J124" s="6" t="s">
        <v>91</v>
      </c>
      <c r="K124" s="6" t="s">
        <v>92</v>
      </c>
      <c r="L124" s="6" t="s">
        <v>90</v>
      </c>
      <c r="M124" s="6" t="s">
        <v>131</v>
      </c>
      <c r="N124" s="6" t="s">
        <v>94</v>
      </c>
      <c r="O124" s="6" t="s">
        <v>136</v>
      </c>
      <c r="P124" s="6" t="s">
        <v>95</v>
      </c>
      <c r="Q124" s="6" t="s">
        <v>281</v>
      </c>
      <c r="R124" s="6" t="s">
        <v>334</v>
      </c>
      <c r="S124" s="6" t="str">
        <f>VLOOKUP(R124,Customer_Mapping!A:B,2,FALSE)</f>
        <v>Customer_009</v>
      </c>
      <c r="T124" s="6" t="s">
        <v>335</v>
      </c>
      <c r="U124" s="6" t="s">
        <v>298</v>
      </c>
      <c r="V124" s="6" t="s">
        <v>501</v>
      </c>
      <c r="W124" s="6" t="str">
        <f>IF(U124="","",IFERROR(_xlfn.XLOOKUP(U124,Mapping!$A:$A,Mapping!$B:$B),""))</f>
        <v>Project_003</v>
      </c>
      <c r="X124" s="6" t="str">
        <f>IF(V124="","",IFERROR(_xlfn.XLOOKUP(V124,Mapping!$A:$A,Mapping!$B:$B),""))</f>
        <v>Project_029</v>
      </c>
      <c r="Y124" s="6" t="s">
        <v>286</v>
      </c>
      <c r="Z124" s="6" t="s">
        <v>131</v>
      </c>
    </row>
    <row r="125" spans="1:26">
      <c r="A125" s="12">
        <v>124</v>
      </c>
      <c r="B125" s="6" t="s">
        <v>701</v>
      </c>
      <c r="C125" s="6" t="s">
        <v>702</v>
      </c>
      <c r="D125" s="6" t="s">
        <v>86</v>
      </c>
      <c r="E125" s="7">
        <v>43206</v>
      </c>
      <c r="F125" s="6" t="s">
        <v>111</v>
      </c>
      <c r="G125" s="6" t="s">
        <v>107</v>
      </c>
      <c r="H125" s="6" t="s">
        <v>210</v>
      </c>
      <c r="I125" s="6" t="s">
        <v>90</v>
      </c>
      <c r="J125" s="6" t="s">
        <v>91</v>
      </c>
      <c r="K125" s="6" t="s">
        <v>92</v>
      </c>
      <c r="L125" s="6" t="s">
        <v>90</v>
      </c>
      <c r="M125" s="6" t="s">
        <v>103</v>
      </c>
      <c r="N125" s="6" t="s">
        <v>95</v>
      </c>
      <c r="O125" s="6" t="s">
        <v>117</v>
      </c>
      <c r="P125" s="6" t="s">
        <v>122</v>
      </c>
      <c r="Q125" s="6" t="s">
        <v>281</v>
      </c>
      <c r="R125" s="6" t="s">
        <v>300</v>
      </c>
      <c r="S125" s="6" t="str">
        <f>VLOOKUP(R125,Customer_Mapping!A:B,2,FALSE)</f>
        <v>Customer_003</v>
      </c>
      <c r="T125" s="6" t="s">
        <v>283</v>
      </c>
      <c r="U125" s="6" t="s">
        <v>387</v>
      </c>
      <c r="V125" s="6" t="s">
        <v>298</v>
      </c>
      <c r="W125" s="6" t="str">
        <f>IF(U125="","",IFERROR(_xlfn.XLOOKUP(U125,Mapping!$A:$A,Mapping!$B:$B),""))</f>
        <v>Project_020</v>
      </c>
      <c r="X125" s="6" t="str">
        <f>IF(V125="","",IFERROR(_xlfn.XLOOKUP(V125,Mapping!$A:$A,Mapping!$B:$B),""))</f>
        <v>Project_003</v>
      </c>
      <c r="Y125" s="6" t="s">
        <v>286</v>
      </c>
      <c r="Z125" s="6" t="s">
        <v>103</v>
      </c>
    </row>
    <row r="126" spans="1:26">
      <c r="A126" s="12">
        <v>125</v>
      </c>
      <c r="B126" s="6" t="s">
        <v>703</v>
      </c>
      <c r="C126" s="6" t="s">
        <v>704</v>
      </c>
      <c r="D126" s="6" t="s">
        <v>86</v>
      </c>
      <c r="E126" s="7">
        <v>46045</v>
      </c>
      <c r="F126" s="6" t="s">
        <v>337</v>
      </c>
      <c r="G126" s="6" t="s">
        <v>94</v>
      </c>
      <c r="H126" s="6" t="s">
        <v>94</v>
      </c>
      <c r="I126" s="6" t="s">
        <v>90</v>
      </c>
      <c r="J126" s="6" t="s">
        <v>91</v>
      </c>
      <c r="K126" s="6" t="s">
        <v>92</v>
      </c>
      <c r="L126" s="6" t="s">
        <v>90</v>
      </c>
      <c r="M126" s="6" t="s">
        <v>94</v>
      </c>
      <c r="N126" s="6" t="s">
        <v>94</v>
      </c>
      <c r="O126" s="6" t="s">
        <v>131</v>
      </c>
      <c r="P126" s="6" t="s">
        <v>95</v>
      </c>
      <c r="Q126" s="6" t="s">
        <v>338</v>
      </c>
      <c r="R126" s="6" t="s">
        <v>391</v>
      </c>
      <c r="S126" s="6" t="str">
        <f>VLOOKUP(R126,Customer_Mapping!A:B,2,FALSE)</f>
        <v>Customer_014</v>
      </c>
      <c r="T126" s="6" t="s">
        <v>386</v>
      </c>
      <c r="U126" s="6" t="s">
        <v>323</v>
      </c>
      <c r="V126" s="6" t="s">
        <v>387</v>
      </c>
      <c r="W126" s="6" t="str">
        <f>IF(U126="","",IFERROR(_xlfn.XLOOKUP(U126,Mapping!$A:$A,Mapping!$B:$B),""))</f>
        <v>Project_009</v>
      </c>
      <c r="X126" s="6" t="str">
        <f>IF(V126="","",IFERROR(_xlfn.XLOOKUP(V126,Mapping!$A:$A,Mapping!$B:$B),""))</f>
        <v>Project_020</v>
      </c>
      <c r="Y126" s="6" t="s">
        <v>286</v>
      </c>
      <c r="Z126" s="6" t="s">
        <v>94</v>
      </c>
    </row>
    <row r="127" spans="1:26">
      <c r="A127" s="12">
        <v>126</v>
      </c>
      <c r="B127" s="6" t="s">
        <v>705</v>
      </c>
      <c r="C127" s="6" t="s">
        <v>706</v>
      </c>
      <c r="D127" s="6" t="s">
        <v>86</v>
      </c>
      <c r="E127" s="7">
        <v>44667</v>
      </c>
      <c r="F127" s="6" t="s">
        <v>288</v>
      </c>
      <c r="G127" s="6" t="s">
        <v>120</v>
      </c>
      <c r="H127" s="6" t="s">
        <v>707</v>
      </c>
      <c r="I127" s="6" t="s">
        <v>90</v>
      </c>
      <c r="J127" s="6" t="s">
        <v>91</v>
      </c>
      <c r="K127" s="6" t="s">
        <v>92</v>
      </c>
      <c r="L127" s="6" t="s">
        <v>90</v>
      </c>
      <c r="M127" s="6" t="s">
        <v>131</v>
      </c>
      <c r="N127" s="6" t="s">
        <v>104</v>
      </c>
      <c r="O127" s="6" t="s">
        <v>136</v>
      </c>
      <c r="P127" s="6" t="s">
        <v>95</v>
      </c>
      <c r="Q127" s="6" t="s">
        <v>291</v>
      </c>
      <c r="R127" s="6" t="s">
        <v>326</v>
      </c>
      <c r="S127" s="6" t="str">
        <f>VLOOKUP(R127,Customer_Mapping!A:B,2,FALSE)</f>
        <v>Customer_007</v>
      </c>
      <c r="T127" s="6" t="s">
        <v>283</v>
      </c>
      <c r="U127" s="6" t="s">
        <v>708</v>
      </c>
      <c r="V127" s="6" t="s">
        <v>323</v>
      </c>
      <c r="W127" s="6" t="str">
        <f>IF(U127="","",IFERROR(_xlfn.XLOOKUP(U127,Mapping!$A:$A,Mapping!$B:$B),""))</f>
        <v>Project_039</v>
      </c>
      <c r="X127" s="6" t="str">
        <f>IF(V127="","",IFERROR(_xlfn.XLOOKUP(V127,Mapping!$A:$A,Mapping!$B:$B),""))</f>
        <v>Project_009</v>
      </c>
      <c r="Y127" s="6" t="s">
        <v>286</v>
      </c>
      <c r="Z127" s="6" t="s">
        <v>131</v>
      </c>
    </row>
    <row r="128" spans="1:26">
      <c r="A128" s="12">
        <v>127</v>
      </c>
      <c r="B128" s="6" t="s">
        <v>709</v>
      </c>
      <c r="C128" s="6" t="s">
        <v>710</v>
      </c>
      <c r="D128" s="6" t="s">
        <v>86</v>
      </c>
      <c r="E128" s="7">
        <v>44384</v>
      </c>
      <c r="F128" s="6" t="s">
        <v>100</v>
      </c>
      <c r="G128" s="6" t="s">
        <v>344</v>
      </c>
      <c r="H128" s="6" t="s">
        <v>711</v>
      </c>
      <c r="I128" s="6" t="s">
        <v>90</v>
      </c>
      <c r="J128" s="6" t="s">
        <v>91</v>
      </c>
      <c r="K128" s="6" t="s">
        <v>92</v>
      </c>
      <c r="L128" s="6" t="s">
        <v>90</v>
      </c>
      <c r="M128" s="6" t="s">
        <v>103</v>
      </c>
      <c r="N128" s="6" t="s">
        <v>95</v>
      </c>
      <c r="O128" s="6" t="s">
        <v>117</v>
      </c>
      <c r="P128" s="6" t="s">
        <v>95</v>
      </c>
      <c r="Q128" s="6" t="s">
        <v>304</v>
      </c>
      <c r="R128" s="6" t="s">
        <v>652</v>
      </c>
      <c r="S128" s="6" t="str">
        <f>VLOOKUP(R128,Customer_Mapping!A:B,2,FALSE)</f>
        <v>Customer_018</v>
      </c>
      <c r="T128" s="6" t="s">
        <v>283</v>
      </c>
      <c r="U128" s="6" t="s">
        <v>373</v>
      </c>
      <c r="V128" s="6" t="s">
        <v>708</v>
      </c>
      <c r="W128" s="6" t="str">
        <f>IF(U128="","",IFERROR(_xlfn.XLOOKUP(U128,Mapping!$A:$A,Mapping!$B:$B),""))</f>
        <v>Project_016</v>
      </c>
      <c r="X128" s="6" t="str">
        <f>IF(V128="","",IFERROR(_xlfn.XLOOKUP(V128,Mapping!$A:$A,Mapping!$B:$B),""))</f>
        <v>Project_039</v>
      </c>
      <c r="Y128" s="6" t="s">
        <v>286</v>
      </c>
      <c r="Z128" s="6" t="s">
        <v>103</v>
      </c>
    </row>
    <row r="129" spans="1:26">
      <c r="A129" s="12">
        <v>128</v>
      </c>
      <c r="B129" s="6" t="s">
        <v>712</v>
      </c>
      <c r="C129" s="6" t="s">
        <v>713</v>
      </c>
      <c r="D129" s="6" t="s">
        <v>86</v>
      </c>
      <c r="E129" s="7">
        <v>44348</v>
      </c>
      <c r="F129" s="6" t="s">
        <v>111</v>
      </c>
      <c r="G129" s="6" t="s">
        <v>420</v>
      </c>
      <c r="H129" s="6" t="s">
        <v>714</v>
      </c>
      <c r="I129" s="6" t="s">
        <v>90</v>
      </c>
      <c r="J129" s="6" t="s">
        <v>91</v>
      </c>
      <c r="K129" s="6" t="s">
        <v>92</v>
      </c>
      <c r="L129" s="6" t="s">
        <v>90</v>
      </c>
      <c r="M129" s="6" t="s">
        <v>131</v>
      </c>
      <c r="N129" s="6" t="s">
        <v>94</v>
      </c>
      <c r="O129" s="6" t="s">
        <v>136</v>
      </c>
      <c r="P129" s="6" t="s">
        <v>122</v>
      </c>
      <c r="Q129" s="6" t="s">
        <v>281</v>
      </c>
      <c r="R129" s="6" t="s">
        <v>334</v>
      </c>
      <c r="S129" s="6" t="str">
        <f>VLOOKUP(R129,Customer_Mapping!A:B,2,FALSE)</f>
        <v>Customer_009</v>
      </c>
      <c r="T129" s="6" t="s">
        <v>335</v>
      </c>
      <c r="U129" s="6" t="s">
        <v>305</v>
      </c>
      <c r="V129" s="6" t="s">
        <v>373</v>
      </c>
      <c r="W129" s="6" t="str">
        <f>IF(U129="","",IFERROR(_xlfn.XLOOKUP(U129,Mapping!$A:$A,Mapping!$B:$B),""))</f>
        <v>Project_005</v>
      </c>
      <c r="X129" s="6" t="str">
        <f>IF(V129="","",IFERROR(_xlfn.XLOOKUP(V129,Mapping!$A:$A,Mapping!$B:$B),""))</f>
        <v>Project_016</v>
      </c>
      <c r="Y129" s="6" t="s">
        <v>286</v>
      </c>
      <c r="Z129" s="6" t="s">
        <v>131</v>
      </c>
    </row>
    <row r="130" spans="1:26">
      <c r="A130" s="12">
        <v>129</v>
      </c>
      <c r="B130" s="6" t="s">
        <v>715</v>
      </c>
      <c r="C130" s="6" t="s">
        <v>716</v>
      </c>
      <c r="D130" s="6" t="s">
        <v>86</v>
      </c>
      <c r="E130" s="7">
        <v>44743</v>
      </c>
      <c r="F130" s="6" t="s">
        <v>204</v>
      </c>
      <c r="G130" s="6" t="s">
        <v>311</v>
      </c>
      <c r="H130" s="6" t="s">
        <v>717</v>
      </c>
      <c r="I130" s="6" t="s">
        <v>90</v>
      </c>
      <c r="J130" s="6" t="s">
        <v>91</v>
      </c>
      <c r="K130" s="6" t="s">
        <v>92</v>
      </c>
      <c r="L130" s="6" t="s">
        <v>90</v>
      </c>
      <c r="M130" s="6" t="s">
        <v>43</v>
      </c>
      <c r="N130" s="6" t="s">
        <v>94</v>
      </c>
      <c r="O130" s="6" t="s">
        <v>43</v>
      </c>
      <c r="P130" s="6" t="s">
        <v>95</v>
      </c>
      <c r="Q130" s="6" t="s">
        <v>403</v>
      </c>
      <c r="R130" s="6" t="s">
        <v>308</v>
      </c>
      <c r="S130" s="6" t="str">
        <f>VLOOKUP(R130,Customer_Mapping!A:B,2,FALSE)</f>
        <v>Customer_004</v>
      </c>
      <c r="T130" s="6" t="s">
        <v>283</v>
      </c>
      <c r="U130" s="6" t="s">
        <v>648</v>
      </c>
      <c r="V130" s="6" t="s">
        <v>305</v>
      </c>
      <c r="W130" s="6" t="str">
        <f>IF(U130="","",IFERROR(_xlfn.XLOOKUP(U130,Mapping!$A:$A,Mapping!$B:$B),""))</f>
        <v>Project_035</v>
      </c>
      <c r="X130" s="6" t="str">
        <f>IF(V130="","",IFERROR(_xlfn.XLOOKUP(V130,Mapping!$A:$A,Mapping!$B:$B),""))</f>
        <v>Project_005</v>
      </c>
      <c r="Y130" s="6" t="s">
        <v>286</v>
      </c>
      <c r="Z130" s="6" t="s">
        <v>43</v>
      </c>
    </row>
    <row r="131" spans="1:26">
      <c r="A131" s="12">
        <v>130</v>
      </c>
      <c r="B131" s="6" t="s">
        <v>718</v>
      </c>
      <c r="C131" s="6" t="s">
        <v>719</v>
      </c>
      <c r="D131" s="6" t="s">
        <v>86</v>
      </c>
      <c r="E131" s="7">
        <v>43206</v>
      </c>
      <c r="F131" s="6" t="s">
        <v>111</v>
      </c>
      <c r="G131" s="6" t="s">
        <v>175</v>
      </c>
      <c r="H131" s="6" t="s">
        <v>720</v>
      </c>
      <c r="I131" s="6" t="s">
        <v>90</v>
      </c>
      <c r="J131" s="6" t="s">
        <v>91</v>
      </c>
      <c r="K131" s="6" t="s">
        <v>92</v>
      </c>
      <c r="L131" s="6" t="s">
        <v>90</v>
      </c>
      <c r="M131" s="6" t="s">
        <v>103</v>
      </c>
      <c r="N131" s="6" t="s">
        <v>95</v>
      </c>
      <c r="O131" s="6" t="s">
        <v>117</v>
      </c>
      <c r="P131" s="6" t="s">
        <v>122</v>
      </c>
      <c r="Q131" s="6" t="s">
        <v>418</v>
      </c>
      <c r="R131" s="6" t="s">
        <v>652</v>
      </c>
      <c r="S131" s="6" t="str">
        <f>VLOOKUP(R131,Customer_Mapping!A:B,2,FALSE)</f>
        <v>Customer_018</v>
      </c>
      <c r="T131" s="6" t="s">
        <v>283</v>
      </c>
      <c r="U131" s="6" t="s">
        <v>298</v>
      </c>
      <c r="V131" s="6" t="s">
        <v>648</v>
      </c>
      <c r="W131" s="6" t="str">
        <f>IF(U131="","",IFERROR(_xlfn.XLOOKUP(U131,Mapping!$A:$A,Mapping!$B:$B),""))</f>
        <v>Project_003</v>
      </c>
      <c r="X131" s="6" t="str">
        <f>IF(V131="","",IFERROR(_xlfn.XLOOKUP(V131,Mapping!$A:$A,Mapping!$B:$B),""))</f>
        <v>Project_035</v>
      </c>
      <c r="Y131" s="6" t="s">
        <v>286</v>
      </c>
      <c r="Z131" s="6" t="s">
        <v>103</v>
      </c>
    </row>
    <row r="132" spans="1:26">
      <c r="A132" s="12">
        <v>131</v>
      </c>
      <c r="B132" s="6" t="s">
        <v>721</v>
      </c>
      <c r="C132" s="6" t="s">
        <v>722</v>
      </c>
      <c r="D132" s="6" t="s">
        <v>86</v>
      </c>
      <c r="E132" s="7">
        <v>45937</v>
      </c>
      <c r="F132" s="6" t="s">
        <v>204</v>
      </c>
      <c r="G132" s="6" t="s">
        <v>94</v>
      </c>
      <c r="H132" s="6" t="s">
        <v>94</v>
      </c>
      <c r="I132" s="6" t="s">
        <v>90</v>
      </c>
      <c r="J132" s="6" t="s">
        <v>91</v>
      </c>
      <c r="K132" s="6" t="s">
        <v>92</v>
      </c>
      <c r="L132" s="6" t="s">
        <v>90</v>
      </c>
      <c r="M132" s="6" t="s">
        <v>94</v>
      </c>
      <c r="N132" s="6" t="s">
        <v>94</v>
      </c>
      <c r="O132" s="6" t="s">
        <v>43</v>
      </c>
      <c r="P132" s="6" t="s">
        <v>95</v>
      </c>
      <c r="Q132" s="6" t="s">
        <v>403</v>
      </c>
      <c r="R132" s="6" t="s">
        <v>300</v>
      </c>
      <c r="S132" s="6" t="str">
        <f>VLOOKUP(R132,Customer_Mapping!A:B,2,FALSE)</f>
        <v>Customer_003</v>
      </c>
      <c r="T132" s="6" t="s">
        <v>283</v>
      </c>
      <c r="U132" s="6" t="s">
        <v>318</v>
      </c>
      <c r="V132" s="6" t="s">
        <v>298</v>
      </c>
      <c r="W132" s="6" t="str">
        <f>IF(U132="","",IFERROR(_xlfn.XLOOKUP(U132,Mapping!$A:$A,Mapping!$B:$B),""))</f>
        <v>Project_008</v>
      </c>
      <c r="X132" s="6" t="str">
        <f>IF(V132="","",IFERROR(_xlfn.XLOOKUP(V132,Mapping!$A:$A,Mapping!$B:$B),""))</f>
        <v>Project_003</v>
      </c>
      <c r="Y132" s="6" t="s">
        <v>286</v>
      </c>
      <c r="Z132" s="6" t="s">
        <v>94</v>
      </c>
    </row>
    <row r="133" spans="1:26">
      <c r="A133" s="12">
        <v>132</v>
      </c>
      <c r="B133" s="6" t="s">
        <v>723</v>
      </c>
      <c r="C133" s="6" t="s">
        <v>724</v>
      </c>
      <c r="D133" s="6" t="s">
        <v>86</v>
      </c>
      <c r="E133" s="7">
        <v>42629</v>
      </c>
      <c r="F133" s="6" t="s">
        <v>14</v>
      </c>
      <c r="G133" s="6" t="s">
        <v>252</v>
      </c>
      <c r="H133" s="6" t="s">
        <v>725</v>
      </c>
      <c r="I133" s="6" t="s">
        <v>90</v>
      </c>
      <c r="J133" s="6" t="s">
        <v>91</v>
      </c>
      <c r="K133" s="6" t="s">
        <v>92</v>
      </c>
      <c r="L133" s="6" t="s">
        <v>90</v>
      </c>
      <c r="M133" s="6" t="s">
        <v>117</v>
      </c>
      <c r="N133" s="6" t="s">
        <v>94</v>
      </c>
      <c r="O133" s="6" t="s">
        <v>103</v>
      </c>
      <c r="P133" s="6" t="s">
        <v>122</v>
      </c>
      <c r="Q133" s="6" t="s">
        <v>422</v>
      </c>
      <c r="R133" s="6" t="s">
        <v>308</v>
      </c>
      <c r="S133" s="6" t="str">
        <f>VLOOKUP(R133,Customer_Mapping!A:B,2,FALSE)</f>
        <v>Customer_004</v>
      </c>
      <c r="T133" s="6" t="s">
        <v>283</v>
      </c>
      <c r="U133" s="6" t="s">
        <v>387</v>
      </c>
      <c r="V133" s="6" t="s">
        <v>318</v>
      </c>
      <c r="W133" s="6" t="str">
        <f>IF(U133="","",IFERROR(_xlfn.XLOOKUP(U133,Mapping!$A:$A,Mapping!$B:$B),""))</f>
        <v>Project_020</v>
      </c>
      <c r="X133" s="6" t="str">
        <f>IF(V133="","",IFERROR(_xlfn.XLOOKUP(V133,Mapping!$A:$A,Mapping!$B:$B),""))</f>
        <v>Project_008</v>
      </c>
      <c r="Y133" s="6" t="s">
        <v>286</v>
      </c>
      <c r="Z133" s="6" t="s">
        <v>117</v>
      </c>
    </row>
    <row r="134" spans="1:26">
      <c r="A134" s="12">
        <v>133</v>
      </c>
      <c r="B134" s="6" t="s">
        <v>726</v>
      </c>
      <c r="C134" s="6" t="s">
        <v>727</v>
      </c>
      <c r="D134" s="6" t="s">
        <v>86</v>
      </c>
      <c r="E134" s="7">
        <v>46045</v>
      </c>
      <c r="F134" s="6" t="s">
        <v>337</v>
      </c>
      <c r="G134" s="6" t="s">
        <v>94</v>
      </c>
      <c r="H134" s="6" t="s">
        <v>303</v>
      </c>
      <c r="I134" s="6" t="s">
        <v>90</v>
      </c>
      <c r="J134" s="6" t="s">
        <v>91</v>
      </c>
      <c r="K134" s="6" t="s">
        <v>92</v>
      </c>
      <c r="L134" s="6" t="s">
        <v>90</v>
      </c>
      <c r="M134" s="6" t="s">
        <v>94</v>
      </c>
      <c r="N134" s="6" t="s">
        <v>94</v>
      </c>
      <c r="O134" s="6" t="s">
        <v>131</v>
      </c>
      <c r="P134" s="6" t="s">
        <v>95</v>
      </c>
      <c r="Q134" s="6" t="s">
        <v>338</v>
      </c>
      <c r="R134" s="6" t="s">
        <v>391</v>
      </c>
      <c r="S134" s="6" t="str">
        <f>VLOOKUP(R134,Customer_Mapping!A:B,2,FALSE)</f>
        <v>Customer_014</v>
      </c>
      <c r="T134" s="6" t="s">
        <v>386</v>
      </c>
      <c r="U134" s="6" t="s">
        <v>301</v>
      </c>
      <c r="V134" s="6" t="s">
        <v>387</v>
      </c>
      <c r="W134" s="6" t="str">
        <f>IF(U134="","",IFERROR(_xlfn.XLOOKUP(U134,Mapping!$A:$A,Mapping!$B:$B),""))</f>
        <v>Project_004</v>
      </c>
      <c r="X134" s="6" t="str">
        <f>IF(V134="","",IFERROR(_xlfn.XLOOKUP(V134,Mapping!$A:$A,Mapping!$B:$B),""))</f>
        <v>Project_020</v>
      </c>
      <c r="Y134" s="6" t="s">
        <v>286</v>
      </c>
      <c r="Z134" s="6" t="s">
        <v>94</v>
      </c>
    </row>
    <row r="135" spans="1:26">
      <c r="A135" s="12">
        <v>134</v>
      </c>
      <c r="B135" s="6" t="s">
        <v>728</v>
      </c>
      <c r="C135" s="6" t="s">
        <v>729</v>
      </c>
      <c r="D135" s="6" t="s">
        <v>86</v>
      </c>
      <c r="E135" s="7">
        <v>45809</v>
      </c>
      <c r="F135" s="6" t="s">
        <v>26</v>
      </c>
      <c r="G135" s="6" t="s">
        <v>94</v>
      </c>
      <c r="H135" s="6" t="s">
        <v>94</v>
      </c>
      <c r="I135" s="6" t="s">
        <v>90</v>
      </c>
      <c r="J135" s="6" t="s">
        <v>91</v>
      </c>
      <c r="K135" s="6" t="s">
        <v>92</v>
      </c>
      <c r="L135" s="6" t="s">
        <v>90</v>
      </c>
      <c r="M135" s="6" t="s">
        <v>94</v>
      </c>
      <c r="N135" s="6" t="s">
        <v>94</v>
      </c>
      <c r="O135" s="6" t="s">
        <v>27</v>
      </c>
      <c r="P135" s="6" t="s">
        <v>95</v>
      </c>
      <c r="Q135" s="6" t="s">
        <v>296</v>
      </c>
      <c r="R135" s="6" t="s">
        <v>282</v>
      </c>
      <c r="S135" s="6" t="str">
        <f>VLOOKUP(R135,Customer_Mapping!A:B,2,FALSE)</f>
        <v>Customer_001</v>
      </c>
      <c r="T135" s="6" t="s">
        <v>283</v>
      </c>
      <c r="U135" s="6" t="s">
        <v>434</v>
      </c>
      <c r="V135" s="6" t="s">
        <v>301</v>
      </c>
      <c r="W135" s="6" t="str">
        <f>IF(U135="","",IFERROR(_xlfn.XLOOKUP(U135,Mapping!$A:$A,Mapping!$B:$B),""))</f>
        <v>Project_024</v>
      </c>
      <c r="X135" s="6" t="str">
        <f>IF(V135="","",IFERROR(_xlfn.XLOOKUP(V135,Mapping!$A:$A,Mapping!$B:$B),""))</f>
        <v>Project_004</v>
      </c>
      <c r="Y135" s="6" t="s">
        <v>286</v>
      </c>
      <c r="Z135" s="6" t="s">
        <v>94</v>
      </c>
    </row>
    <row r="136" spans="1:26">
      <c r="A136" s="12">
        <v>135</v>
      </c>
      <c r="B136" s="6" t="s">
        <v>730</v>
      </c>
      <c r="C136" s="6" t="s">
        <v>731</v>
      </c>
      <c r="D136" s="6" t="s">
        <v>86</v>
      </c>
      <c r="E136" s="7">
        <v>44044</v>
      </c>
      <c r="F136" s="6" t="s">
        <v>732</v>
      </c>
      <c r="G136" s="6" t="s">
        <v>526</v>
      </c>
      <c r="H136" s="6" t="s">
        <v>733</v>
      </c>
      <c r="I136" s="6" t="s">
        <v>90</v>
      </c>
      <c r="J136" s="6" t="s">
        <v>91</v>
      </c>
      <c r="K136" s="6" t="s">
        <v>92</v>
      </c>
      <c r="L136" s="6" t="s">
        <v>90</v>
      </c>
      <c r="M136" s="6" t="s">
        <v>43</v>
      </c>
      <c r="N136" s="6" t="s">
        <v>94</v>
      </c>
      <c r="O136" s="6" t="s">
        <v>642</v>
      </c>
      <c r="P136" s="6" t="s">
        <v>122</v>
      </c>
      <c r="Q136" s="6" t="s">
        <v>734</v>
      </c>
      <c r="R136" s="6" t="s">
        <v>334</v>
      </c>
      <c r="S136" s="6" t="str">
        <f>VLOOKUP(R136,Customer_Mapping!A:B,2,FALSE)</f>
        <v>Customer_009</v>
      </c>
      <c r="T136" s="6" t="s">
        <v>335</v>
      </c>
      <c r="U136" s="6" t="s">
        <v>301</v>
      </c>
      <c r="V136" s="6" t="s">
        <v>434</v>
      </c>
      <c r="W136" s="6" t="str">
        <f>IF(U136="","",IFERROR(_xlfn.XLOOKUP(U136,Mapping!$A:$A,Mapping!$B:$B),""))</f>
        <v>Project_004</v>
      </c>
      <c r="X136" s="6" t="str">
        <f>IF(V136="","",IFERROR(_xlfn.XLOOKUP(V136,Mapping!$A:$A,Mapping!$B:$B),""))</f>
        <v>Project_024</v>
      </c>
      <c r="Y136" s="6" t="s">
        <v>286</v>
      </c>
      <c r="Z136" s="6" t="s">
        <v>43</v>
      </c>
    </row>
    <row r="137" spans="1:26">
      <c r="A137" s="12">
        <v>136</v>
      </c>
      <c r="B137" s="6" t="s">
        <v>735</v>
      </c>
      <c r="C137" s="6" t="s">
        <v>736</v>
      </c>
      <c r="D137" s="6" t="s">
        <v>86</v>
      </c>
      <c r="E137" s="7">
        <v>46014</v>
      </c>
      <c r="F137" s="6" t="s">
        <v>337</v>
      </c>
      <c r="G137" s="6" t="s">
        <v>94</v>
      </c>
      <c r="H137" s="6" t="s">
        <v>737</v>
      </c>
      <c r="I137" s="6" t="s">
        <v>90</v>
      </c>
      <c r="J137" s="6" t="s">
        <v>91</v>
      </c>
      <c r="K137" s="6" t="s">
        <v>92</v>
      </c>
      <c r="L137" s="6" t="s">
        <v>90</v>
      </c>
      <c r="M137" s="6" t="s">
        <v>94</v>
      </c>
      <c r="N137" s="6" t="s">
        <v>94</v>
      </c>
      <c r="O137" s="6" t="s">
        <v>131</v>
      </c>
      <c r="P137" s="6" t="s">
        <v>104</v>
      </c>
      <c r="Q137" s="6" t="s">
        <v>338</v>
      </c>
      <c r="R137" s="6" t="s">
        <v>282</v>
      </c>
      <c r="S137" s="6" t="str">
        <f>VLOOKUP(R137,Customer_Mapping!A:B,2,FALSE)</f>
        <v>Customer_001</v>
      </c>
      <c r="T137" s="6" t="s">
        <v>283</v>
      </c>
      <c r="U137" s="6" t="s">
        <v>501</v>
      </c>
      <c r="V137" s="6" t="s">
        <v>301</v>
      </c>
      <c r="W137" s="6" t="str">
        <f>IF(U137="","",IFERROR(_xlfn.XLOOKUP(U137,Mapping!$A:$A,Mapping!$B:$B),""))</f>
        <v>Project_029</v>
      </c>
      <c r="X137" s="6" t="str">
        <f>IF(V137="","",IFERROR(_xlfn.XLOOKUP(V137,Mapping!$A:$A,Mapping!$B:$B),""))</f>
        <v>Project_004</v>
      </c>
      <c r="Y137" s="6" t="s">
        <v>286</v>
      </c>
      <c r="Z137" s="6" t="s">
        <v>94</v>
      </c>
    </row>
    <row r="138" spans="1:26">
      <c r="A138" s="12">
        <v>137</v>
      </c>
      <c r="B138" s="6" t="s">
        <v>738</v>
      </c>
      <c r="C138" s="6" t="s">
        <v>739</v>
      </c>
      <c r="D138" s="6" t="s">
        <v>86</v>
      </c>
      <c r="E138" s="7">
        <v>44719</v>
      </c>
      <c r="F138" s="6" t="s">
        <v>288</v>
      </c>
      <c r="G138" s="6" t="s">
        <v>389</v>
      </c>
      <c r="H138" s="6" t="s">
        <v>740</v>
      </c>
      <c r="I138" s="6" t="s">
        <v>90</v>
      </c>
      <c r="J138" s="6" t="s">
        <v>91</v>
      </c>
      <c r="K138" s="6" t="s">
        <v>92</v>
      </c>
      <c r="L138" s="6" t="s">
        <v>90</v>
      </c>
      <c r="M138" s="6" t="s">
        <v>675</v>
      </c>
      <c r="N138" s="6" t="s">
        <v>104</v>
      </c>
      <c r="O138" s="6" t="s">
        <v>136</v>
      </c>
      <c r="P138" s="6" t="s">
        <v>104</v>
      </c>
      <c r="Q138" s="6" t="s">
        <v>291</v>
      </c>
      <c r="R138" s="6" t="s">
        <v>334</v>
      </c>
      <c r="S138" s="6" t="str">
        <f>VLOOKUP(R138,Customer_Mapping!A:B,2,FALSE)</f>
        <v>Customer_009</v>
      </c>
      <c r="T138" s="6" t="s">
        <v>335</v>
      </c>
      <c r="U138" s="6" t="s">
        <v>575</v>
      </c>
      <c r="V138" s="6" t="s">
        <v>501</v>
      </c>
      <c r="W138" s="6" t="str">
        <f>IF(U138="","",IFERROR(_xlfn.XLOOKUP(U138,Mapping!$A:$A,Mapping!$B:$B),""))</f>
        <v>Project_033</v>
      </c>
      <c r="X138" s="6" t="str">
        <f>IF(V138="","",IFERROR(_xlfn.XLOOKUP(V138,Mapping!$A:$A,Mapping!$B:$B),""))</f>
        <v>Project_029</v>
      </c>
      <c r="Y138" s="6" t="s">
        <v>286</v>
      </c>
      <c r="Z138" s="6" t="s">
        <v>675</v>
      </c>
    </row>
    <row r="139" spans="1:26">
      <c r="A139" s="12">
        <v>138</v>
      </c>
      <c r="B139" s="6" t="s">
        <v>741</v>
      </c>
      <c r="C139" s="6" t="s">
        <v>742</v>
      </c>
      <c r="D139" s="6" t="s">
        <v>86</v>
      </c>
      <c r="E139" s="7">
        <v>45237</v>
      </c>
      <c r="F139" s="6" t="s">
        <v>111</v>
      </c>
      <c r="G139" s="6" t="s">
        <v>344</v>
      </c>
      <c r="H139" s="6" t="s">
        <v>743</v>
      </c>
      <c r="I139" s="6" t="s">
        <v>90</v>
      </c>
      <c r="J139" s="6" t="s">
        <v>91</v>
      </c>
      <c r="K139" s="6" t="s">
        <v>92</v>
      </c>
      <c r="L139" s="6" t="s">
        <v>90</v>
      </c>
      <c r="M139" s="6" t="s">
        <v>94</v>
      </c>
      <c r="N139" s="6" t="s">
        <v>94</v>
      </c>
      <c r="O139" s="6" t="s">
        <v>131</v>
      </c>
      <c r="P139" s="6" t="s">
        <v>122</v>
      </c>
      <c r="Q139" s="6" t="s">
        <v>281</v>
      </c>
      <c r="R139" s="6" t="s">
        <v>282</v>
      </c>
      <c r="S139" s="6" t="str">
        <f>VLOOKUP(R139,Customer_Mapping!A:B,2,FALSE)</f>
        <v>Customer_001</v>
      </c>
      <c r="T139" s="6" t="s">
        <v>283</v>
      </c>
      <c r="U139" s="6" t="s">
        <v>341</v>
      </c>
      <c r="V139" s="6" t="s">
        <v>575</v>
      </c>
      <c r="W139" s="6" t="str">
        <f>IF(U139="","",IFERROR(_xlfn.XLOOKUP(U139,Mapping!$A:$A,Mapping!$B:$B),""))</f>
        <v>Project_013</v>
      </c>
      <c r="X139" s="6" t="str">
        <f>IF(V139="","",IFERROR(_xlfn.XLOOKUP(V139,Mapping!$A:$A,Mapping!$B:$B),""))</f>
        <v>Project_033</v>
      </c>
      <c r="Y139" s="6" t="s">
        <v>286</v>
      </c>
      <c r="Z139" s="6" t="s">
        <v>94</v>
      </c>
    </row>
    <row r="140" spans="1:26">
      <c r="A140" s="12">
        <v>139</v>
      </c>
      <c r="B140" s="6" t="s">
        <v>744</v>
      </c>
      <c r="C140" s="6" t="s">
        <v>745</v>
      </c>
      <c r="D140" s="6" t="s">
        <v>86</v>
      </c>
      <c r="E140" s="7">
        <v>46069</v>
      </c>
      <c r="F140" s="6" t="s">
        <v>337</v>
      </c>
      <c r="G140" s="6" t="s">
        <v>94</v>
      </c>
      <c r="H140" s="6" t="s">
        <v>746</v>
      </c>
      <c r="I140" s="6" t="s">
        <v>90</v>
      </c>
      <c r="J140" s="6" t="s">
        <v>91</v>
      </c>
      <c r="K140" s="6" t="s">
        <v>92</v>
      </c>
      <c r="L140" s="6" t="s">
        <v>90</v>
      </c>
      <c r="M140" s="6" t="s">
        <v>94</v>
      </c>
      <c r="N140" s="6" t="s">
        <v>94</v>
      </c>
      <c r="O140" s="6" t="s">
        <v>131</v>
      </c>
      <c r="P140" s="6" t="s">
        <v>104</v>
      </c>
      <c r="Q140" s="6" t="s">
        <v>338</v>
      </c>
      <c r="R140" s="6" t="s">
        <v>282</v>
      </c>
      <c r="S140" s="6" t="str">
        <f>VLOOKUP(R140,Customer_Mapping!A:B,2,FALSE)</f>
        <v>Customer_001</v>
      </c>
      <c r="T140" s="6" t="s">
        <v>283</v>
      </c>
      <c r="U140" s="6" t="s">
        <v>348</v>
      </c>
      <c r="V140" s="6" t="s">
        <v>341</v>
      </c>
      <c r="W140" s="6" t="str">
        <f>IF(U140="","",IFERROR(_xlfn.XLOOKUP(U140,Mapping!$A:$A,Mapping!$B:$B),""))</f>
        <v>Project_014</v>
      </c>
      <c r="X140" s="6" t="str">
        <f>IF(V140="","",IFERROR(_xlfn.XLOOKUP(V140,Mapping!$A:$A,Mapping!$B:$B),""))</f>
        <v>Project_013</v>
      </c>
      <c r="Y140" s="6" t="s">
        <v>286</v>
      </c>
      <c r="Z140" s="6" t="s">
        <v>94</v>
      </c>
    </row>
    <row r="141" spans="1:26">
      <c r="A141" s="12">
        <v>140</v>
      </c>
      <c r="B141" s="6" t="s">
        <v>747</v>
      </c>
      <c r="C141" s="6" t="s">
        <v>748</v>
      </c>
      <c r="D141" s="6" t="s">
        <v>86</v>
      </c>
      <c r="E141" s="7">
        <v>44309</v>
      </c>
      <c r="F141" s="6" t="s">
        <v>111</v>
      </c>
      <c r="G141" s="6" t="s">
        <v>101</v>
      </c>
      <c r="H141" s="6" t="s">
        <v>749</v>
      </c>
      <c r="I141" s="6" t="s">
        <v>90</v>
      </c>
      <c r="J141" s="6" t="s">
        <v>91</v>
      </c>
      <c r="K141" s="6" t="s">
        <v>92</v>
      </c>
      <c r="L141" s="6" t="s">
        <v>90</v>
      </c>
      <c r="M141" s="6" t="s">
        <v>675</v>
      </c>
      <c r="N141" s="6" t="s">
        <v>122</v>
      </c>
      <c r="O141" s="6" t="s">
        <v>550</v>
      </c>
      <c r="P141" s="6" t="s">
        <v>95</v>
      </c>
      <c r="Q141" s="6" t="s">
        <v>418</v>
      </c>
      <c r="R141" s="6" t="s">
        <v>351</v>
      </c>
      <c r="S141" s="6" t="str">
        <f>VLOOKUP(R141,Customer_Mapping!A:B,2,FALSE)</f>
        <v>Customer_010</v>
      </c>
      <c r="T141" s="6" t="s">
        <v>283</v>
      </c>
      <c r="U141" s="6" t="s">
        <v>323</v>
      </c>
      <c r="V141" s="6" t="s">
        <v>348</v>
      </c>
      <c r="W141" s="6" t="str">
        <f>IF(U141="","",IFERROR(_xlfn.XLOOKUP(U141,Mapping!$A:$A,Mapping!$B:$B),""))</f>
        <v>Project_009</v>
      </c>
      <c r="X141" s="6" t="str">
        <f>IF(V141="","",IFERROR(_xlfn.XLOOKUP(V141,Mapping!$A:$A,Mapping!$B:$B),""))</f>
        <v>Project_014</v>
      </c>
      <c r="Y141" s="6" t="s">
        <v>286</v>
      </c>
      <c r="Z141" s="6" t="s">
        <v>675</v>
      </c>
    </row>
    <row r="142" spans="1:26">
      <c r="A142" s="12">
        <v>141</v>
      </c>
      <c r="B142" s="6" t="s">
        <v>750</v>
      </c>
      <c r="C142" s="6" t="s">
        <v>751</v>
      </c>
      <c r="D142" s="6" t="s">
        <v>86</v>
      </c>
      <c r="E142" s="7">
        <v>43101</v>
      </c>
      <c r="F142" s="6" t="s">
        <v>14</v>
      </c>
      <c r="G142" s="6" t="s">
        <v>120</v>
      </c>
      <c r="H142" s="6" t="s">
        <v>752</v>
      </c>
      <c r="I142" s="6" t="s">
        <v>90</v>
      </c>
      <c r="J142" s="6" t="s">
        <v>91</v>
      </c>
      <c r="K142" s="6" t="s">
        <v>92</v>
      </c>
      <c r="L142" s="6" t="s">
        <v>90</v>
      </c>
      <c r="M142" s="6" t="s">
        <v>346</v>
      </c>
      <c r="N142" s="6" t="s">
        <v>95</v>
      </c>
      <c r="O142" s="6" t="s">
        <v>346</v>
      </c>
      <c r="P142" s="6" t="s">
        <v>122</v>
      </c>
      <c r="Q142" s="6" t="s">
        <v>422</v>
      </c>
      <c r="R142" s="6" t="s">
        <v>326</v>
      </c>
      <c r="S142" s="6" t="str">
        <f>VLOOKUP(R142,Customer_Mapping!A:B,2,FALSE)</f>
        <v>Customer_007</v>
      </c>
      <c r="T142" s="6" t="s">
        <v>283</v>
      </c>
      <c r="U142" s="6" t="s">
        <v>348</v>
      </c>
      <c r="V142" s="6" t="s">
        <v>323</v>
      </c>
      <c r="W142" s="6" t="str">
        <f>IF(U142="","",IFERROR(_xlfn.XLOOKUP(U142,Mapping!$A:$A,Mapping!$B:$B),""))</f>
        <v>Project_014</v>
      </c>
      <c r="X142" s="6" t="str">
        <f>IF(V142="","",IFERROR(_xlfn.XLOOKUP(V142,Mapping!$A:$A,Mapping!$B:$B),""))</f>
        <v>Project_009</v>
      </c>
      <c r="Y142" s="6" t="s">
        <v>286</v>
      </c>
      <c r="Z142" s="6" t="s">
        <v>346</v>
      </c>
    </row>
    <row r="143" spans="1:26">
      <c r="A143" s="12">
        <v>142</v>
      </c>
      <c r="B143" s="6" t="s">
        <v>753</v>
      </c>
      <c r="C143" s="6" t="s">
        <v>754</v>
      </c>
      <c r="D143" s="6" t="s">
        <v>86</v>
      </c>
      <c r="E143" s="7">
        <v>44728</v>
      </c>
      <c r="F143" s="6" t="s">
        <v>111</v>
      </c>
      <c r="G143" s="6" t="s">
        <v>311</v>
      </c>
      <c r="H143" s="6" t="s">
        <v>755</v>
      </c>
      <c r="I143" s="6" t="s">
        <v>90</v>
      </c>
      <c r="J143" s="6" t="s">
        <v>91</v>
      </c>
      <c r="K143" s="6" t="s">
        <v>92</v>
      </c>
      <c r="L143" s="6" t="s">
        <v>90</v>
      </c>
      <c r="M143" s="6" t="s">
        <v>675</v>
      </c>
      <c r="N143" s="6" t="s">
        <v>95</v>
      </c>
      <c r="O143" s="6" t="s">
        <v>550</v>
      </c>
      <c r="P143" s="6" t="s">
        <v>95</v>
      </c>
      <c r="Q143" s="6" t="s">
        <v>281</v>
      </c>
      <c r="R143" s="6" t="s">
        <v>351</v>
      </c>
      <c r="S143" s="6" t="str">
        <f>VLOOKUP(R143,Customer_Mapping!A:B,2,FALSE)</f>
        <v>Customer_010</v>
      </c>
      <c r="T143" s="6" t="s">
        <v>283</v>
      </c>
      <c r="U143" s="6" t="s">
        <v>305</v>
      </c>
      <c r="V143" s="6" t="s">
        <v>348</v>
      </c>
      <c r="W143" s="6" t="str">
        <f>IF(U143="","",IFERROR(_xlfn.XLOOKUP(U143,Mapping!$A:$A,Mapping!$B:$B),""))</f>
        <v>Project_005</v>
      </c>
      <c r="X143" s="6" t="str">
        <f>IF(V143="","",IFERROR(_xlfn.XLOOKUP(V143,Mapping!$A:$A,Mapping!$B:$B),""))</f>
        <v>Project_014</v>
      </c>
      <c r="Y143" s="6" t="s">
        <v>286</v>
      </c>
      <c r="Z143" s="6" t="s">
        <v>675</v>
      </c>
    </row>
    <row r="144" spans="1:26">
      <c r="A144" s="12">
        <v>143</v>
      </c>
      <c r="B144" s="6" t="s">
        <v>756</v>
      </c>
      <c r="C144" s="6" t="s">
        <v>757</v>
      </c>
      <c r="D144" s="6" t="s">
        <v>86</v>
      </c>
      <c r="E144" s="7">
        <v>46189</v>
      </c>
      <c r="F144" s="6" t="s">
        <v>337</v>
      </c>
      <c r="G144" s="6" t="s">
        <v>94</v>
      </c>
      <c r="H144" s="6" t="s">
        <v>94</v>
      </c>
      <c r="I144" s="6" t="s">
        <v>90</v>
      </c>
      <c r="J144" s="6" t="s">
        <v>91</v>
      </c>
      <c r="K144" s="6" t="s">
        <v>92</v>
      </c>
      <c r="L144" s="6" t="s">
        <v>90</v>
      </c>
      <c r="M144" s="6" t="s">
        <v>94</v>
      </c>
      <c r="N144" s="6" t="s">
        <v>94</v>
      </c>
      <c r="O144" s="6" t="s">
        <v>131</v>
      </c>
      <c r="P144" s="6" t="s">
        <v>104</v>
      </c>
      <c r="Q144" s="6" t="s">
        <v>338</v>
      </c>
      <c r="R144" s="6" t="s">
        <v>308</v>
      </c>
      <c r="S144" s="6" t="str">
        <f>VLOOKUP(R144,Customer_Mapping!A:B,2,FALSE)</f>
        <v>Customer_004</v>
      </c>
      <c r="T144" s="6" t="s">
        <v>283</v>
      </c>
      <c r="U144" s="6" t="s">
        <v>305</v>
      </c>
      <c r="V144" s="6" t="s">
        <v>305</v>
      </c>
      <c r="W144" s="6" t="str">
        <f>IF(U144="","",IFERROR(_xlfn.XLOOKUP(U144,Mapping!$A:$A,Mapping!$B:$B),""))</f>
        <v>Project_005</v>
      </c>
      <c r="X144" s="6" t="str">
        <f>IF(V144="","",IFERROR(_xlfn.XLOOKUP(V144,Mapping!$A:$A,Mapping!$B:$B),""))</f>
        <v>Project_005</v>
      </c>
      <c r="Y144" s="6" t="s">
        <v>286</v>
      </c>
      <c r="Z144" s="6" t="s">
        <v>94</v>
      </c>
    </row>
    <row r="145" spans="1:26">
      <c r="A145" s="12">
        <v>144</v>
      </c>
      <c r="B145" s="6" t="s">
        <v>758</v>
      </c>
      <c r="C145" s="6" t="s">
        <v>759</v>
      </c>
      <c r="D145" s="6" t="s">
        <v>86</v>
      </c>
      <c r="E145" s="7">
        <v>44866</v>
      </c>
      <c r="F145" s="6" t="s">
        <v>288</v>
      </c>
      <c r="G145" s="6" t="s">
        <v>107</v>
      </c>
      <c r="H145" s="6" t="s">
        <v>760</v>
      </c>
      <c r="I145" s="6" t="s">
        <v>90</v>
      </c>
      <c r="J145" s="6" t="s">
        <v>91</v>
      </c>
      <c r="K145" s="6" t="s">
        <v>92</v>
      </c>
      <c r="L145" s="6" t="s">
        <v>90</v>
      </c>
      <c r="M145" s="6" t="s">
        <v>131</v>
      </c>
      <c r="N145" s="6" t="s">
        <v>104</v>
      </c>
      <c r="O145" s="6" t="s">
        <v>131</v>
      </c>
      <c r="P145" s="6" t="s">
        <v>95</v>
      </c>
      <c r="Q145" s="6" t="s">
        <v>291</v>
      </c>
      <c r="R145" s="6" t="s">
        <v>308</v>
      </c>
      <c r="S145" s="6" t="str">
        <f>VLOOKUP(R145,Customer_Mapping!A:B,2,FALSE)</f>
        <v>Customer_004</v>
      </c>
      <c r="T145" s="6" t="s">
        <v>283</v>
      </c>
      <c r="U145" s="6" t="s">
        <v>501</v>
      </c>
      <c r="V145" s="6" t="s">
        <v>305</v>
      </c>
      <c r="W145" s="6" t="str">
        <f>IF(U145="","",IFERROR(_xlfn.XLOOKUP(U145,Mapping!$A:$A,Mapping!$B:$B),""))</f>
        <v>Project_029</v>
      </c>
      <c r="X145" s="6" t="str">
        <f>IF(V145="","",IFERROR(_xlfn.XLOOKUP(V145,Mapping!$A:$A,Mapping!$B:$B),""))</f>
        <v>Project_005</v>
      </c>
      <c r="Y145" s="6" t="s">
        <v>286</v>
      </c>
      <c r="Z145" s="6" t="s">
        <v>131</v>
      </c>
    </row>
    <row r="146" spans="1:26">
      <c r="A146" s="12">
        <v>145</v>
      </c>
      <c r="B146" s="6" t="s">
        <v>761</v>
      </c>
      <c r="C146" s="6" t="s">
        <v>762</v>
      </c>
      <c r="D146" s="6" t="s">
        <v>86</v>
      </c>
      <c r="E146" s="7">
        <v>45673</v>
      </c>
      <c r="F146" s="6" t="s">
        <v>337</v>
      </c>
      <c r="G146" s="6" t="s">
        <v>94</v>
      </c>
      <c r="H146" s="6" t="s">
        <v>333</v>
      </c>
      <c r="I146" s="6" t="s">
        <v>90</v>
      </c>
      <c r="J146" s="6" t="s">
        <v>91</v>
      </c>
      <c r="K146" s="6" t="s">
        <v>92</v>
      </c>
      <c r="L146" s="6" t="s">
        <v>90</v>
      </c>
      <c r="M146" s="6" t="s">
        <v>94</v>
      </c>
      <c r="N146" s="6" t="s">
        <v>94</v>
      </c>
      <c r="O146" s="6" t="s">
        <v>136</v>
      </c>
      <c r="P146" s="6" t="s">
        <v>104</v>
      </c>
      <c r="Q146" s="6" t="s">
        <v>338</v>
      </c>
      <c r="R146" s="6" t="s">
        <v>334</v>
      </c>
      <c r="S146" s="6" t="str">
        <f>VLOOKUP(R146,Customer_Mapping!A:B,2,FALSE)</f>
        <v>Customer_009</v>
      </c>
      <c r="T146" s="6" t="s">
        <v>335</v>
      </c>
      <c r="U146" s="6" t="s">
        <v>763</v>
      </c>
      <c r="V146" s="6" t="s">
        <v>501</v>
      </c>
      <c r="W146" s="6" t="str">
        <f>IF(U146="","",IFERROR(_xlfn.XLOOKUP(U146,Mapping!$A:$A,Mapping!$B:$B),""))</f>
        <v>Project_040</v>
      </c>
      <c r="X146" s="6" t="str">
        <f>IF(V146="","",IFERROR(_xlfn.XLOOKUP(V146,Mapping!$A:$A,Mapping!$B:$B),""))</f>
        <v>Project_029</v>
      </c>
      <c r="Y146" s="6" t="s">
        <v>286</v>
      </c>
      <c r="Z146" s="6" t="s">
        <v>94</v>
      </c>
    </row>
    <row r="147" spans="1:26">
      <c r="A147" s="12">
        <v>146</v>
      </c>
      <c r="B147" s="6" t="s">
        <v>764</v>
      </c>
      <c r="C147" s="6" t="s">
        <v>765</v>
      </c>
      <c r="D147" s="6" t="s">
        <v>86</v>
      </c>
      <c r="E147" s="7">
        <v>44827</v>
      </c>
      <c r="F147" s="6" t="s">
        <v>288</v>
      </c>
      <c r="G147" s="6" t="s">
        <v>252</v>
      </c>
      <c r="H147" s="6" t="s">
        <v>766</v>
      </c>
      <c r="I147" s="6" t="s">
        <v>90</v>
      </c>
      <c r="J147" s="6" t="s">
        <v>91</v>
      </c>
      <c r="K147" s="6" t="s">
        <v>92</v>
      </c>
      <c r="L147" s="6" t="s">
        <v>90</v>
      </c>
      <c r="M147" s="6" t="s">
        <v>432</v>
      </c>
      <c r="N147" s="6" t="s">
        <v>94</v>
      </c>
      <c r="O147" s="6" t="s">
        <v>438</v>
      </c>
      <c r="P147" s="6" t="s">
        <v>95</v>
      </c>
      <c r="Q147" s="6" t="s">
        <v>291</v>
      </c>
      <c r="R147" s="6" t="s">
        <v>334</v>
      </c>
      <c r="S147" s="6" t="str">
        <f>VLOOKUP(R147,Customer_Mapping!A:B,2,FALSE)</f>
        <v>Customer_009</v>
      </c>
      <c r="T147" s="6" t="s">
        <v>335</v>
      </c>
      <c r="U147" s="6" t="s">
        <v>378</v>
      </c>
      <c r="V147" s="6" t="s">
        <v>763</v>
      </c>
      <c r="W147" s="6" t="str">
        <f>IF(U147="","",IFERROR(_xlfn.XLOOKUP(U147,Mapping!$A:$A,Mapping!$B:$B),""))</f>
        <v>Project_018</v>
      </c>
      <c r="X147" s="6" t="str">
        <f>IF(V147="","",IFERROR(_xlfn.XLOOKUP(V147,Mapping!$A:$A,Mapping!$B:$B),""))</f>
        <v>Project_040</v>
      </c>
      <c r="Y147" s="6" t="s">
        <v>286</v>
      </c>
      <c r="Z147" s="6" t="s">
        <v>432</v>
      </c>
    </row>
    <row r="148" spans="1:26">
      <c r="A148" s="12">
        <v>147</v>
      </c>
      <c r="B148" s="6" t="s">
        <v>767</v>
      </c>
      <c r="C148" s="6" t="s">
        <v>768</v>
      </c>
      <c r="D148" s="6" t="s">
        <v>86</v>
      </c>
      <c r="E148" s="7">
        <v>45053</v>
      </c>
      <c r="F148" s="6" t="s">
        <v>26</v>
      </c>
      <c r="G148" s="6" t="s">
        <v>769</v>
      </c>
      <c r="H148" s="6" t="s">
        <v>770</v>
      </c>
      <c r="I148" s="6" t="s">
        <v>90</v>
      </c>
      <c r="J148" s="6" t="s">
        <v>91</v>
      </c>
      <c r="K148" s="6" t="s">
        <v>92</v>
      </c>
      <c r="L148" s="6" t="s">
        <v>90</v>
      </c>
      <c r="M148" s="6" t="s">
        <v>27</v>
      </c>
      <c r="N148" s="6" t="s">
        <v>94</v>
      </c>
      <c r="O148" s="6" t="s">
        <v>27</v>
      </c>
      <c r="P148" s="6" t="s">
        <v>95</v>
      </c>
      <c r="Q148" s="6" t="s">
        <v>296</v>
      </c>
      <c r="R148" s="6" t="s">
        <v>381</v>
      </c>
      <c r="S148" s="6" t="str">
        <f>VLOOKUP(R148,Customer_Mapping!A:B,2,FALSE)</f>
        <v>Customer_012</v>
      </c>
      <c r="T148" s="6" t="s">
        <v>283</v>
      </c>
      <c r="U148" s="6" t="s">
        <v>771</v>
      </c>
      <c r="V148" s="6" t="s">
        <v>378</v>
      </c>
      <c r="W148" s="6" t="str">
        <f>IF(U148="","",IFERROR(_xlfn.XLOOKUP(U148,Mapping!$A:$A,Mapping!$B:$B),""))</f>
        <v>Project_041</v>
      </c>
      <c r="X148" s="6" t="str">
        <f>IF(V148="","",IFERROR(_xlfn.XLOOKUP(V148,Mapping!$A:$A,Mapping!$B:$B),""))</f>
        <v>Project_018</v>
      </c>
      <c r="Y148" s="6" t="s">
        <v>286</v>
      </c>
      <c r="Z148" s="6" t="s">
        <v>27</v>
      </c>
    </row>
    <row r="149" spans="1:26">
      <c r="A149" s="12">
        <v>148</v>
      </c>
      <c r="B149" s="6" t="s">
        <v>772</v>
      </c>
      <c r="C149" s="6" t="s">
        <v>773</v>
      </c>
      <c r="D149" s="6" t="s">
        <v>251</v>
      </c>
      <c r="E149" s="7">
        <v>46235</v>
      </c>
      <c r="F149" s="6" t="s">
        <v>111</v>
      </c>
      <c r="G149" s="6" t="s">
        <v>94</v>
      </c>
      <c r="H149" s="6" t="s">
        <v>94</v>
      </c>
      <c r="I149" s="6" t="s">
        <v>90</v>
      </c>
      <c r="J149" s="6" t="s">
        <v>91</v>
      </c>
      <c r="K149" s="6" t="s">
        <v>92</v>
      </c>
      <c r="L149" s="6" t="s">
        <v>90</v>
      </c>
      <c r="M149" s="6" t="s">
        <v>94</v>
      </c>
      <c r="N149" s="6" t="s">
        <v>94</v>
      </c>
      <c r="O149" s="6" t="s">
        <v>94</v>
      </c>
      <c r="P149" s="6" t="s">
        <v>94</v>
      </c>
      <c r="Q149" s="6" t="s">
        <v>418</v>
      </c>
      <c r="R149" s="6" t="s">
        <v>446</v>
      </c>
      <c r="S149" s="6" t="e">
        <f>VLOOKUP(R149,Customer_Mapping!A:B,2,FALSE)</f>
        <v>#N/A</v>
      </c>
      <c r="T149" s="6" t="s">
        <v>774</v>
      </c>
      <c r="U149" s="6" t="s">
        <v>387</v>
      </c>
      <c r="V149" s="6" t="s">
        <v>771</v>
      </c>
      <c r="W149" s="6" t="str">
        <f>IF(U149="","",IFERROR(_xlfn.XLOOKUP(U149,Mapping!$A:$A,Mapping!$B:$B),""))</f>
        <v>Project_020</v>
      </c>
      <c r="X149" s="6" t="str">
        <f>IF(V149="","",IFERROR(_xlfn.XLOOKUP(V149,Mapping!$A:$A,Mapping!$B:$B),""))</f>
        <v>Project_041</v>
      </c>
      <c r="Y149" s="6" t="s">
        <v>448</v>
      </c>
      <c r="Z149" s="6" t="s">
        <v>94</v>
      </c>
    </row>
    <row r="150" spans="1:26">
      <c r="A150" s="12">
        <v>149</v>
      </c>
      <c r="B150" s="6" t="s">
        <v>775</v>
      </c>
      <c r="C150" s="6" t="s">
        <v>776</v>
      </c>
      <c r="D150" s="6" t="s">
        <v>86</v>
      </c>
      <c r="E150" s="7">
        <v>44973</v>
      </c>
      <c r="F150" s="6" t="s">
        <v>26</v>
      </c>
      <c r="G150" s="6" t="s">
        <v>94</v>
      </c>
      <c r="H150" s="6" t="s">
        <v>777</v>
      </c>
      <c r="I150" s="6" t="s">
        <v>90</v>
      </c>
      <c r="J150" s="6" t="s">
        <v>91</v>
      </c>
      <c r="K150" s="6" t="s">
        <v>92</v>
      </c>
      <c r="L150" s="6" t="s">
        <v>90</v>
      </c>
      <c r="M150" s="6" t="s">
        <v>27</v>
      </c>
      <c r="N150" s="6" t="s">
        <v>104</v>
      </c>
      <c r="O150" s="6" t="s">
        <v>136</v>
      </c>
      <c r="P150" s="6" t="s">
        <v>95</v>
      </c>
      <c r="Q150" s="6" t="s">
        <v>296</v>
      </c>
      <c r="R150" s="6" t="s">
        <v>391</v>
      </c>
      <c r="S150" s="6" t="str">
        <f>VLOOKUP(R150,Customer_Mapping!A:B,2,FALSE)</f>
        <v>Customer_014</v>
      </c>
      <c r="T150" s="6" t="s">
        <v>386</v>
      </c>
      <c r="U150" s="6" t="s">
        <v>354</v>
      </c>
      <c r="V150" s="6" t="s">
        <v>387</v>
      </c>
      <c r="W150" s="6" t="str">
        <f>IF(U150="","",IFERROR(_xlfn.XLOOKUP(U150,Mapping!$A:$A,Mapping!$B:$B),""))</f>
        <v>Project_015</v>
      </c>
      <c r="X150" s="6" t="str">
        <f>IF(V150="","",IFERROR(_xlfn.XLOOKUP(V150,Mapping!$A:$A,Mapping!$B:$B),""))</f>
        <v>Project_020</v>
      </c>
      <c r="Y150" s="6" t="s">
        <v>286</v>
      </c>
      <c r="Z150" s="6" t="s">
        <v>27</v>
      </c>
    </row>
    <row r="151" spans="1:26">
      <c r="A151" s="12">
        <v>150</v>
      </c>
      <c r="B151" s="6" t="s">
        <v>778</v>
      </c>
      <c r="C151" s="6" t="s">
        <v>779</v>
      </c>
      <c r="D151" s="6" t="s">
        <v>86</v>
      </c>
      <c r="E151" s="7">
        <v>43745</v>
      </c>
      <c r="F151" s="6" t="s">
        <v>100</v>
      </c>
      <c r="G151" s="6" t="s">
        <v>526</v>
      </c>
      <c r="H151" s="6" t="s">
        <v>780</v>
      </c>
      <c r="I151" s="6" t="s">
        <v>90</v>
      </c>
      <c r="J151" s="6" t="s">
        <v>91</v>
      </c>
      <c r="K151" s="6" t="s">
        <v>92</v>
      </c>
      <c r="L151" s="6" t="s">
        <v>90</v>
      </c>
      <c r="M151" s="6" t="s">
        <v>416</v>
      </c>
      <c r="N151" s="6" t="s">
        <v>94</v>
      </c>
      <c r="O151" s="6" t="s">
        <v>93</v>
      </c>
      <c r="P151" s="6" t="s">
        <v>104</v>
      </c>
      <c r="Q151" s="6" t="s">
        <v>304</v>
      </c>
      <c r="R151" s="6" t="s">
        <v>357</v>
      </c>
      <c r="S151" s="6" t="str">
        <f>VLOOKUP(R151,Customer_Mapping!A:B,2,FALSE)</f>
        <v>Customer_011</v>
      </c>
      <c r="T151" s="6" t="s">
        <v>283</v>
      </c>
      <c r="U151" s="6" t="s">
        <v>318</v>
      </c>
      <c r="V151" s="6" t="s">
        <v>354</v>
      </c>
      <c r="W151" s="6" t="str">
        <f>IF(U151="","",IFERROR(_xlfn.XLOOKUP(U151,Mapping!$A:$A,Mapping!$B:$B),""))</f>
        <v>Project_008</v>
      </c>
      <c r="X151" s="6" t="str">
        <f>IF(V151="","",IFERROR(_xlfn.XLOOKUP(V151,Mapping!$A:$A,Mapping!$B:$B),""))</f>
        <v>Project_015</v>
      </c>
      <c r="Y151" s="6" t="s">
        <v>286</v>
      </c>
      <c r="Z151" s="6" t="s">
        <v>416</v>
      </c>
    </row>
    <row r="152" spans="1:26">
      <c r="A152" s="12">
        <v>151</v>
      </c>
      <c r="B152" s="6" t="s">
        <v>781</v>
      </c>
      <c r="C152" s="6" t="s">
        <v>782</v>
      </c>
      <c r="D152" s="6" t="s">
        <v>86</v>
      </c>
      <c r="E152" s="7">
        <v>41775</v>
      </c>
      <c r="F152" s="6" t="s">
        <v>4</v>
      </c>
      <c r="G152" s="6" t="s">
        <v>182</v>
      </c>
      <c r="H152" s="6" t="s">
        <v>783</v>
      </c>
      <c r="I152" s="6" t="s">
        <v>90</v>
      </c>
      <c r="J152" s="6" t="s">
        <v>91</v>
      </c>
      <c r="K152" s="6" t="s">
        <v>92</v>
      </c>
      <c r="L152" s="6" t="s">
        <v>90</v>
      </c>
      <c r="M152" s="6" t="s">
        <v>784</v>
      </c>
      <c r="N152" s="6" t="s">
        <v>95</v>
      </c>
      <c r="O152" s="6" t="s">
        <v>93</v>
      </c>
      <c r="P152" s="6" t="s">
        <v>122</v>
      </c>
      <c r="Q152" s="6" t="s">
        <v>399</v>
      </c>
      <c r="R152" s="6" t="s">
        <v>308</v>
      </c>
      <c r="S152" s="6" t="str">
        <f>VLOOKUP(R152,Customer_Mapping!A:B,2,FALSE)</f>
        <v>Customer_004</v>
      </c>
      <c r="T152" s="6" t="s">
        <v>283</v>
      </c>
      <c r="U152" s="6" t="s">
        <v>339</v>
      </c>
      <c r="V152" s="6" t="s">
        <v>318</v>
      </c>
      <c r="W152" s="6" t="str">
        <f>IF(U152="","",IFERROR(_xlfn.XLOOKUP(U152,Mapping!$A:$A,Mapping!$B:$B),""))</f>
        <v>Project_012</v>
      </c>
      <c r="X152" s="6" t="str">
        <f>IF(V152="","",IFERROR(_xlfn.XLOOKUP(V152,Mapping!$A:$A,Mapping!$B:$B),""))</f>
        <v>Project_008</v>
      </c>
      <c r="Y152" s="6" t="s">
        <v>286</v>
      </c>
      <c r="Z152" s="6" t="s">
        <v>784</v>
      </c>
    </row>
    <row r="153" spans="1:26">
      <c r="A153" s="12">
        <v>152</v>
      </c>
      <c r="B153" s="6" t="s">
        <v>785</v>
      </c>
      <c r="C153" s="6" t="s">
        <v>786</v>
      </c>
      <c r="D153" s="6" t="s">
        <v>86</v>
      </c>
      <c r="E153" s="7">
        <v>44470</v>
      </c>
      <c r="F153" s="6" t="s">
        <v>204</v>
      </c>
      <c r="G153" s="6" t="s">
        <v>787</v>
      </c>
      <c r="H153" s="6" t="s">
        <v>788</v>
      </c>
      <c r="I153" s="6" t="s">
        <v>90</v>
      </c>
      <c r="J153" s="6" t="s">
        <v>91</v>
      </c>
      <c r="K153" s="6" t="s">
        <v>92</v>
      </c>
      <c r="L153" s="6" t="s">
        <v>90</v>
      </c>
      <c r="M153" s="6" t="s">
        <v>43</v>
      </c>
      <c r="N153" s="6" t="s">
        <v>122</v>
      </c>
      <c r="O153" s="6" t="s">
        <v>103</v>
      </c>
      <c r="P153" s="6" t="s">
        <v>122</v>
      </c>
      <c r="Q153" s="6" t="s">
        <v>321</v>
      </c>
      <c r="R153" s="6" t="s">
        <v>334</v>
      </c>
      <c r="S153" s="6" t="str">
        <f>VLOOKUP(R153,Customer_Mapping!A:B,2,FALSE)</f>
        <v>Customer_009</v>
      </c>
      <c r="T153" s="6" t="s">
        <v>335</v>
      </c>
      <c r="U153" s="6" t="s">
        <v>789</v>
      </c>
      <c r="V153" s="6" t="s">
        <v>339</v>
      </c>
      <c r="W153" s="6" t="str">
        <f>IF(U153="","",IFERROR(_xlfn.XLOOKUP(U153,Mapping!$A:$A,Mapping!$B:$B),""))</f>
        <v>Project_042</v>
      </c>
      <c r="X153" s="6" t="str">
        <f>IF(V153="","",IFERROR(_xlfn.XLOOKUP(V153,Mapping!$A:$A,Mapping!$B:$B),""))</f>
        <v>Project_012</v>
      </c>
      <c r="Y153" s="6" t="s">
        <v>286</v>
      </c>
      <c r="Z153" s="6" t="s">
        <v>43</v>
      </c>
    </row>
    <row r="154" spans="1:26">
      <c r="A154" s="12">
        <v>153</v>
      </c>
      <c r="B154" s="6" t="s">
        <v>790</v>
      </c>
      <c r="C154" s="6" t="s">
        <v>791</v>
      </c>
      <c r="D154" s="6" t="s">
        <v>86</v>
      </c>
      <c r="E154" s="7">
        <v>43252</v>
      </c>
      <c r="F154" s="6" t="s">
        <v>204</v>
      </c>
      <c r="G154" s="6" t="s">
        <v>495</v>
      </c>
      <c r="H154" s="6" t="s">
        <v>792</v>
      </c>
      <c r="I154" s="6" t="s">
        <v>90</v>
      </c>
      <c r="J154" s="6" t="s">
        <v>91</v>
      </c>
      <c r="K154" s="6" t="s">
        <v>92</v>
      </c>
      <c r="L154" s="6" t="s">
        <v>90</v>
      </c>
      <c r="M154" s="6" t="s">
        <v>43</v>
      </c>
      <c r="N154" s="6" t="s">
        <v>122</v>
      </c>
      <c r="O154" s="6" t="s">
        <v>43</v>
      </c>
      <c r="P154" s="6" t="s">
        <v>95</v>
      </c>
      <c r="Q154" s="6" t="s">
        <v>321</v>
      </c>
      <c r="R154" s="6" t="s">
        <v>793</v>
      </c>
      <c r="S154" s="6" t="str">
        <f>VLOOKUP(R154,Customer_Mapping!A:B,2,FALSE)</f>
        <v>Customer_020</v>
      </c>
      <c r="T154" s="6" t="s">
        <v>794</v>
      </c>
      <c r="U154" s="6" t="s">
        <v>341</v>
      </c>
      <c r="V154" s="6" t="s">
        <v>789</v>
      </c>
      <c r="W154" s="6" t="str">
        <f>IF(U154="","",IFERROR(_xlfn.XLOOKUP(U154,Mapping!$A:$A,Mapping!$B:$B),""))</f>
        <v>Project_013</v>
      </c>
      <c r="X154" s="6" t="str">
        <f>IF(V154="","",IFERROR(_xlfn.XLOOKUP(V154,Mapping!$A:$A,Mapping!$B:$B),""))</f>
        <v>Project_042</v>
      </c>
      <c r="Y154" s="6" t="s">
        <v>286</v>
      </c>
      <c r="Z154" s="6" t="s">
        <v>43</v>
      </c>
    </row>
    <row r="155" spans="1:26">
      <c r="A155" s="12">
        <v>154</v>
      </c>
      <c r="B155" s="6" t="s">
        <v>795</v>
      </c>
      <c r="C155" s="6" t="s">
        <v>796</v>
      </c>
      <c r="D155" s="6" t="s">
        <v>86</v>
      </c>
      <c r="E155" s="7">
        <v>45931</v>
      </c>
      <c r="F155" s="6" t="s">
        <v>111</v>
      </c>
      <c r="G155" s="6" t="s">
        <v>94</v>
      </c>
      <c r="H155" s="6" t="s">
        <v>797</v>
      </c>
      <c r="I155" s="6" t="s">
        <v>90</v>
      </c>
      <c r="J155" s="6" t="s">
        <v>91</v>
      </c>
      <c r="K155" s="6" t="s">
        <v>92</v>
      </c>
      <c r="L155" s="6" t="s">
        <v>90</v>
      </c>
      <c r="M155" s="6" t="s">
        <v>94</v>
      </c>
      <c r="N155" s="6" t="s">
        <v>94</v>
      </c>
      <c r="O155" s="6" t="s">
        <v>136</v>
      </c>
      <c r="P155" s="6" t="s">
        <v>95</v>
      </c>
      <c r="Q155" s="6" t="s">
        <v>281</v>
      </c>
      <c r="R155" s="6" t="s">
        <v>282</v>
      </c>
      <c r="S155" s="6" t="str">
        <f>VLOOKUP(R155,Customer_Mapping!A:B,2,FALSE)</f>
        <v>Customer_001</v>
      </c>
      <c r="T155" s="6" t="s">
        <v>283</v>
      </c>
      <c r="U155" s="6" t="s">
        <v>387</v>
      </c>
      <c r="V155" s="6" t="s">
        <v>341</v>
      </c>
      <c r="W155" s="6" t="str">
        <f>IF(U155="","",IFERROR(_xlfn.XLOOKUP(U155,Mapping!$A:$A,Mapping!$B:$B),""))</f>
        <v>Project_020</v>
      </c>
      <c r="X155" s="6" t="str">
        <f>IF(V155="","",IFERROR(_xlfn.XLOOKUP(V155,Mapping!$A:$A,Mapping!$B:$B),""))</f>
        <v>Project_013</v>
      </c>
      <c r="Y155" s="6" t="s">
        <v>286</v>
      </c>
      <c r="Z155" s="6" t="s">
        <v>94</v>
      </c>
    </row>
    <row r="156" spans="1:26">
      <c r="A156" s="12">
        <v>155</v>
      </c>
      <c r="B156" s="6" t="s">
        <v>798</v>
      </c>
      <c r="C156" s="6" t="s">
        <v>799</v>
      </c>
      <c r="D156" s="6" t="s">
        <v>86</v>
      </c>
      <c r="E156" s="7">
        <v>44896</v>
      </c>
      <c r="F156" s="6" t="s">
        <v>288</v>
      </c>
      <c r="G156" s="6" t="s">
        <v>371</v>
      </c>
      <c r="H156" s="6" t="s">
        <v>800</v>
      </c>
      <c r="I156" s="6" t="s">
        <v>90</v>
      </c>
      <c r="J156" s="6" t="s">
        <v>91</v>
      </c>
      <c r="K156" s="6" t="s">
        <v>92</v>
      </c>
      <c r="L156" s="6" t="s">
        <v>90</v>
      </c>
      <c r="M156" s="6" t="s">
        <v>131</v>
      </c>
      <c r="N156" s="6" t="s">
        <v>104</v>
      </c>
      <c r="O156" s="6" t="s">
        <v>136</v>
      </c>
      <c r="P156" s="6" t="s">
        <v>95</v>
      </c>
      <c r="Q156" s="6" t="s">
        <v>291</v>
      </c>
      <c r="R156" s="6" t="s">
        <v>391</v>
      </c>
      <c r="S156" s="6" t="str">
        <f>VLOOKUP(R156,Customer_Mapping!A:B,2,FALSE)</f>
        <v>Customer_014</v>
      </c>
      <c r="T156" s="6" t="s">
        <v>386</v>
      </c>
      <c r="U156" s="6" t="s">
        <v>339</v>
      </c>
      <c r="V156" s="6" t="s">
        <v>387</v>
      </c>
      <c r="W156" s="6" t="str">
        <f>IF(U156="","",IFERROR(_xlfn.XLOOKUP(U156,Mapping!$A:$A,Mapping!$B:$B),""))</f>
        <v>Project_012</v>
      </c>
      <c r="X156" s="6" t="str">
        <f>IF(V156="","",IFERROR(_xlfn.XLOOKUP(V156,Mapping!$A:$A,Mapping!$B:$B),""))</f>
        <v>Project_020</v>
      </c>
      <c r="Y156" s="6" t="s">
        <v>286</v>
      </c>
      <c r="Z156" s="6" t="s">
        <v>131</v>
      </c>
    </row>
    <row r="157" spans="1:26">
      <c r="A157" s="12">
        <v>156</v>
      </c>
      <c r="B157" s="6" t="s">
        <v>801</v>
      </c>
      <c r="C157" s="6" t="s">
        <v>802</v>
      </c>
      <c r="D157" s="6" t="s">
        <v>86</v>
      </c>
      <c r="E157" s="7">
        <v>44850</v>
      </c>
      <c r="F157" s="6" t="s">
        <v>288</v>
      </c>
      <c r="G157" s="6" t="s">
        <v>146</v>
      </c>
      <c r="H157" s="6" t="s">
        <v>803</v>
      </c>
      <c r="I157" s="6" t="s">
        <v>90</v>
      </c>
      <c r="J157" s="6" t="s">
        <v>91</v>
      </c>
      <c r="K157" s="6" t="s">
        <v>92</v>
      </c>
      <c r="L157" s="6" t="s">
        <v>90</v>
      </c>
      <c r="M157" s="6" t="s">
        <v>103</v>
      </c>
      <c r="N157" s="6" t="s">
        <v>104</v>
      </c>
      <c r="O157" s="6" t="s">
        <v>184</v>
      </c>
      <c r="P157" s="6" t="s">
        <v>104</v>
      </c>
      <c r="Q157" s="6" t="s">
        <v>291</v>
      </c>
      <c r="R157" s="6" t="s">
        <v>334</v>
      </c>
      <c r="S157" s="6" t="str">
        <f>VLOOKUP(R157,Customer_Mapping!A:B,2,FALSE)</f>
        <v>Customer_009</v>
      </c>
      <c r="T157" s="6" t="s">
        <v>335</v>
      </c>
      <c r="U157" s="6" t="s">
        <v>387</v>
      </c>
      <c r="V157" s="6" t="s">
        <v>339</v>
      </c>
      <c r="W157" s="6" t="str">
        <f>IF(U157="","",IFERROR(_xlfn.XLOOKUP(U157,Mapping!$A:$A,Mapping!$B:$B),""))</f>
        <v>Project_020</v>
      </c>
      <c r="X157" s="6" t="str">
        <f>IF(V157="","",IFERROR(_xlfn.XLOOKUP(V157,Mapping!$A:$A,Mapping!$B:$B),""))</f>
        <v>Project_012</v>
      </c>
      <c r="Y157" s="6" t="s">
        <v>286</v>
      </c>
      <c r="Z157" s="6" t="s">
        <v>103</v>
      </c>
    </row>
    <row r="158" spans="1:26">
      <c r="A158" s="12">
        <v>157</v>
      </c>
      <c r="B158" s="6" t="s">
        <v>804</v>
      </c>
      <c r="C158" s="6" t="s">
        <v>805</v>
      </c>
      <c r="D158" s="6" t="s">
        <v>86</v>
      </c>
      <c r="E158" s="7">
        <v>43191</v>
      </c>
      <c r="F158" s="6" t="s">
        <v>204</v>
      </c>
      <c r="G158" s="6" t="s">
        <v>187</v>
      </c>
      <c r="H158" s="6" t="s">
        <v>806</v>
      </c>
      <c r="I158" s="6" t="s">
        <v>90</v>
      </c>
      <c r="J158" s="6" t="s">
        <v>91</v>
      </c>
      <c r="K158" s="6" t="s">
        <v>92</v>
      </c>
      <c r="L158" s="6" t="s">
        <v>90</v>
      </c>
      <c r="M158" s="6" t="s">
        <v>103</v>
      </c>
      <c r="N158" s="6" t="s">
        <v>94</v>
      </c>
      <c r="O158" s="6" t="s">
        <v>43</v>
      </c>
      <c r="P158" s="6" t="s">
        <v>95</v>
      </c>
      <c r="Q158" s="6" t="s">
        <v>403</v>
      </c>
      <c r="R158" s="6" t="s">
        <v>391</v>
      </c>
      <c r="S158" s="6" t="str">
        <f>VLOOKUP(R158,Customer_Mapping!A:B,2,FALSE)</f>
        <v>Customer_014</v>
      </c>
      <c r="T158" s="6" t="s">
        <v>386</v>
      </c>
      <c r="U158" s="6" t="s">
        <v>305</v>
      </c>
      <c r="V158" s="6" t="s">
        <v>387</v>
      </c>
      <c r="W158" s="6" t="str">
        <f>IF(U158="","",IFERROR(_xlfn.XLOOKUP(U158,Mapping!$A:$A,Mapping!$B:$B),""))</f>
        <v>Project_005</v>
      </c>
      <c r="X158" s="6" t="str">
        <f>IF(V158="","",IFERROR(_xlfn.XLOOKUP(V158,Mapping!$A:$A,Mapping!$B:$B),""))</f>
        <v>Project_020</v>
      </c>
      <c r="Y158" s="6" t="s">
        <v>286</v>
      </c>
      <c r="Z158" s="6" t="s">
        <v>103</v>
      </c>
    </row>
    <row r="159" spans="1:26">
      <c r="A159" s="12">
        <v>158</v>
      </c>
      <c r="B159" s="6" t="s">
        <v>807</v>
      </c>
      <c r="C159" s="6" t="s">
        <v>808</v>
      </c>
      <c r="D159" s="6" t="s">
        <v>86</v>
      </c>
      <c r="E159" s="7">
        <v>40910</v>
      </c>
      <c r="F159" s="6" t="s">
        <v>4</v>
      </c>
      <c r="G159" s="6" t="s">
        <v>311</v>
      </c>
      <c r="H159" s="6" t="s">
        <v>809</v>
      </c>
      <c r="I159" s="6" t="s">
        <v>90</v>
      </c>
      <c r="J159" s="6" t="s">
        <v>91</v>
      </c>
      <c r="K159" s="6" t="s">
        <v>92</v>
      </c>
      <c r="L159" s="6" t="s">
        <v>90</v>
      </c>
      <c r="M159" s="6" t="s">
        <v>93</v>
      </c>
      <c r="N159" s="6" t="s">
        <v>94</v>
      </c>
      <c r="O159" s="6" t="s">
        <v>93</v>
      </c>
      <c r="P159" s="6" t="s">
        <v>95</v>
      </c>
      <c r="Q159" s="6" t="s">
        <v>399</v>
      </c>
      <c r="R159" s="6" t="s">
        <v>308</v>
      </c>
      <c r="S159" s="6" t="str">
        <f>VLOOKUP(R159,Customer_Mapping!A:B,2,FALSE)</f>
        <v>Customer_004</v>
      </c>
      <c r="T159" s="6" t="s">
        <v>283</v>
      </c>
      <c r="U159" s="6" t="s">
        <v>348</v>
      </c>
      <c r="V159" s="6" t="s">
        <v>305</v>
      </c>
      <c r="W159" s="6" t="str">
        <f>IF(U159="","",IFERROR(_xlfn.XLOOKUP(U159,Mapping!$A:$A,Mapping!$B:$B),""))</f>
        <v>Project_014</v>
      </c>
      <c r="X159" s="6" t="str">
        <f>IF(V159="","",IFERROR(_xlfn.XLOOKUP(V159,Mapping!$A:$A,Mapping!$B:$B),""))</f>
        <v>Project_005</v>
      </c>
      <c r="Y159" s="6" t="s">
        <v>286</v>
      </c>
      <c r="Z159" s="6" t="s">
        <v>93</v>
      </c>
    </row>
    <row r="160" spans="1:26">
      <c r="A160" s="12">
        <v>159</v>
      </c>
      <c r="B160" s="6" t="s">
        <v>810</v>
      </c>
      <c r="C160" s="6" t="s">
        <v>811</v>
      </c>
      <c r="D160" s="6" t="s">
        <v>86</v>
      </c>
      <c r="E160" s="7">
        <v>45612</v>
      </c>
      <c r="F160" s="6" t="s">
        <v>288</v>
      </c>
      <c r="G160" s="6" t="s">
        <v>94</v>
      </c>
      <c r="H160" s="6" t="s">
        <v>94</v>
      </c>
      <c r="I160" s="6" t="s">
        <v>90</v>
      </c>
      <c r="J160" s="6" t="s">
        <v>91</v>
      </c>
      <c r="K160" s="6" t="s">
        <v>92</v>
      </c>
      <c r="L160" s="6" t="s">
        <v>90</v>
      </c>
      <c r="M160" s="6" t="s">
        <v>94</v>
      </c>
      <c r="N160" s="6" t="s">
        <v>94</v>
      </c>
      <c r="O160" s="6" t="s">
        <v>103</v>
      </c>
      <c r="P160" s="6" t="s">
        <v>104</v>
      </c>
      <c r="Q160" s="6" t="s">
        <v>291</v>
      </c>
      <c r="R160" s="6" t="s">
        <v>351</v>
      </c>
      <c r="S160" s="6" t="str">
        <f>VLOOKUP(R160,Customer_Mapping!A:B,2,FALSE)</f>
        <v>Customer_010</v>
      </c>
      <c r="T160" s="6" t="s">
        <v>283</v>
      </c>
      <c r="U160" s="6" t="s">
        <v>301</v>
      </c>
      <c r="V160" s="6" t="s">
        <v>348</v>
      </c>
      <c r="W160" s="6" t="str">
        <f>IF(U160="","",IFERROR(_xlfn.XLOOKUP(U160,Mapping!$A:$A,Mapping!$B:$B),""))</f>
        <v>Project_004</v>
      </c>
      <c r="X160" s="6" t="str">
        <f>IF(V160="","",IFERROR(_xlfn.XLOOKUP(V160,Mapping!$A:$A,Mapping!$B:$B),""))</f>
        <v>Project_014</v>
      </c>
      <c r="Y160" s="6" t="s">
        <v>286</v>
      </c>
      <c r="Z160" s="6" t="s">
        <v>94</v>
      </c>
    </row>
    <row r="161" spans="1:26">
      <c r="A161" s="12">
        <v>160</v>
      </c>
      <c r="B161" s="6" t="s">
        <v>812</v>
      </c>
      <c r="C161" s="6" t="s">
        <v>813</v>
      </c>
      <c r="D161" s="6" t="s">
        <v>86</v>
      </c>
      <c r="E161" s="7">
        <v>43472</v>
      </c>
      <c r="F161" s="6" t="s">
        <v>150</v>
      </c>
      <c r="G161" s="6" t="s">
        <v>94</v>
      </c>
      <c r="H161" s="6" t="s">
        <v>94</v>
      </c>
      <c r="I161" s="6" t="s">
        <v>90</v>
      </c>
      <c r="J161" s="6" t="s">
        <v>91</v>
      </c>
      <c r="K161" s="6" t="s">
        <v>92</v>
      </c>
      <c r="L161" s="6" t="s">
        <v>90</v>
      </c>
      <c r="M161" s="6" t="s">
        <v>103</v>
      </c>
      <c r="N161" s="6" t="s">
        <v>94</v>
      </c>
      <c r="O161" s="6" t="s">
        <v>27</v>
      </c>
      <c r="P161" s="6" t="s">
        <v>95</v>
      </c>
      <c r="Q161" s="6" t="s">
        <v>445</v>
      </c>
      <c r="R161" s="6" t="s">
        <v>282</v>
      </c>
      <c r="S161" s="6" t="str">
        <f>VLOOKUP(R161,Customer_Mapping!A:B,2,FALSE)</f>
        <v>Customer_001</v>
      </c>
      <c r="T161" s="6" t="s">
        <v>283</v>
      </c>
      <c r="U161" s="6" t="s">
        <v>814</v>
      </c>
      <c r="V161" s="6" t="s">
        <v>301</v>
      </c>
      <c r="W161" s="6" t="str">
        <f>IF(U161="","",IFERROR(_xlfn.XLOOKUP(U161,Mapping!$A:$A,Mapping!$B:$B),""))</f>
        <v>Project_043</v>
      </c>
      <c r="X161" s="6" t="str">
        <f>IF(V161="","",IFERROR(_xlfn.XLOOKUP(V161,Mapping!$A:$A,Mapping!$B:$B),""))</f>
        <v>Project_004</v>
      </c>
      <c r="Y161" s="6" t="s">
        <v>286</v>
      </c>
      <c r="Z161" s="6" t="s">
        <v>103</v>
      </c>
    </row>
    <row r="162" spans="1:26">
      <c r="A162" s="12">
        <v>161</v>
      </c>
      <c r="B162" s="6" t="s">
        <v>815</v>
      </c>
      <c r="C162" s="6" t="s">
        <v>816</v>
      </c>
      <c r="D162" s="6" t="s">
        <v>86</v>
      </c>
      <c r="E162" s="7">
        <v>43868</v>
      </c>
      <c r="F162" s="6" t="s">
        <v>430</v>
      </c>
      <c r="G162" s="6" t="s">
        <v>311</v>
      </c>
      <c r="H162" s="6" t="s">
        <v>817</v>
      </c>
      <c r="I162" s="6" t="s">
        <v>90</v>
      </c>
      <c r="J162" s="6" t="s">
        <v>91</v>
      </c>
      <c r="K162" s="6" t="s">
        <v>92</v>
      </c>
      <c r="L162" s="6" t="s">
        <v>90</v>
      </c>
      <c r="M162" s="6" t="s">
        <v>136</v>
      </c>
      <c r="N162" s="6" t="s">
        <v>417</v>
      </c>
      <c r="O162" s="6" t="s">
        <v>117</v>
      </c>
      <c r="P162" s="6" t="s">
        <v>104</v>
      </c>
      <c r="Q162" s="6" t="s">
        <v>818</v>
      </c>
      <c r="R162" s="6" t="s">
        <v>446</v>
      </c>
      <c r="S162" s="6" t="e">
        <f>VLOOKUP(R162,Customer_Mapping!A:B,2,FALSE)</f>
        <v>#N/A</v>
      </c>
      <c r="T162" s="6" t="s">
        <v>447</v>
      </c>
      <c r="U162" s="6" t="s">
        <v>341</v>
      </c>
      <c r="V162" s="6" t="s">
        <v>814</v>
      </c>
      <c r="W162" s="6" t="str">
        <f>IF(U162="","",IFERROR(_xlfn.XLOOKUP(U162,Mapping!$A:$A,Mapping!$B:$B),""))</f>
        <v>Project_013</v>
      </c>
      <c r="X162" s="6" t="str">
        <f>IF(V162="","",IFERROR(_xlfn.XLOOKUP(V162,Mapping!$A:$A,Mapping!$B:$B),""))</f>
        <v>Project_043</v>
      </c>
      <c r="Y162" s="6" t="s">
        <v>448</v>
      </c>
      <c r="Z162" s="6" t="s">
        <v>136</v>
      </c>
    </row>
    <row r="163" spans="1:26">
      <c r="A163" s="12">
        <v>162</v>
      </c>
      <c r="B163" s="6" t="s">
        <v>819</v>
      </c>
      <c r="C163" s="6" t="s">
        <v>820</v>
      </c>
      <c r="D163" s="6" t="s">
        <v>86</v>
      </c>
      <c r="E163" s="7">
        <v>44287</v>
      </c>
      <c r="F163" s="6" t="s">
        <v>288</v>
      </c>
      <c r="G163" s="6" t="s">
        <v>134</v>
      </c>
      <c r="H163" s="6" t="s">
        <v>821</v>
      </c>
      <c r="I163" s="6" t="s">
        <v>90</v>
      </c>
      <c r="J163" s="6" t="s">
        <v>91</v>
      </c>
      <c r="K163" s="6" t="s">
        <v>92</v>
      </c>
      <c r="L163" s="6" t="s">
        <v>90</v>
      </c>
      <c r="M163" s="6" t="s">
        <v>43</v>
      </c>
      <c r="N163" s="6" t="s">
        <v>94</v>
      </c>
      <c r="O163" s="6" t="s">
        <v>131</v>
      </c>
      <c r="P163" s="6" t="s">
        <v>95</v>
      </c>
      <c r="Q163" s="6" t="s">
        <v>291</v>
      </c>
      <c r="R163" s="6" t="s">
        <v>282</v>
      </c>
      <c r="S163" s="6" t="str">
        <f>VLOOKUP(R163,Customer_Mapping!A:B,2,FALSE)</f>
        <v>Customer_001</v>
      </c>
      <c r="T163" s="6" t="s">
        <v>283</v>
      </c>
      <c r="U163" s="6" t="s">
        <v>94</v>
      </c>
      <c r="V163" s="6" t="s">
        <v>341</v>
      </c>
      <c r="W163" s="6" t="str">
        <f>IF(U163="","",IFERROR(_xlfn.XLOOKUP(U163,Mapping!$A:$A,Mapping!$B:$B),""))</f>
        <v/>
      </c>
      <c r="X163" s="6" t="str">
        <f>IF(V163="","",IFERROR(_xlfn.XLOOKUP(V163,Mapping!$A:$A,Mapping!$B:$B),""))</f>
        <v>Project_013</v>
      </c>
      <c r="Y163" s="6" t="s">
        <v>286</v>
      </c>
      <c r="Z163" s="6" t="s">
        <v>43</v>
      </c>
    </row>
    <row r="164" spans="1:26">
      <c r="A164" s="12">
        <v>163</v>
      </c>
      <c r="B164" s="6" t="s">
        <v>822</v>
      </c>
      <c r="C164" s="6" t="s">
        <v>823</v>
      </c>
      <c r="D164" s="6" t="s">
        <v>86</v>
      </c>
      <c r="E164" s="7">
        <v>45763</v>
      </c>
      <c r="F164" s="6" t="s">
        <v>343</v>
      </c>
      <c r="G164" s="6" t="s">
        <v>120</v>
      </c>
      <c r="H164" s="6" t="s">
        <v>824</v>
      </c>
      <c r="I164" s="6" t="s">
        <v>90</v>
      </c>
      <c r="J164" s="6" t="s">
        <v>91</v>
      </c>
      <c r="K164" s="6" t="s">
        <v>92</v>
      </c>
      <c r="L164" s="6" t="s">
        <v>90</v>
      </c>
      <c r="M164" s="6" t="s">
        <v>94</v>
      </c>
      <c r="N164" s="6" t="s">
        <v>94</v>
      </c>
      <c r="O164" s="6" t="s">
        <v>313</v>
      </c>
      <c r="P164" s="6" t="s">
        <v>122</v>
      </c>
      <c r="Q164" s="6" t="s">
        <v>347</v>
      </c>
      <c r="R164" s="6" t="s">
        <v>94</v>
      </c>
      <c r="S164" s="6" t="e">
        <f>VLOOKUP(R164,Customer_Mapping!A:B,2,FALSE)</f>
        <v>#N/A</v>
      </c>
      <c r="T164" s="6" t="s">
        <v>94</v>
      </c>
      <c r="U164" s="6" t="s">
        <v>94</v>
      </c>
      <c r="V164" s="6" t="s">
        <v>94</v>
      </c>
      <c r="W164" s="6" t="str">
        <f>IF(U164="","",IFERROR(_xlfn.XLOOKUP(U164,Mapping!$A:$A,Mapping!$B:$B),""))</f>
        <v/>
      </c>
      <c r="X164" s="6" t="str">
        <f>IF(V164="","",IFERROR(_xlfn.XLOOKUP(V164,Mapping!$A:$A,Mapping!$B:$B),""))</f>
        <v/>
      </c>
      <c r="Y164" s="6" t="s">
        <v>94</v>
      </c>
      <c r="Z164" s="6" t="s">
        <v>94</v>
      </c>
    </row>
    <row r="165" spans="1:26">
      <c r="A165" s="12">
        <v>164</v>
      </c>
      <c r="B165" s="6" t="s">
        <v>825</v>
      </c>
      <c r="C165" s="6" t="s">
        <v>826</v>
      </c>
      <c r="D165" s="6" t="s">
        <v>86</v>
      </c>
      <c r="E165" s="7">
        <v>44531</v>
      </c>
      <c r="F165" s="6" t="s">
        <v>111</v>
      </c>
      <c r="G165" s="6" t="s">
        <v>182</v>
      </c>
      <c r="H165" s="6" t="s">
        <v>827</v>
      </c>
      <c r="I165" s="6" t="s">
        <v>90</v>
      </c>
      <c r="J165" s="6" t="s">
        <v>91</v>
      </c>
      <c r="K165" s="6" t="s">
        <v>92</v>
      </c>
      <c r="L165" s="6" t="s">
        <v>90</v>
      </c>
      <c r="M165" s="6" t="s">
        <v>675</v>
      </c>
      <c r="N165" s="6" t="s">
        <v>94</v>
      </c>
      <c r="O165" s="6" t="s">
        <v>184</v>
      </c>
      <c r="P165" s="6" t="s">
        <v>104</v>
      </c>
      <c r="Q165" s="6" t="s">
        <v>281</v>
      </c>
      <c r="R165" s="6" t="s">
        <v>94</v>
      </c>
      <c r="S165" s="6" t="e">
        <f>VLOOKUP(R165,Customer_Mapping!A:B,2,FALSE)</f>
        <v>#N/A</v>
      </c>
      <c r="T165" s="6" t="s">
        <v>94</v>
      </c>
      <c r="U165" s="6" t="s">
        <v>464</v>
      </c>
      <c r="V165" s="6" t="s">
        <v>94</v>
      </c>
      <c r="W165" s="6" t="str">
        <f>IF(U165="","",IFERROR(_xlfn.XLOOKUP(U165,Mapping!$A:$A,Mapping!$B:$B),""))</f>
        <v>Project_026</v>
      </c>
      <c r="X165" s="6" t="str">
        <f>IF(V165="","",IFERROR(_xlfn.XLOOKUP(V165,Mapping!$A:$A,Mapping!$B:$B),""))</f>
        <v/>
      </c>
      <c r="Y165" s="6" t="s">
        <v>94</v>
      </c>
      <c r="Z165" s="6" t="s">
        <v>675</v>
      </c>
    </row>
    <row r="166" spans="1:26">
      <c r="A166" s="12">
        <v>165</v>
      </c>
      <c r="B166" s="6" t="s">
        <v>825</v>
      </c>
      <c r="C166" s="6" t="s">
        <v>828</v>
      </c>
      <c r="D166" s="6" t="s">
        <v>86</v>
      </c>
      <c r="E166" s="7">
        <v>44835</v>
      </c>
      <c r="F166" s="6" t="s">
        <v>288</v>
      </c>
      <c r="G166" s="6" t="s">
        <v>311</v>
      </c>
      <c r="H166" s="6" t="s">
        <v>829</v>
      </c>
      <c r="I166" s="6" t="s">
        <v>90</v>
      </c>
      <c r="J166" s="6" t="s">
        <v>91</v>
      </c>
      <c r="K166" s="6" t="s">
        <v>92</v>
      </c>
      <c r="L166" s="6" t="s">
        <v>90</v>
      </c>
      <c r="M166" s="6" t="s">
        <v>131</v>
      </c>
      <c r="N166" s="6" t="s">
        <v>104</v>
      </c>
      <c r="O166" s="6" t="s">
        <v>131</v>
      </c>
      <c r="P166" s="6" t="s">
        <v>95</v>
      </c>
      <c r="Q166" s="6" t="s">
        <v>291</v>
      </c>
      <c r="R166" s="6" t="s">
        <v>308</v>
      </c>
      <c r="S166" s="6" t="str">
        <f>VLOOKUP(R166,Customer_Mapping!A:B,2,FALSE)</f>
        <v>Customer_004</v>
      </c>
      <c r="T166" s="6" t="s">
        <v>283</v>
      </c>
      <c r="U166" s="6" t="s">
        <v>373</v>
      </c>
      <c r="V166" s="6" t="s">
        <v>464</v>
      </c>
      <c r="W166" s="6" t="str">
        <f>IF(U166="","",IFERROR(_xlfn.XLOOKUP(U166,Mapping!$A:$A,Mapping!$B:$B),""))</f>
        <v>Project_016</v>
      </c>
      <c r="X166" s="6" t="str">
        <f>IF(V166="","",IFERROR(_xlfn.XLOOKUP(V166,Mapping!$A:$A,Mapping!$B:$B),""))</f>
        <v>Project_026</v>
      </c>
      <c r="Y166" s="6" t="s">
        <v>286</v>
      </c>
      <c r="Z166" s="6" t="s">
        <v>131</v>
      </c>
    </row>
    <row r="167" spans="1:26">
      <c r="A167" s="12">
        <v>166</v>
      </c>
      <c r="B167" s="6" t="s">
        <v>830</v>
      </c>
      <c r="C167" s="6" t="s">
        <v>831</v>
      </c>
      <c r="D167" s="6" t="s">
        <v>86</v>
      </c>
      <c r="E167" s="7">
        <v>45345</v>
      </c>
      <c r="F167" s="6" t="s">
        <v>288</v>
      </c>
      <c r="G167" s="6" t="s">
        <v>603</v>
      </c>
      <c r="H167" s="6" t="s">
        <v>832</v>
      </c>
      <c r="I167" s="6" t="s">
        <v>90</v>
      </c>
      <c r="J167" s="6" t="s">
        <v>91</v>
      </c>
      <c r="K167" s="6" t="s">
        <v>92</v>
      </c>
      <c r="L167" s="6" t="s">
        <v>90</v>
      </c>
      <c r="M167" s="6" t="s">
        <v>94</v>
      </c>
      <c r="N167" s="6" t="s">
        <v>94</v>
      </c>
      <c r="O167" s="6" t="s">
        <v>131</v>
      </c>
      <c r="P167" s="6" t="s">
        <v>104</v>
      </c>
      <c r="Q167" s="6" t="s">
        <v>291</v>
      </c>
      <c r="R167" s="6" t="s">
        <v>334</v>
      </c>
      <c r="S167" s="6" t="str">
        <f>VLOOKUP(R167,Customer_Mapping!A:B,2,FALSE)</f>
        <v>Customer_009</v>
      </c>
      <c r="T167" s="6" t="s">
        <v>335</v>
      </c>
      <c r="U167" s="6" t="s">
        <v>305</v>
      </c>
      <c r="V167" s="6" t="s">
        <v>373</v>
      </c>
      <c r="W167" s="6" t="str">
        <f>IF(U167="","",IFERROR(_xlfn.XLOOKUP(U167,Mapping!$A:$A,Mapping!$B:$B),""))</f>
        <v>Project_005</v>
      </c>
      <c r="X167" s="6" t="str">
        <f>IF(V167="","",IFERROR(_xlfn.XLOOKUP(V167,Mapping!$A:$A,Mapping!$B:$B),""))</f>
        <v>Project_016</v>
      </c>
      <c r="Y167" s="6" t="s">
        <v>286</v>
      </c>
      <c r="Z167" s="6" t="s">
        <v>94</v>
      </c>
    </row>
    <row r="168" spans="1:26">
      <c r="A168" s="12">
        <v>167</v>
      </c>
      <c r="B168" s="6" t="s">
        <v>833</v>
      </c>
      <c r="C168" s="6" t="s">
        <v>834</v>
      </c>
      <c r="D168" s="6" t="s">
        <v>86</v>
      </c>
      <c r="E168" s="7">
        <v>44562</v>
      </c>
      <c r="F168" s="6" t="s">
        <v>204</v>
      </c>
      <c r="G168" s="6" t="s">
        <v>107</v>
      </c>
      <c r="H168" s="6" t="s">
        <v>835</v>
      </c>
      <c r="I168" s="6" t="s">
        <v>90</v>
      </c>
      <c r="J168" s="6" t="s">
        <v>91</v>
      </c>
      <c r="K168" s="6" t="s">
        <v>92</v>
      </c>
      <c r="L168" s="6" t="s">
        <v>90</v>
      </c>
      <c r="M168" s="6" t="s">
        <v>43</v>
      </c>
      <c r="N168" s="6" t="s">
        <v>94</v>
      </c>
      <c r="O168" s="6" t="s">
        <v>43</v>
      </c>
      <c r="P168" s="6" t="s">
        <v>104</v>
      </c>
      <c r="Q168" s="6" t="s">
        <v>403</v>
      </c>
      <c r="R168" s="6" t="s">
        <v>308</v>
      </c>
      <c r="S168" s="6" t="str">
        <f>VLOOKUP(R168,Customer_Mapping!A:B,2,FALSE)</f>
        <v>Customer_004</v>
      </c>
      <c r="T168" s="6" t="s">
        <v>283</v>
      </c>
      <c r="U168" s="6" t="s">
        <v>464</v>
      </c>
      <c r="V168" s="6" t="s">
        <v>305</v>
      </c>
      <c r="W168" s="6" t="str">
        <f>IF(U168="","",IFERROR(_xlfn.XLOOKUP(U168,Mapping!$A:$A,Mapping!$B:$B),""))</f>
        <v>Project_026</v>
      </c>
      <c r="X168" s="6" t="str">
        <f>IF(V168="","",IFERROR(_xlfn.XLOOKUP(V168,Mapping!$A:$A,Mapping!$B:$B),""))</f>
        <v>Project_005</v>
      </c>
      <c r="Y168" s="6" t="s">
        <v>286</v>
      </c>
      <c r="Z168" s="6" t="s">
        <v>43</v>
      </c>
    </row>
    <row r="169" spans="1:26">
      <c r="A169" s="12">
        <v>168</v>
      </c>
      <c r="B169" s="6" t="s">
        <v>836</v>
      </c>
      <c r="C169" s="6" t="s">
        <v>837</v>
      </c>
      <c r="D169" s="6" t="s">
        <v>86</v>
      </c>
      <c r="E169" s="7">
        <v>44537</v>
      </c>
      <c r="F169" s="6" t="s">
        <v>125</v>
      </c>
      <c r="G169" s="6" t="s">
        <v>107</v>
      </c>
      <c r="H169" s="6" t="s">
        <v>838</v>
      </c>
      <c r="I169" s="6" t="s">
        <v>90</v>
      </c>
      <c r="J169" s="6" t="s">
        <v>91</v>
      </c>
      <c r="K169" s="6" t="s">
        <v>92</v>
      </c>
      <c r="L169" s="6" t="s">
        <v>90</v>
      </c>
      <c r="M169" s="6" t="s">
        <v>184</v>
      </c>
      <c r="N169" s="6" t="s">
        <v>122</v>
      </c>
      <c r="O169" s="6" t="s">
        <v>117</v>
      </c>
      <c r="P169" s="6" t="s">
        <v>122</v>
      </c>
      <c r="Q169" s="6" t="s">
        <v>353</v>
      </c>
      <c r="R169" s="6" t="s">
        <v>308</v>
      </c>
      <c r="S169" s="6" t="str">
        <f>VLOOKUP(R169,Customer_Mapping!A:B,2,FALSE)</f>
        <v>Customer_004</v>
      </c>
      <c r="T169" s="6" t="s">
        <v>283</v>
      </c>
      <c r="U169" s="6" t="s">
        <v>387</v>
      </c>
      <c r="V169" s="6" t="s">
        <v>464</v>
      </c>
      <c r="W169" s="6" t="str">
        <f>IF(U169="","",IFERROR(_xlfn.XLOOKUP(U169,Mapping!$A:$A,Mapping!$B:$B),""))</f>
        <v>Project_020</v>
      </c>
      <c r="X169" s="6" t="str">
        <f>IF(V169="","",IFERROR(_xlfn.XLOOKUP(V169,Mapping!$A:$A,Mapping!$B:$B),""))</f>
        <v>Project_026</v>
      </c>
      <c r="Y169" s="6" t="s">
        <v>286</v>
      </c>
      <c r="Z169" s="6" t="s">
        <v>184</v>
      </c>
    </row>
    <row r="170" spans="1:26">
      <c r="A170" s="12">
        <v>169</v>
      </c>
      <c r="B170" s="6" t="s">
        <v>839</v>
      </c>
      <c r="C170" s="6" t="s">
        <v>840</v>
      </c>
      <c r="D170" s="6" t="s">
        <v>86</v>
      </c>
      <c r="E170" s="7">
        <v>45084</v>
      </c>
      <c r="F170" s="6" t="s">
        <v>111</v>
      </c>
      <c r="G170" s="6" t="s">
        <v>94</v>
      </c>
      <c r="H170" s="6" t="s">
        <v>841</v>
      </c>
      <c r="I170" s="6" t="s">
        <v>90</v>
      </c>
      <c r="J170" s="6" t="s">
        <v>91</v>
      </c>
      <c r="K170" s="6" t="s">
        <v>92</v>
      </c>
      <c r="L170" s="6" t="s">
        <v>90</v>
      </c>
      <c r="M170" s="6" t="s">
        <v>136</v>
      </c>
      <c r="N170" s="6" t="s">
        <v>122</v>
      </c>
      <c r="O170" s="6" t="s">
        <v>131</v>
      </c>
      <c r="P170" s="6" t="s">
        <v>95</v>
      </c>
      <c r="Q170" s="6" t="s">
        <v>418</v>
      </c>
      <c r="R170" s="6" t="s">
        <v>391</v>
      </c>
      <c r="S170" s="6" t="str">
        <f>VLOOKUP(R170,Customer_Mapping!A:B,2,FALSE)</f>
        <v>Customer_014</v>
      </c>
      <c r="T170" s="6" t="s">
        <v>386</v>
      </c>
      <c r="U170" s="6" t="s">
        <v>468</v>
      </c>
      <c r="V170" s="6" t="s">
        <v>387</v>
      </c>
      <c r="W170" s="6" t="str">
        <f>IF(U170="","",IFERROR(_xlfn.XLOOKUP(U170,Mapping!$A:$A,Mapping!$B:$B),""))</f>
        <v>Project_027</v>
      </c>
      <c r="X170" s="6" t="str">
        <f>IF(V170="","",IFERROR(_xlfn.XLOOKUP(V170,Mapping!$A:$A,Mapping!$B:$B),""))</f>
        <v>Project_020</v>
      </c>
      <c r="Y170" s="6" t="s">
        <v>286</v>
      </c>
      <c r="Z170" s="6" t="s">
        <v>136</v>
      </c>
    </row>
    <row r="171" spans="1:26">
      <c r="A171" s="12">
        <v>170</v>
      </c>
      <c r="B171" s="6" t="s">
        <v>842</v>
      </c>
      <c r="C171" s="6" t="s">
        <v>843</v>
      </c>
      <c r="D171" s="6" t="s">
        <v>86</v>
      </c>
      <c r="E171" s="7">
        <v>44309</v>
      </c>
      <c r="F171" s="6" t="s">
        <v>111</v>
      </c>
      <c r="G171" s="6" t="s">
        <v>371</v>
      </c>
      <c r="H171" s="6" t="s">
        <v>844</v>
      </c>
      <c r="I171" s="6" t="s">
        <v>90</v>
      </c>
      <c r="J171" s="6" t="s">
        <v>91</v>
      </c>
      <c r="K171" s="6" t="s">
        <v>92</v>
      </c>
      <c r="L171" s="6" t="s">
        <v>90</v>
      </c>
      <c r="M171" s="6" t="s">
        <v>136</v>
      </c>
      <c r="N171" s="6" t="s">
        <v>95</v>
      </c>
      <c r="O171" s="6" t="s">
        <v>136</v>
      </c>
      <c r="P171" s="6" t="s">
        <v>95</v>
      </c>
      <c r="Q171" s="6" t="s">
        <v>281</v>
      </c>
      <c r="R171" s="6" t="s">
        <v>282</v>
      </c>
      <c r="S171" s="6" t="str">
        <f>VLOOKUP(R171,Customer_Mapping!A:B,2,FALSE)</f>
        <v>Customer_001</v>
      </c>
      <c r="T171" s="6" t="s">
        <v>283</v>
      </c>
      <c r="U171" s="6" t="s">
        <v>301</v>
      </c>
      <c r="V171" s="6" t="s">
        <v>468</v>
      </c>
      <c r="W171" s="6" t="str">
        <f>IF(U171="","",IFERROR(_xlfn.XLOOKUP(U171,Mapping!$A:$A,Mapping!$B:$B),""))</f>
        <v>Project_004</v>
      </c>
      <c r="X171" s="6" t="str">
        <f>IF(V171="","",IFERROR(_xlfn.XLOOKUP(V171,Mapping!$A:$A,Mapping!$B:$B),""))</f>
        <v>Project_027</v>
      </c>
      <c r="Y171" s="6" t="s">
        <v>286</v>
      </c>
      <c r="Z171" s="6" t="s">
        <v>136</v>
      </c>
    </row>
    <row r="172" spans="1:26">
      <c r="A172" s="12">
        <v>171</v>
      </c>
      <c r="B172" s="6" t="s">
        <v>845</v>
      </c>
      <c r="C172" s="6" t="s">
        <v>846</v>
      </c>
      <c r="D172" s="6" t="s">
        <v>86</v>
      </c>
      <c r="E172" s="7">
        <v>43366</v>
      </c>
      <c r="F172" s="6" t="s">
        <v>430</v>
      </c>
      <c r="G172" s="6" t="s">
        <v>603</v>
      </c>
      <c r="H172" s="6" t="s">
        <v>847</v>
      </c>
      <c r="I172" s="6" t="s">
        <v>90</v>
      </c>
      <c r="J172" s="6" t="s">
        <v>91</v>
      </c>
      <c r="K172" s="6" t="s">
        <v>92</v>
      </c>
      <c r="L172" s="6" t="s">
        <v>90</v>
      </c>
      <c r="M172" s="6" t="s">
        <v>313</v>
      </c>
      <c r="N172" s="6" t="s">
        <v>94</v>
      </c>
      <c r="O172" s="6" t="s">
        <v>131</v>
      </c>
      <c r="P172" s="6" t="s">
        <v>122</v>
      </c>
      <c r="Q172" s="6" t="s">
        <v>433</v>
      </c>
      <c r="R172" s="6" t="s">
        <v>282</v>
      </c>
      <c r="S172" s="6" t="str">
        <f>VLOOKUP(R172,Customer_Mapping!A:B,2,FALSE)</f>
        <v>Customer_001</v>
      </c>
      <c r="T172" s="6" t="s">
        <v>283</v>
      </c>
      <c r="U172" s="6" t="s">
        <v>679</v>
      </c>
      <c r="V172" s="6" t="s">
        <v>301</v>
      </c>
      <c r="W172" s="6" t="str">
        <f>IF(U172="","",IFERROR(_xlfn.XLOOKUP(U172,Mapping!$A:$A,Mapping!$B:$B),""))</f>
        <v>Project_038</v>
      </c>
      <c r="X172" s="6" t="str">
        <f>IF(V172="","",IFERROR(_xlfn.XLOOKUP(V172,Mapping!$A:$A,Mapping!$B:$B),""))</f>
        <v>Project_004</v>
      </c>
      <c r="Y172" s="6" t="s">
        <v>286</v>
      </c>
      <c r="Z172" s="6" t="s">
        <v>313</v>
      </c>
    </row>
    <row r="173" spans="1:26">
      <c r="A173" s="12">
        <v>172</v>
      </c>
      <c r="B173" s="6" t="s">
        <v>848</v>
      </c>
      <c r="C173" s="6" t="s">
        <v>849</v>
      </c>
      <c r="D173" s="6" t="s">
        <v>86</v>
      </c>
      <c r="E173" s="7">
        <v>45962</v>
      </c>
      <c r="F173" s="6" t="s">
        <v>111</v>
      </c>
      <c r="G173" s="6" t="s">
        <v>94</v>
      </c>
      <c r="H173" s="6" t="s">
        <v>94</v>
      </c>
      <c r="I173" s="6" t="s">
        <v>90</v>
      </c>
      <c r="J173" s="6" t="s">
        <v>91</v>
      </c>
      <c r="K173" s="6" t="s">
        <v>92</v>
      </c>
      <c r="L173" s="6" t="s">
        <v>90</v>
      </c>
      <c r="M173" s="6" t="s">
        <v>94</v>
      </c>
      <c r="N173" s="6" t="s">
        <v>94</v>
      </c>
      <c r="O173" s="6" t="s">
        <v>584</v>
      </c>
      <c r="P173" s="6" t="s">
        <v>95</v>
      </c>
      <c r="Q173" s="6" t="s">
        <v>281</v>
      </c>
      <c r="R173" s="6" t="s">
        <v>282</v>
      </c>
      <c r="S173" s="6" t="str">
        <f>VLOOKUP(R173,Customer_Mapping!A:B,2,FALSE)</f>
        <v>Customer_001</v>
      </c>
      <c r="T173" s="6" t="s">
        <v>283</v>
      </c>
      <c r="U173" s="6" t="s">
        <v>339</v>
      </c>
      <c r="V173" s="6" t="s">
        <v>679</v>
      </c>
      <c r="W173" s="6" t="str">
        <f>IF(U173="","",IFERROR(_xlfn.XLOOKUP(U173,Mapping!$A:$A,Mapping!$B:$B),""))</f>
        <v>Project_012</v>
      </c>
      <c r="X173" s="6" t="str">
        <f>IF(V173="","",IFERROR(_xlfn.XLOOKUP(V173,Mapping!$A:$A,Mapping!$B:$B),""))</f>
        <v>Project_038</v>
      </c>
      <c r="Y173" s="6" t="s">
        <v>286</v>
      </c>
      <c r="Z173" s="6" t="s">
        <v>94</v>
      </c>
    </row>
    <row r="174" spans="1:26">
      <c r="A174" s="12">
        <v>173</v>
      </c>
      <c r="B174" s="6" t="s">
        <v>850</v>
      </c>
      <c r="C174" s="6" t="s">
        <v>851</v>
      </c>
      <c r="D174" s="6" t="s">
        <v>86</v>
      </c>
      <c r="E174" s="7">
        <v>43466</v>
      </c>
      <c r="F174" s="6" t="s">
        <v>111</v>
      </c>
      <c r="G174" s="6" t="s">
        <v>146</v>
      </c>
      <c r="H174" s="6" t="s">
        <v>852</v>
      </c>
      <c r="I174" s="6" t="s">
        <v>90</v>
      </c>
      <c r="J174" s="6" t="s">
        <v>91</v>
      </c>
      <c r="K174" s="6" t="s">
        <v>92</v>
      </c>
      <c r="L174" s="6" t="s">
        <v>90</v>
      </c>
      <c r="M174" s="6" t="s">
        <v>584</v>
      </c>
      <c r="N174" s="6" t="s">
        <v>94</v>
      </c>
      <c r="O174" s="6" t="s">
        <v>103</v>
      </c>
      <c r="P174" s="6" t="s">
        <v>122</v>
      </c>
      <c r="Q174" s="6" t="s">
        <v>418</v>
      </c>
      <c r="R174" s="6" t="s">
        <v>334</v>
      </c>
      <c r="S174" s="6" t="str">
        <f>VLOOKUP(R174,Customer_Mapping!A:B,2,FALSE)</f>
        <v>Customer_009</v>
      </c>
      <c r="T174" s="6" t="s">
        <v>335</v>
      </c>
      <c r="U174" s="6" t="s">
        <v>94</v>
      </c>
      <c r="V174" s="6" t="s">
        <v>339</v>
      </c>
      <c r="W174" s="6" t="str">
        <f>IF(U174="","",IFERROR(_xlfn.XLOOKUP(U174,Mapping!$A:$A,Mapping!$B:$B),""))</f>
        <v/>
      </c>
      <c r="X174" s="6" t="str">
        <f>IF(V174="","",IFERROR(_xlfn.XLOOKUP(V174,Mapping!$A:$A,Mapping!$B:$B),""))</f>
        <v>Project_012</v>
      </c>
      <c r="Y174" s="6" t="s">
        <v>286</v>
      </c>
      <c r="Z174" s="6" t="s">
        <v>584</v>
      </c>
    </row>
    <row r="175" spans="1:26">
      <c r="A175" s="12">
        <v>174</v>
      </c>
      <c r="B175" s="6" t="s">
        <v>853</v>
      </c>
      <c r="C175" s="6" t="s">
        <v>854</v>
      </c>
      <c r="D175" s="6" t="s">
        <v>251</v>
      </c>
      <c r="E175" s="7">
        <v>46257</v>
      </c>
      <c r="F175" s="6" t="s">
        <v>111</v>
      </c>
      <c r="G175" s="6" t="s">
        <v>94</v>
      </c>
      <c r="H175" s="6" t="s">
        <v>94</v>
      </c>
      <c r="I175" s="6" t="s">
        <v>213</v>
      </c>
      <c r="J175" s="6" t="s">
        <v>91</v>
      </c>
      <c r="K175" s="6" t="s">
        <v>92</v>
      </c>
      <c r="L175" s="6" t="s">
        <v>213</v>
      </c>
      <c r="M175" s="6" t="s">
        <v>94</v>
      </c>
      <c r="N175" s="6" t="s">
        <v>94</v>
      </c>
      <c r="O175" s="6" t="s">
        <v>94</v>
      </c>
      <c r="P175" s="6" t="s">
        <v>94</v>
      </c>
      <c r="Q175" s="6" t="s">
        <v>281</v>
      </c>
      <c r="R175" s="6" t="s">
        <v>94</v>
      </c>
      <c r="S175" s="6" t="e">
        <f>VLOOKUP(R175,Customer_Mapping!A:B,2,FALSE)</f>
        <v>#N/A</v>
      </c>
      <c r="T175" s="6" t="s">
        <v>94</v>
      </c>
      <c r="U175" s="6" t="s">
        <v>301</v>
      </c>
      <c r="V175" s="6" t="s">
        <v>94</v>
      </c>
      <c r="W175" s="6" t="str">
        <f>IF(U175="","",IFERROR(_xlfn.XLOOKUP(U175,Mapping!$A:$A,Mapping!$B:$B),""))</f>
        <v>Project_004</v>
      </c>
      <c r="X175" s="6" t="str">
        <f>IF(V175="","",IFERROR(_xlfn.XLOOKUP(V175,Mapping!$A:$A,Mapping!$B:$B),""))</f>
        <v/>
      </c>
      <c r="Y175" s="6" t="s">
        <v>94</v>
      </c>
      <c r="Z175" s="6" t="s">
        <v>94</v>
      </c>
    </row>
    <row r="176" spans="1:26">
      <c r="A176" s="12">
        <v>175</v>
      </c>
      <c r="B176" s="6" t="s">
        <v>855</v>
      </c>
      <c r="C176" s="6" t="s">
        <v>856</v>
      </c>
      <c r="D176" s="6" t="s">
        <v>86</v>
      </c>
      <c r="E176" s="7">
        <v>42614</v>
      </c>
      <c r="F176" s="6" t="s">
        <v>87</v>
      </c>
      <c r="G176" s="6" t="s">
        <v>175</v>
      </c>
      <c r="H176" s="6" t="s">
        <v>857</v>
      </c>
      <c r="I176" s="6" t="s">
        <v>90</v>
      </c>
      <c r="J176" s="6" t="s">
        <v>91</v>
      </c>
      <c r="K176" s="6" t="s">
        <v>92</v>
      </c>
      <c r="L176" s="6" t="s">
        <v>90</v>
      </c>
      <c r="M176" s="6" t="s">
        <v>93</v>
      </c>
      <c r="N176" s="6" t="s">
        <v>122</v>
      </c>
      <c r="O176" s="6" t="s">
        <v>93</v>
      </c>
      <c r="P176" s="6" t="s">
        <v>122</v>
      </c>
      <c r="Q176" s="6" t="s">
        <v>490</v>
      </c>
      <c r="R176" s="6" t="s">
        <v>282</v>
      </c>
      <c r="S176" s="6" t="str">
        <f>VLOOKUP(R176,Customer_Mapping!A:B,2,FALSE)</f>
        <v>Customer_001</v>
      </c>
      <c r="T176" s="6" t="s">
        <v>283</v>
      </c>
      <c r="U176" s="6" t="s">
        <v>378</v>
      </c>
      <c r="V176" s="6" t="s">
        <v>301</v>
      </c>
      <c r="W176" s="6" t="str">
        <f>IF(U176="","",IFERROR(_xlfn.XLOOKUP(U176,Mapping!$A:$A,Mapping!$B:$B),""))</f>
        <v>Project_018</v>
      </c>
      <c r="X176" s="6" t="str">
        <f>IF(V176="","",IFERROR(_xlfn.XLOOKUP(V176,Mapping!$A:$A,Mapping!$B:$B),""))</f>
        <v>Project_004</v>
      </c>
      <c r="Y176" s="6" t="s">
        <v>286</v>
      </c>
      <c r="Z176" s="6" t="s">
        <v>93</v>
      </c>
    </row>
    <row r="177" spans="1:26">
      <c r="A177" s="12">
        <v>176</v>
      </c>
      <c r="B177" s="6" t="s">
        <v>858</v>
      </c>
      <c r="C177" s="6" t="s">
        <v>859</v>
      </c>
      <c r="D177" s="6" t="s">
        <v>86</v>
      </c>
      <c r="E177" s="7">
        <v>45114</v>
      </c>
      <c r="F177" s="6" t="s">
        <v>111</v>
      </c>
      <c r="G177" s="6" t="s">
        <v>126</v>
      </c>
      <c r="H177" s="6" t="s">
        <v>860</v>
      </c>
      <c r="I177" s="6" t="s">
        <v>90</v>
      </c>
      <c r="J177" s="6" t="s">
        <v>91</v>
      </c>
      <c r="K177" s="6" t="s">
        <v>92</v>
      </c>
      <c r="L177" s="6" t="s">
        <v>90</v>
      </c>
      <c r="M177" s="6" t="s">
        <v>131</v>
      </c>
      <c r="N177" s="6" t="s">
        <v>122</v>
      </c>
      <c r="O177" s="6" t="s">
        <v>131</v>
      </c>
      <c r="P177" s="6" t="s">
        <v>122</v>
      </c>
      <c r="Q177" s="6" t="s">
        <v>418</v>
      </c>
      <c r="R177" s="6" t="s">
        <v>381</v>
      </c>
      <c r="S177" s="6" t="str">
        <f>VLOOKUP(R177,Customer_Mapping!A:B,2,FALSE)</f>
        <v>Customer_012</v>
      </c>
      <c r="T177" s="6" t="s">
        <v>283</v>
      </c>
      <c r="U177" s="6" t="s">
        <v>486</v>
      </c>
      <c r="V177" s="6" t="s">
        <v>378</v>
      </c>
      <c r="W177" s="6" t="str">
        <f>IF(U177="","",IFERROR(_xlfn.XLOOKUP(U177,Mapping!$A:$A,Mapping!$B:$B),""))</f>
        <v>Project_028</v>
      </c>
      <c r="X177" s="6" t="str">
        <f>IF(V177="","",IFERROR(_xlfn.XLOOKUP(V177,Mapping!$A:$A,Mapping!$B:$B),""))</f>
        <v>Project_018</v>
      </c>
      <c r="Y177" s="6" t="s">
        <v>286</v>
      </c>
      <c r="Z177" s="6" t="s">
        <v>131</v>
      </c>
    </row>
    <row r="178" spans="1:26">
      <c r="A178" s="12">
        <v>177</v>
      </c>
      <c r="B178" s="6" t="s">
        <v>861</v>
      </c>
      <c r="C178" s="6" t="s">
        <v>862</v>
      </c>
      <c r="D178" s="6" t="s">
        <v>86</v>
      </c>
      <c r="E178" s="7">
        <v>45069</v>
      </c>
      <c r="F178" s="6" t="s">
        <v>863</v>
      </c>
      <c r="G178" s="6" t="s">
        <v>389</v>
      </c>
      <c r="H178" s="6" t="s">
        <v>864</v>
      </c>
      <c r="I178" s="6" t="s">
        <v>90</v>
      </c>
      <c r="J178" s="6" t="s">
        <v>91</v>
      </c>
      <c r="K178" s="6" t="s">
        <v>92</v>
      </c>
      <c r="L178" s="6" t="s">
        <v>90</v>
      </c>
      <c r="M178" s="6" t="s">
        <v>94</v>
      </c>
      <c r="N178" s="6" t="s">
        <v>94</v>
      </c>
      <c r="O178" s="6" t="s">
        <v>865</v>
      </c>
      <c r="P178" s="6" t="s">
        <v>95</v>
      </c>
      <c r="Q178" s="6" t="s">
        <v>866</v>
      </c>
      <c r="R178" s="6" t="s">
        <v>491</v>
      </c>
      <c r="S178" s="6" t="str">
        <f>VLOOKUP(R178,Customer_Mapping!A:B,2,FALSE)</f>
        <v>Customer_015</v>
      </c>
      <c r="T178" s="6" t="s">
        <v>492</v>
      </c>
      <c r="U178" s="6" t="s">
        <v>392</v>
      </c>
      <c r="V178" s="6" t="s">
        <v>486</v>
      </c>
      <c r="W178" s="6" t="str">
        <f>IF(U178="","",IFERROR(_xlfn.XLOOKUP(U178,Mapping!$A:$A,Mapping!$B:$B),""))</f>
        <v>Project_021</v>
      </c>
      <c r="X178" s="6" t="str">
        <f>IF(V178="","",IFERROR(_xlfn.XLOOKUP(V178,Mapping!$A:$A,Mapping!$B:$B),""))</f>
        <v>Project_028</v>
      </c>
      <c r="Y178" s="6" t="s">
        <v>286</v>
      </c>
      <c r="Z178" s="6" t="s">
        <v>94</v>
      </c>
    </row>
    <row r="179" spans="1:26">
      <c r="A179" s="12">
        <v>178</v>
      </c>
      <c r="B179" s="6" t="s">
        <v>867</v>
      </c>
      <c r="C179" s="6" t="s">
        <v>868</v>
      </c>
      <c r="D179" s="6" t="s">
        <v>86</v>
      </c>
      <c r="E179" s="7">
        <v>43206</v>
      </c>
      <c r="F179" s="6" t="s">
        <v>204</v>
      </c>
      <c r="G179" s="6" t="s">
        <v>146</v>
      </c>
      <c r="H179" s="6" t="s">
        <v>869</v>
      </c>
      <c r="I179" s="6" t="s">
        <v>90</v>
      </c>
      <c r="J179" s="6" t="s">
        <v>91</v>
      </c>
      <c r="K179" s="6" t="s">
        <v>92</v>
      </c>
      <c r="L179" s="6" t="s">
        <v>90</v>
      </c>
      <c r="M179" s="6" t="s">
        <v>43</v>
      </c>
      <c r="N179" s="6" t="s">
        <v>122</v>
      </c>
      <c r="O179" s="6" t="s">
        <v>43</v>
      </c>
      <c r="P179" s="6" t="s">
        <v>95</v>
      </c>
      <c r="Q179" s="6" t="s">
        <v>403</v>
      </c>
      <c r="R179" s="6" t="s">
        <v>282</v>
      </c>
      <c r="S179" s="6" t="str">
        <f>VLOOKUP(R179,Customer_Mapping!A:B,2,FALSE)</f>
        <v>Customer_001</v>
      </c>
      <c r="T179" s="6" t="s">
        <v>283</v>
      </c>
      <c r="U179" s="6" t="s">
        <v>348</v>
      </c>
      <c r="V179" s="6" t="s">
        <v>392</v>
      </c>
      <c r="W179" s="6" t="str">
        <f>IF(U179="","",IFERROR(_xlfn.XLOOKUP(U179,Mapping!$A:$A,Mapping!$B:$B),""))</f>
        <v>Project_014</v>
      </c>
      <c r="X179" s="6" t="str">
        <f>IF(V179="","",IFERROR(_xlfn.XLOOKUP(V179,Mapping!$A:$A,Mapping!$B:$B),""))</f>
        <v>Project_021</v>
      </c>
      <c r="Y179" s="6" t="s">
        <v>286</v>
      </c>
      <c r="Z179" s="6" t="s">
        <v>43</v>
      </c>
    </row>
    <row r="180" spans="1:26">
      <c r="A180" s="12">
        <v>179</v>
      </c>
      <c r="B180" s="6" t="s">
        <v>870</v>
      </c>
      <c r="C180" s="6" t="s">
        <v>871</v>
      </c>
      <c r="D180" s="6" t="s">
        <v>86</v>
      </c>
      <c r="E180" s="7">
        <v>43989</v>
      </c>
      <c r="F180" s="6" t="s">
        <v>204</v>
      </c>
      <c r="G180" s="6" t="s">
        <v>311</v>
      </c>
      <c r="H180" s="6" t="s">
        <v>872</v>
      </c>
      <c r="I180" s="6" t="s">
        <v>90</v>
      </c>
      <c r="J180" s="6" t="s">
        <v>91</v>
      </c>
      <c r="K180" s="6" t="s">
        <v>92</v>
      </c>
      <c r="L180" s="6" t="s">
        <v>90</v>
      </c>
      <c r="M180" s="6" t="s">
        <v>43</v>
      </c>
      <c r="N180" s="6" t="s">
        <v>122</v>
      </c>
      <c r="O180" s="6" t="s">
        <v>43</v>
      </c>
      <c r="P180" s="6" t="s">
        <v>104</v>
      </c>
      <c r="Q180" s="6" t="s">
        <v>403</v>
      </c>
      <c r="R180" s="6" t="s">
        <v>351</v>
      </c>
      <c r="S180" s="6" t="str">
        <f>VLOOKUP(R180,Customer_Mapping!A:B,2,FALSE)</f>
        <v>Customer_010</v>
      </c>
      <c r="T180" s="6" t="s">
        <v>283</v>
      </c>
      <c r="U180" s="6" t="s">
        <v>348</v>
      </c>
      <c r="V180" s="6" t="s">
        <v>348</v>
      </c>
      <c r="W180" s="6" t="str">
        <f>IF(U180="","",IFERROR(_xlfn.XLOOKUP(U180,Mapping!$A:$A,Mapping!$B:$B),""))</f>
        <v>Project_014</v>
      </c>
      <c r="X180" s="6" t="str">
        <f>IF(V180="","",IFERROR(_xlfn.XLOOKUP(V180,Mapping!$A:$A,Mapping!$B:$B),""))</f>
        <v>Project_014</v>
      </c>
      <c r="Y180" s="6" t="s">
        <v>286</v>
      </c>
      <c r="Z180" s="6" t="s">
        <v>43</v>
      </c>
    </row>
    <row r="181" spans="1:26">
      <c r="A181" s="12">
        <v>180</v>
      </c>
      <c r="B181" s="6" t="s">
        <v>873</v>
      </c>
      <c r="C181" s="6" t="s">
        <v>874</v>
      </c>
      <c r="D181" s="6" t="s">
        <v>86</v>
      </c>
      <c r="E181" s="7">
        <v>44363</v>
      </c>
      <c r="F181" s="6" t="s">
        <v>111</v>
      </c>
      <c r="G181" s="6" t="s">
        <v>187</v>
      </c>
      <c r="H181" s="6" t="s">
        <v>875</v>
      </c>
      <c r="I181" s="6" t="s">
        <v>90</v>
      </c>
      <c r="J181" s="6" t="s">
        <v>91</v>
      </c>
      <c r="K181" s="6" t="s">
        <v>92</v>
      </c>
      <c r="L181" s="6" t="s">
        <v>90</v>
      </c>
      <c r="M181" s="6" t="s">
        <v>131</v>
      </c>
      <c r="N181" s="6" t="s">
        <v>94</v>
      </c>
      <c r="O181" s="6" t="s">
        <v>93</v>
      </c>
      <c r="P181" s="6" t="s">
        <v>104</v>
      </c>
      <c r="Q181" s="6" t="s">
        <v>281</v>
      </c>
      <c r="R181" s="6" t="s">
        <v>351</v>
      </c>
      <c r="S181" s="6" t="str">
        <f>VLOOKUP(R181,Customer_Mapping!A:B,2,FALSE)</f>
        <v>Customer_010</v>
      </c>
      <c r="T181" s="6" t="s">
        <v>283</v>
      </c>
      <c r="U181" s="6" t="s">
        <v>323</v>
      </c>
      <c r="V181" s="6" t="s">
        <v>348</v>
      </c>
      <c r="W181" s="6" t="str">
        <f>IF(U181="","",IFERROR(_xlfn.XLOOKUP(U181,Mapping!$A:$A,Mapping!$B:$B),""))</f>
        <v>Project_009</v>
      </c>
      <c r="X181" s="6" t="str">
        <f>IF(V181="","",IFERROR(_xlfn.XLOOKUP(V181,Mapping!$A:$A,Mapping!$B:$B),""))</f>
        <v>Project_014</v>
      </c>
      <c r="Y181" s="6" t="s">
        <v>286</v>
      </c>
      <c r="Z181" s="6" t="s">
        <v>131</v>
      </c>
    </row>
    <row r="182" spans="1:26">
      <c r="A182" s="12">
        <v>181</v>
      </c>
      <c r="B182" s="6" t="s">
        <v>876</v>
      </c>
      <c r="C182" s="6" t="s">
        <v>877</v>
      </c>
      <c r="D182" s="6" t="s">
        <v>86</v>
      </c>
      <c r="E182" s="7">
        <v>44501</v>
      </c>
      <c r="F182" s="6" t="s">
        <v>111</v>
      </c>
      <c r="G182" s="6" t="s">
        <v>146</v>
      </c>
      <c r="H182" s="6" t="s">
        <v>878</v>
      </c>
      <c r="I182" s="6" t="s">
        <v>90</v>
      </c>
      <c r="J182" s="6" t="s">
        <v>91</v>
      </c>
      <c r="K182" s="6" t="s">
        <v>92</v>
      </c>
      <c r="L182" s="6" t="s">
        <v>90</v>
      </c>
      <c r="M182" s="6" t="s">
        <v>412</v>
      </c>
      <c r="N182" s="6" t="s">
        <v>94</v>
      </c>
      <c r="O182" s="6" t="s">
        <v>364</v>
      </c>
      <c r="P182" s="6" t="s">
        <v>122</v>
      </c>
      <c r="Q182" s="6" t="s">
        <v>281</v>
      </c>
      <c r="R182" s="6" t="s">
        <v>326</v>
      </c>
      <c r="S182" s="6" t="str">
        <f>VLOOKUP(R182,Customer_Mapping!A:B,2,FALSE)</f>
        <v>Customer_007</v>
      </c>
      <c r="T182" s="6" t="s">
        <v>283</v>
      </c>
      <c r="U182" s="6" t="s">
        <v>298</v>
      </c>
      <c r="V182" s="6" t="s">
        <v>323</v>
      </c>
      <c r="W182" s="6" t="str">
        <f>IF(U182="","",IFERROR(_xlfn.XLOOKUP(U182,Mapping!$A:$A,Mapping!$B:$B),""))</f>
        <v>Project_003</v>
      </c>
      <c r="X182" s="6" t="str">
        <f>IF(V182="","",IFERROR(_xlfn.XLOOKUP(V182,Mapping!$A:$A,Mapping!$B:$B),""))</f>
        <v>Project_009</v>
      </c>
      <c r="Y182" s="6" t="s">
        <v>286</v>
      </c>
      <c r="Z182" s="6" t="s">
        <v>412</v>
      </c>
    </row>
    <row r="183" spans="1:26">
      <c r="A183" s="12">
        <v>182</v>
      </c>
      <c r="B183" s="6" t="s">
        <v>879</v>
      </c>
      <c r="C183" s="6" t="s">
        <v>880</v>
      </c>
      <c r="D183" s="6" t="s">
        <v>86</v>
      </c>
      <c r="E183" s="7">
        <v>46149</v>
      </c>
      <c r="F183" s="6" t="s">
        <v>111</v>
      </c>
      <c r="G183" s="6" t="s">
        <v>94</v>
      </c>
      <c r="H183" s="6" t="s">
        <v>94</v>
      </c>
      <c r="I183" s="6" t="s">
        <v>90</v>
      </c>
      <c r="J183" s="6" t="s">
        <v>91</v>
      </c>
      <c r="K183" s="6" t="s">
        <v>92</v>
      </c>
      <c r="L183" s="6" t="s">
        <v>90</v>
      </c>
      <c r="M183" s="6" t="s">
        <v>94</v>
      </c>
      <c r="N183" s="6" t="s">
        <v>94</v>
      </c>
      <c r="O183" s="6" t="s">
        <v>136</v>
      </c>
      <c r="P183" s="6" t="s">
        <v>122</v>
      </c>
      <c r="Q183" s="6" t="s">
        <v>418</v>
      </c>
      <c r="R183" s="6" t="s">
        <v>300</v>
      </c>
      <c r="S183" s="6" t="str">
        <f>VLOOKUP(R183,Customer_Mapping!A:B,2,FALSE)</f>
        <v>Customer_003</v>
      </c>
      <c r="T183" s="6" t="s">
        <v>283</v>
      </c>
      <c r="U183" s="6" t="s">
        <v>315</v>
      </c>
      <c r="V183" s="6" t="s">
        <v>298</v>
      </c>
      <c r="W183" s="6" t="str">
        <f>IF(U183="","",IFERROR(_xlfn.XLOOKUP(U183,Mapping!$A:$A,Mapping!$B:$B),""))</f>
        <v>Project_007</v>
      </c>
      <c r="X183" s="6" t="str">
        <f>IF(V183="","",IFERROR(_xlfn.XLOOKUP(V183,Mapping!$A:$A,Mapping!$B:$B),""))</f>
        <v>Project_003</v>
      </c>
      <c r="Y183" s="6" t="s">
        <v>286</v>
      </c>
      <c r="Z183" s="6" t="s">
        <v>94</v>
      </c>
    </row>
    <row r="184" spans="1:26">
      <c r="A184" s="12">
        <v>183</v>
      </c>
      <c r="B184" s="6" t="s">
        <v>881</v>
      </c>
      <c r="C184" s="6" t="s">
        <v>882</v>
      </c>
      <c r="D184" s="6" t="s">
        <v>86</v>
      </c>
      <c r="E184" s="7">
        <v>45292</v>
      </c>
      <c r="F184" s="6" t="s">
        <v>4</v>
      </c>
      <c r="G184" s="6" t="s">
        <v>622</v>
      </c>
      <c r="H184" s="6" t="s">
        <v>883</v>
      </c>
      <c r="I184" s="6" t="s">
        <v>213</v>
      </c>
      <c r="J184" s="6" t="s">
        <v>91</v>
      </c>
      <c r="K184" s="6" t="s">
        <v>92</v>
      </c>
      <c r="L184" s="6" t="s">
        <v>213</v>
      </c>
      <c r="M184" s="6" t="s">
        <v>94</v>
      </c>
      <c r="N184" s="6" t="s">
        <v>94</v>
      </c>
      <c r="O184" s="6" t="s">
        <v>27</v>
      </c>
      <c r="P184" s="6" t="s">
        <v>122</v>
      </c>
      <c r="Q184" s="6" t="s">
        <v>399</v>
      </c>
      <c r="R184" s="6" t="s">
        <v>317</v>
      </c>
      <c r="S184" s="6" t="str">
        <f>VLOOKUP(R184,Customer_Mapping!A:B,2,FALSE)</f>
        <v>Customer_006</v>
      </c>
      <c r="T184" s="6" t="s">
        <v>283</v>
      </c>
      <c r="U184" s="6" t="s">
        <v>626</v>
      </c>
      <c r="V184" s="6" t="s">
        <v>315</v>
      </c>
      <c r="W184" s="6" t="str">
        <f>IF(U184="","",IFERROR(_xlfn.XLOOKUP(U184,Mapping!$A:$A,Mapping!$B:$B),""))</f>
        <v>Project_034</v>
      </c>
      <c r="X184" s="6" t="str">
        <f>IF(V184="","",IFERROR(_xlfn.XLOOKUP(V184,Mapping!$A:$A,Mapping!$B:$B),""))</f>
        <v>Project_007</v>
      </c>
      <c r="Y184" s="6" t="s">
        <v>286</v>
      </c>
      <c r="Z184" s="6" t="s">
        <v>94</v>
      </c>
    </row>
    <row r="185" spans="1:26">
      <c r="A185" s="12">
        <v>184</v>
      </c>
      <c r="B185" s="6" t="s">
        <v>884</v>
      </c>
      <c r="C185" s="6" t="s">
        <v>885</v>
      </c>
      <c r="D185" s="6" t="s">
        <v>86</v>
      </c>
      <c r="E185" s="7">
        <v>44608</v>
      </c>
      <c r="F185" s="6" t="s">
        <v>732</v>
      </c>
      <c r="G185" s="6" t="s">
        <v>252</v>
      </c>
      <c r="H185" s="6" t="s">
        <v>886</v>
      </c>
      <c r="I185" s="6" t="s">
        <v>90</v>
      </c>
      <c r="J185" s="6" t="s">
        <v>91</v>
      </c>
      <c r="K185" s="6" t="s">
        <v>92</v>
      </c>
      <c r="L185" s="6" t="s">
        <v>90</v>
      </c>
      <c r="M185" s="6" t="s">
        <v>584</v>
      </c>
      <c r="N185" s="6" t="s">
        <v>94</v>
      </c>
      <c r="O185" s="6" t="s">
        <v>43</v>
      </c>
      <c r="P185" s="6" t="s">
        <v>104</v>
      </c>
      <c r="Q185" s="6" t="s">
        <v>734</v>
      </c>
      <c r="R185" s="6" t="s">
        <v>630</v>
      </c>
      <c r="S185" s="6" t="str">
        <f>VLOOKUP(R185,Customer_Mapping!A:B,2,FALSE)</f>
        <v>Customer_017</v>
      </c>
      <c r="T185" s="6" t="s">
        <v>386</v>
      </c>
      <c r="U185" s="6" t="s">
        <v>373</v>
      </c>
      <c r="V185" s="6" t="s">
        <v>626</v>
      </c>
      <c r="W185" s="6" t="str">
        <f>IF(U185="","",IFERROR(_xlfn.XLOOKUP(U185,Mapping!$A:$A,Mapping!$B:$B),""))</f>
        <v>Project_016</v>
      </c>
      <c r="X185" s="6" t="str">
        <f>IF(V185="","",IFERROR(_xlfn.XLOOKUP(V185,Mapping!$A:$A,Mapping!$B:$B),""))</f>
        <v>Project_034</v>
      </c>
      <c r="Y185" s="6" t="s">
        <v>286</v>
      </c>
      <c r="Z185" s="6" t="s">
        <v>584</v>
      </c>
    </row>
    <row r="186" spans="1:26">
      <c r="A186" s="12">
        <v>185</v>
      </c>
      <c r="B186" s="6" t="s">
        <v>887</v>
      </c>
      <c r="C186" s="6" t="s">
        <v>888</v>
      </c>
      <c r="D186" s="6" t="s">
        <v>86</v>
      </c>
      <c r="E186" s="7">
        <v>42095</v>
      </c>
      <c r="F186" s="6" t="s">
        <v>889</v>
      </c>
      <c r="G186" s="6" t="s">
        <v>175</v>
      </c>
      <c r="H186" s="6" t="s">
        <v>890</v>
      </c>
      <c r="I186" s="6" t="s">
        <v>90</v>
      </c>
      <c r="J186" s="6" t="s">
        <v>91</v>
      </c>
      <c r="K186" s="6" t="s">
        <v>92</v>
      </c>
      <c r="L186" s="6" t="s">
        <v>90</v>
      </c>
      <c r="M186" s="6" t="s">
        <v>184</v>
      </c>
      <c r="N186" s="6" t="s">
        <v>122</v>
      </c>
      <c r="O186" s="6" t="s">
        <v>131</v>
      </c>
      <c r="P186" s="6" t="s">
        <v>122</v>
      </c>
      <c r="Q186" s="6" t="s">
        <v>891</v>
      </c>
      <c r="R186" s="6" t="s">
        <v>334</v>
      </c>
      <c r="S186" s="6" t="str">
        <f>VLOOKUP(R186,Customer_Mapping!A:B,2,FALSE)</f>
        <v>Customer_009</v>
      </c>
      <c r="T186" s="6" t="s">
        <v>335</v>
      </c>
      <c r="U186" s="6" t="s">
        <v>315</v>
      </c>
      <c r="V186" s="6" t="s">
        <v>373</v>
      </c>
      <c r="W186" s="6" t="str">
        <f>IF(U186="","",IFERROR(_xlfn.XLOOKUP(U186,Mapping!$A:$A,Mapping!$B:$B),""))</f>
        <v>Project_007</v>
      </c>
      <c r="X186" s="6" t="str">
        <f>IF(V186="","",IFERROR(_xlfn.XLOOKUP(V186,Mapping!$A:$A,Mapping!$B:$B),""))</f>
        <v>Project_016</v>
      </c>
      <c r="Y186" s="6" t="s">
        <v>286</v>
      </c>
      <c r="Z186" s="6" t="s">
        <v>184</v>
      </c>
    </row>
    <row r="187" spans="1:26">
      <c r="A187" s="12">
        <v>186</v>
      </c>
      <c r="B187" s="6" t="s">
        <v>892</v>
      </c>
      <c r="C187" s="6" t="s">
        <v>893</v>
      </c>
      <c r="D187" s="6" t="s">
        <v>86</v>
      </c>
      <c r="E187" s="7">
        <v>44688</v>
      </c>
      <c r="F187" s="6" t="s">
        <v>26</v>
      </c>
      <c r="G187" s="6" t="s">
        <v>894</v>
      </c>
      <c r="H187" s="6" t="s">
        <v>895</v>
      </c>
      <c r="I187" s="6" t="s">
        <v>90</v>
      </c>
      <c r="J187" s="6" t="s">
        <v>91</v>
      </c>
      <c r="K187" s="6" t="s">
        <v>92</v>
      </c>
      <c r="L187" s="6" t="s">
        <v>90</v>
      </c>
      <c r="M187" s="6" t="s">
        <v>27</v>
      </c>
      <c r="N187" s="6" t="s">
        <v>95</v>
      </c>
      <c r="O187" s="6" t="s">
        <v>27</v>
      </c>
      <c r="P187" s="6" t="s">
        <v>95</v>
      </c>
      <c r="Q187" s="6" t="s">
        <v>296</v>
      </c>
      <c r="R187" s="6" t="s">
        <v>317</v>
      </c>
      <c r="S187" s="6" t="str">
        <f>VLOOKUP(R187,Customer_Mapping!A:B,2,FALSE)</f>
        <v>Customer_006</v>
      </c>
      <c r="T187" s="6" t="s">
        <v>283</v>
      </c>
      <c r="U187" s="6" t="s">
        <v>679</v>
      </c>
      <c r="V187" s="6" t="s">
        <v>315</v>
      </c>
      <c r="W187" s="6" t="str">
        <f>IF(U187="","",IFERROR(_xlfn.XLOOKUP(U187,Mapping!$A:$A,Mapping!$B:$B),""))</f>
        <v>Project_038</v>
      </c>
      <c r="X187" s="6" t="str">
        <f>IF(V187="","",IFERROR(_xlfn.XLOOKUP(V187,Mapping!$A:$A,Mapping!$B:$B),""))</f>
        <v>Project_007</v>
      </c>
      <c r="Y187" s="6" t="s">
        <v>286</v>
      </c>
      <c r="Z187" s="6" t="s">
        <v>27</v>
      </c>
    </row>
    <row r="188" spans="1:26">
      <c r="A188" s="12">
        <v>187</v>
      </c>
      <c r="B188" s="6" t="s">
        <v>896</v>
      </c>
      <c r="C188" s="6" t="s">
        <v>897</v>
      </c>
      <c r="D188" s="6" t="s">
        <v>86</v>
      </c>
      <c r="E188" s="7">
        <v>45664</v>
      </c>
      <c r="F188" s="6" t="s">
        <v>362</v>
      </c>
      <c r="G188" s="6" t="s">
        <v>94</v>
      </c>
      <c r="H188" s="6" t="s">
        <v>898</v>
      </c>
      <c r="I188" s="6" t="s">
        <v>90</v>
      </c>
      <c r="J188" s="6" t="s">
        <v>91</v>
      </c>
      <c r="K188" s="6" t="s">
        <v>92</v>
      </c>
      <c r="L188" s="6" t="s">
        <v>90</v>
      </c>
      <c r="M188" s="6" t="s">
        <v>94</v>
      </c>
      <c r="N188" s="6" t="s">
        <v>94</v>
      </c>
      <c r="O188" s="6" t="s">
        <v>584</v>
      </c>
      <c r="P188" s="6" t="s">
        <v>95</v>
      </c>
      <c r="Q188" s="6" t="s">
        <v>365</v>
      </c>
      <c r="R188" s="6" t="s">
        <v>282</v>
      </c>
      <c r="S188" s="6" t="str">
        <f>VLOOKUP(R188,Customer_Mapping!A:B,2,FALSE)</f>
        <v>Customer_001</v>
      </c>
      <c r="T188" s="6" t="s">
        <v>283</v>
      </c>
      <c r="U188" s="6" t="s">
        <v>339</v>
      </c>
      <c r="V188" s="6" t="s">
        <v>679</v>
      </c>
      <c r="W188" s="6" t="str">
        <f>IF(U188="","",IFERROR(_xlfn.XLOOKUP(U188,Mapping!$A:$A,Mapping!$B:$B),""))</f>
        <v>Project_012</v>
      </c>
      <c r="X188" s="6" t="str">
        <f>IF(V188="","",IFERROR(_xlfn.XLOOKUP(V188,Mapping!$A:$A,Mapping!$B:$B),""))</f>
        <v>Project_038</v>
      </c>
      <c r="Y188" s="6" t="s">
        <v>286</v>
      </c>
      <c r="Z188" s="6" t="s">
        <v>94</v>
      </c>
    </row>
    <row r="189" spans="1:26">
      <c r="A189" s="12">
        <v>188</v>
      </c>
      <c r="B189" s="6" t="s">
        <v>899</v>
      </c>
      <c r="C189" s="6" t="s">
        <v>900</v>
      </c>
      <c r="D189" s="6" t="s">
        <v>86</v>
      </c>
      <c r="E189" s="7">
        <v>43107</v>
      </c>
      <c r="F189" s="6" t="s">
        <v>150</v>
      </c>
      <c r="G189" s="6" t="s">
        <v>622</v>
      </c>
      <c r="H189" s="6" t="s">
        <v>901</v>
      </c>
      <c r="I189" s="6" t="s">
        <v>90</v>
      </c>
      <c r="J189" s="6" t="s">
        <v>91</v>
      </c>
      <c r="K189" s="6" t="s">
        <v>92</v>
      </c>
      <c r="L189" s="6" t="s">
        <v>90</v>
      </c>
      <c r="M189" s="6" t="s">
        <v>27</v>
      </c>
      <c r="N189" s="6" t="s">
        <v>95</v>
      </c>
      <c r="O189" s="6" t="s">
        <v>27</v>
      </c>
      <c r="P189" s="6" t="s">
        <v>122</v>
      </c>
      <c r="Q189" s="6" t="s">
        <v>445</v>
      </c>
      <c r="R189" s="6" t="s">
        <v>334</v>
      </c>
      <c r="S189" s="6" t="str">
        <f>VLOOKUP(R189,Customer_Mapping!A:B,2,FALSE)</f>
        <v>Customer_009</v>
      </c>
      <c r="T189" s="6" t="s">
        <v>335</v>
      </c>
      <c r="U189" s="6" t="s">
        <v>373</v>
      </c>
      <c r="V189" s="6" t="s">
        <v>339</v>
      </c>
      <c r="W189" s="6" t="str">
        <f>IF(U189="","",IFERROR(_xlfn.XLOOKUP(U189,Mapping!$A:$A,Mapping!$B:$B),""))</f>
        <v>Project_016</v>
      </c>
      <c r="X189" s="6" t="str">
        <f>IF(V189="","",IFERROR(_xlfn.XLOOKUP(V189,Mapping!$A:$A,Mapping!$B:$B),""))</f>
        <v>Project_012</v>
      </c>
      <c r="Y189" s="6" t="s">
        <v>286</v>
      </c>
      <c r="Z189" s="6" t="s">
        <v>27</v>
      </c>
    </row>
    <row r="190" spans="1:26">
      <c r="A190" s="12">
        <v>189</v>
      </c>
      <c r="B190" s="6" t="s">
        <v>902</v>
      </c>
      <c r="C190" s="6" t="s">
        <v>903</v>
      </c>
      <c r="D190" s="6" t="s">
        <v>86</v>
      </c>
      <c r="E190" s="7">
        <v>44918</v>
      </c>
      <c r="F190" s="6" t="s">
        <v>430</v>
      </c>
      <c r="G190" s="6" t="s">
        <v>101</v>
      </c>
      <c r="H190" s="6" t="s">
        <v>904</v>
      </c>
      <c r="I190" s="6" t="s">
        <v>90</v>
      </c>
      <c r="J190" s="6" t="s">
        <v>91</v>
      </c>
      <c r="K190" s="6" t="s">
        <v>92</v>
      </c>
      <c r="L190" s="6" t="s">
        <v>90</v>
      </c>
      <c r="M190" s="6" t="s">
        <v>136</v>
      </c>
      <c r="N190" s="6" t="s">
        <v>122</v>
      </c>
      <c r="O190" s="6" t="s">
        <v>131</v>
      </c>
      <c r="P190" s="6" t="s">
        <v>122</v>
      </c>
      <c r="Q190" s="6" t="s">
        <v>433</v>
      </c>
      <c r="R190" s="6" t="s">
        <v>334</v>
      </c>
      <c r="S190" s="6" t="str">
        <f>VLOOKUP(R190,Customer_Mapping!A:B,2,FALSE)</f>
        <v>Customer_009</v>
      </c>
      <c r="T190" s="6" t="s">
        <v>335</v>
      </c>
      <c r="U190" s="6" t="s">
        <v>298</v>
      </c>
      <c r="V190" s="6" t="s">
        <v>373</v>
      </c>
      <c r="W190" s="6" t="str">
        <f>IF(U190="","",IFERROR(_xlfn.XLOOKUP(U190,Mapping!$A:$A,Mapping!$B:$B),""))</f>
        <v>Project_003</v>
      </c>
      <c r="X190" s="6" t="str">
        <f>IF(V190="","",IFERROR(_xlfn.XLOOKUP(V190,Mapping!$A:$A,Mapping!$B:$B),""))</f>
        <v>Project_016</v>
      </c>
      <c r="Y190" s="6" t="s">
        <v>286</v>
      </c>
      <c r="Z190" s="6" t="s">
        <v>136</v>
      </c>
    </row>
    <row r="191" spans="1:26">
      <c r="A191" s="12">
        <v>190</v>
      </c>
      <c r="B191" s="6" t="s">
        <v>902</v>
      </c>
      <c r="C191" s="6" t="s">
        <v>905</v>
      </c>
      <c r="D191" s="6" t="s">
        <v>251</v>
      </c>
      <c r="E191" s="7">
        <v>46250</v>
      </c>
      <c r="F191" s="6" t="s">
        <v>111</v>
      </c>
      <c r="G191" s="6" t="s">
        <v>252</v>
      </c>
      <c r="H191" s="6" t="s">
        <v>253</v>
      </c>
      <c r="I191" s="6" t="s">
        <v>90</v>
      </c>
      <c r="J191" s="6" t="s">
        <v>91</v>
      </c>
      <c r="K191" s="6" t="s">
        <v>92</v>
      </c>
      <c r="L191" s="6" t="s">
        <v>90</v>
      </c>
      <c r="M191" s="6" t="s">
        <v>131</v>
      </c>
      <c r="N191" s="6" t="s">
        <v>104</v>
      </c>
      <c r="O191" s="6" t="s">
        <v>131</v>
      </c>
      <c r="P191" s="6" t="s">
        <v>104</v>
      </c>
      <c r="Q191" s="6" t="s">
        <v>281</v>
      </c>
      <c r="R191" s="6" t="s">
        <v>300</v>
      </c>
      <c r="S191" s="6" t="str">
        <f>VLOOKUP(R191,Customer_Mapping!A:B,2,FALSE)</f>
        <v>Customer_003</v>
      </c>
      <c r="T191" s="6" t="s">
        <v>283</v>
      </c>
      <c r="U191" s="6" t="s">
        <v>298</v>
      </c>
      <c r="V191" s="6" t="s">
        <v>298</v>
      </c>
      <c r="W191" s="6" t="str">
        <f>IF(U191="","",IFERROR(_xlfn.XLOOKUP(U191,Mapping!$A:$A,Mapping!$B:$B),""))</f>
        <v>Project_003</v>
      </c>
      <c r="X191" s="6" t="str">
        <f>IF(V191="","",IFERROR(_xlfn.XLOOKUP(V191,Mapping!$A:$A,Mapping!$B:$B),""))</f>
        <v>Project_003</v>
      </c>
      <c r="Y191" s="6" t="s">
        <v>286</v>
      </c>
      <c r="Z191" s="6" t="s">
        <v>131</v>
      </c>
    </row>
    <row r="192" spans="1:26">
      <c r="A192" s="12">
        <v>191</v>
      </c>
      <c r="B192" s="6" t="s">
        <v>906</v>
      </c>
      <c r="C192" s="6" t="s">
        <v>907</v>
      </c>
      <c r="D192" s="6" t="s">
        <v>86</v>
      </c>
      <c r="E192" s="7">
        <v>44005</v>
      </c>
      <c r="F192" s="6" t="s">
        <v>150</v>
      </c>
      <c r="G192" s="6" t="s">
        <v>151</v>
      </c>
      <c r="H192" s="6" t="s">
        <v>152</v>
      </c>
      <c r="I192" s="6" t="s">
        <v>90</v>
      </c>
      <c r="J192" s="6" t="s">
        <v>91</v>
      </c>
      <c r="K192" s="6" t="s">
        <v>92</v>
      </c>
      <c r="L192" s="6" t="s">
        <v>90</v>
      </c>
      <c r="M192" s="6" t="s">
        <v>27</v>
      </c>
      <c r="N192" s="6" t="s">
        <v>122</v>
      </c>
      <c r="O192" s="6" t="s">
        <v>27</v>
      </c>
      <c r="P192" s="6" t="s">
        <v>104</v>
      </c>
      <c r="Q192" s="6" t="s">
        <v>445</v>
      </c>
      <c r="R192" s="6" t="s">
        <v>300</v>
      </c>
      <c r="S192" s="6" t="str">
        <f>VLOOKUP(R192,Customer_Mapping!A:B,2,FALSE)</f>
        <v>Customer_003</v>
      </c>
      <c r="T192" s="6" t="s">
        <v>283</v>
      </c>
      <c r="U192" s="6" t="s">
        <v>348</v>
      </c>
      <c r="V192" s="6" t="s">
        <v>298</v>
      </c>
      <c r="W192" s="6" t="str">
        <f>IF(U192="","",IFERROR(_xlfn.XLOOKUP(U192,Mapping!$A:$A,Mapping!$B:$B),""))</f>
        <v>Project_014</v>
      </c>
      <c r="X192" s="6" t="str">
        <f>IF(V192="","",IFERROR(_xlfn.XLOOKUP(V192,Mapping!$A:$A,Mapping!$B:$B),""))</f>
        <v>Project_003</v>
      </c>
      <c r="Y192" s="6" t="s">
        <v>286</v>
      </c>
      <c r="Z192" s="6" t="s">
        <v>27</v>
      </c>
    </row>
    <row r="193" spans="1:26">
      <c r="A193" s="12">
        <v>192</v>
      </c>
      <c r="B193" s="6" t="s">
        <v>908</v>
      </c>
      <c r="C193" s="6" t="s">
        <v>909</v>
      </c>
      <c r="D193" s="6" t="s">
        <v>86</v>
      </c>
      <c r="E193" s="7">
        <v>42970</v>
      </c>
      <c r="F193" s="6" t="s">
        <v>204</v>
      </c>
      <c r="G193" s="6" t="s">
        <v>187</v>
      </c>
      <c r="H193" s="6" t="s">
        <v>910</v>
      </c>
      <c r="I193" s="6" t="s">
        <v>90</v>
      </c>
      <c r="J193" s="6" t="s">
        <v>91</v>
      </c>
      <c r="K193" s="6" t="s">
        <v>92</v>
      </c>
      <c r="L193" s="6" t="s">
        <v>90</v>
      </c>
      <c r="M193" s="6" t="s">
        <v>43</v>
      </c>
      <c r="N193" s="6" t="s">
        <v>122</v>
      </c>
      <c r="O193" s="6" t="s">
        <v>43</v>
      </c>
      <c r="P193" s="6" t="s">
        <v>95</v>
      </c>
      <c r="Q193" s="6" t="s">
        <v>321</v>
      </c>
      <c r="R193" s="6" t="s">
        <v>351</v>
      </c>
      <c r="S193" s="6" t="str">
        <f>VLOOKUP(R193,Customer_Mapping!A:B,2,FALSE)</f>
        <v>Customer_010</v>
      </c>
      <c r="T193" s="6" t="s">
        <v>283</v>
      </c>
      <c r="U193" s="6" t="s">
        <v>575</v>
      </c>
      <c r="V193" s="6" t="s">
        <v>348</v>
      </c>
      <c r="W193" s="6" t="str">
        <f>IF(U193="","",IFERROR(_xlfn.XLOOKUP(U193,Mapping!$A:$A,Mapping!$B:$B),""))</f>
        <v>Project_033</v>
      </c>
      <c r="X193" s="6" t="str">
        <f>IF(V193="","",IFERROR(_xlfn.XLOOKUP(V193,Mapping!$A:$A,Mapping!$B:$B),""))</f>
        <v>Project_014</v>
      </c>
      <c r="Y193" s="6" t="s">
        <v>286</v>
      </c>
      <c r="Z193" s="6" t="s">
        <v>43</v>
      </c>
    </row>
    <row r="194" spans="1:26">
      <c r="A194" s="12">
        <v>193</v>
      </c>
      <c r="B194" s="6" t="s">
        <v>911</v>
      </c>
      <c r="C194" s="6" t="s">
        <v>912</v>
      </c>
      <c r="D194" s="6" t="s">
        <v>86</v>
      </c>
      <c r="E194" s="7">
        <v>44181</v>
      </c>
      <c r="F194" s="6" t="s">
        <v>430</v>
      </c>
      <c r="G194" s="6" t="s">
        <v>120</v>
      </c>
      <c r="H194" s="6" t="s">
        <v>913</v>
      </c>
      <c r="I194" s="6" t="s">
        <v>90</v>
      </c>
      <c r="J194" s="6" t="s">
        <v>91</v>
      </c>
      <c r="K194" s="6" t="s">
        <v>92</v>
      </c>
      <c r="L194" s="6" t="s">
        <v>90</v>
      </c>
      <c r="M194" s="6" t="s">
        <v>136</v>
      </c>
      <c r="N194" s="6" t="s">
        <v>122</v>
      </c>
      <c r="O194" s="6" t="s">
        <v>136</v>
      </c>
      <c r="P194" s="6" t="s">
        <v>122</v>
      </c>
      <c r="Q194" s="6" t="s">
        <v>433</v>
      </c>
      <c r="R194" s="6" t="s">
        <v>282</v>
      </c>
      <c r="S194" s="6" t="str">
        <f>VLOOKUP(R194,Customer_Mapping!A:B,2,FALSE)</f>
        <v>Customer_001</v>
      </c>
      <c r="T194" s="6" t="s">
        <v>283</v>
      </c>
      <c r="U194" s="6" t="s">
        <v>501</v>
      </c>
      <c r="V194" s="6" t="s">
        <v>575</v>
      </c>
      <c r="W194" s="6" t="str">
        <f>IF(U194="","",IFERROR(_xlfn.XLOOKUP(U194,Mapping!$A:$A,Mapping!$B:$B),""))</f>
        <v>Project_029</v>
      </c>
      <c r="X194" s="6" t="str">
        <f>IF(V194="","",IFERROR(_xlfn.XLOOKUP(V194,Mapping!$A:$A,Mapping!$B:$B),""))</f>
        <v>Project_033</v>
      </c>
      <c r="Y194" s="6" t="s">
        <v>286</v>
      </c>
      <c r="Z194" s="6" t="s">
        <v>136</v>
      </c>
    </row>
    <row r="195" spans="1:26">
      <c r="A195" s="12">
        <v>194</v>
      </c>
      <c r="B195" s="6" t="s">
        <v>914</v>
      </c>
      <c r="C195" s="6" t="s">
        <v>915</v>
      </c>
      <c r="D195" s="6" t="s">
        <v>86</v>
      </c>
      <c r="E195" s="7">
        <v>44697</v>
      </c>
      <c r="F195" s="6" t="s">
        <v>204</v>
      </c>
      <c r="G195" s="6" t="s">
        <v>101</v>
      </c>
      <c r="H195" s="6" t="s">
        <v>916</v>
      </c>
      <c r="I195" s="6" t="s">
        <v>90</v>
      </c>
      <c r="J195" s="6" t="s">
        <v>91</v>
      </c>
      <c r="K195" s="6" t="s">
        <v>92</v>
      </c>
      <c r="L195" s="6" t="s">
        <v>90</v>
      </c>
      <c r="M195" s="6" t="s">
        <v>43</v>
      </c>
      <c r="N195" s="6" t="s">
        <v>94</v>
      </c>
      <c r="O195" s="6" t="s">
        <v>43</v>
      </c>
      <c r="P195" s="6" t="s">
        <v>95</v>
      </c>
      <c r="Q195" s="6" t="s">
        <v>403</v>
      </c>
      <c r="R195" s="6" t="s">
        <v>334</v>
      </c>
      <c r="S195" s="6" t="str">
        <f>VLOOKUP(R195,Customer_Mapping!A:B,2,FALSE)</f>
        <v>Customer_009</v>
      </c>
      <c r="T195" s="6" t="s">
        <v>335</v>
      </c>
      <c r="U195" s="6" t="s">
        <v>392</v>
      </c>
      <c r="V195" s="6" t="s">
        <v>501</v>
      </c>
      <c r="W195" s="6" t="str">
        <f>IF(U195="","",IFERROR(_xlfn.XLOOKUP(U195,Mapping!$A:$A,Mapping!$B:$B),""))</f>
        <v>Project_021</v>
      </c>
      <c r="X195" s="6" t="str">
        <f>IF(V195="","",IFERROR(_xlfn.XLOOKUP(V195,Mapping!$A:$A,Mapping!$B:$B),""))</f>
        <v>Project_029</v>
      </c>
      <c r="Y195" s="6" t="s">
        <v>286</v>
      </c>
      <c r="Z195" s="6" t="s">
        <v>43</v>
      </c>
    </row>
    <row r="196" spans="1:26">
      <c r="A196" s="12">
        <v>195</v>
      </c>
      <c r="B196" s="6" t="s">
        <v>917</v>
      </c>
      <c r="C196" s="6" t="s">
        <v>918</v>
      </c>
      <c r="D196" s="6" t="s">
        <v>86</v>
      </c>
      <c r="E196" s="7">
        <v>44485</v>
      </c>
      <c r="F196" s="6" t="s">
        <v>204</v>
      </c>
      <c r="G196" s="6" t="s">
        <v>420</v>
      </c>
      <c r="H196" s="6" t="s">
        <v>919</v>
      </c>
      <c r="I196" s="6" t="s">
        <v>90</v>
      </c>
      <c r="J196" s="6" t="s">
        <v>91</v>
      </c>
      <c r="K196" s="6" t="s">
        <v>92</v>
      </c>
      <c r="L196" s="6" t="s">
        <v>90</v>
      </c>
      <c r="M196" s="6" t="s">
        <v>43</v>
      </c>
      <c r="N196" s="6" t="s">
        <v>94</v>
      </c>
      <c r="O196" s="6" t="s">
        <v>43</v>
      </c>
      <c r="P196" s="6" t="s">
        <v>104</v>
      </c>
      <c r="Q196" s="6" t="s">
        <v>403</v>
      </c>
      <c r="R196" s="6" t="s">
        <v>282</v>
      </c>
      <c r="S196" s="6" t="str">
        <f>VLOOKUP(R196,Customer_Mapping!A:B,2,FALSE)</f>
        <v>Customer_001</v>
      </c>
      <c r="T196" s="6" t="s">
        <v>283</v>
      </c>
      <c r="U196" s="6" t="s">
        <v>486</v>
      </c>
      <c r="V196" s="6" t="s">
        <v>392</v>
      </c>
      <c r="W196" s="6" t="str">
        <f>IF(U196="","",IFERROR(_xlfn.XLOOKUP(U196,Mapping!$A:$A,Mapping!$B:$B),""))</f>
        <v>Project_028</v>
      </c>
      <c r="X196" s="6" t="str">
        <f>IF(V196="","",IFERROR(_xlfn.XLOOKUP(V196,Mapping!$A:$A,Mapping!$B:$B),""))</f>
        <v>Project_021</v>
      </c>
      <c r="Y196" s="6" t="s">
        <v>286</v>
      </c>
      <c r="Z196" s="6" t="s">
        <v>43</v>
      </c>
    </row>
    <row r="197" spans="1:26">
      <c r="A197" s="12">
        <v>196</v>
      </c>
      <c r="B197" s="6" t="s">
        <v>920</v>
      </c>
      <c r="C197" s="6" t="s">
        <v>921</v>
      </c>
      <c r="D197" s="6" t="s">
        <v>86</v>
      </c>
      <c r="E197" s="7">
        <v>45901</v>
      </c>
      <c r="F197" s="6" t="s">
        <v>922</v>
      </c>
      <c r="G197" s="6" t="s">
        <v>94</v>
      </c>
      <c r="H197" s="6" t="s">
        <v>923</v>
      </c>
      <c r="I197" s="6" t="s">
        <v>90</v>
      </c>
      <c r="J197" s="6" t="s">
        <v>91</v>
      </c>
      <c r="K197" s="6" t="s">
        <v>92</v>
      </c>
      <c r="L197" s="6" t="s">
        <v>90</v>
      </c>
      <c r="M197" s="6" t="s">
        <v>94</v>
      </c>
      <c r="N197" s="6" t="s">
        <v>94</v>
      </c>
      <c r="O197" s="6" t="s">
        <v>117</v>
      </c>
      <c r="P197" s="6" t="s">
        <v>104</v>
      </c>
      <c r="Q197" s="6" t="s">
        <v>924</v>
      </c>
      <c r="R197" s="6" t="s">
        <v>491</v>
      </c>
      <c r="S197" s="6" t="str">
        <f>VLOOKUP(R197,Customer_Mapping!A:B,2,FALSE)</f>
        <v>Customer_015</v>
      </c>
      <c r="T197" s="6" t="s">
        <v>492</v>
      </c>
      <c r="U197" s="6" t="s">
        <v>292</v>
      </c>
      <c r="V197" s="6" t="s">
        <v>486</v>
      </c>
      <c r="W197" s="6" t="str">
        <f>IF(U197="","",IFERROR(_xlfn.XLOOKUP(U197,Mapping!$A:$A,Mapping!$B:$B),""))</f>
        <v>Project_002</v>
      </c>
      <c r="X197" s="6" t="str">
        <f>IF(V197="","",IFERROR(_xlfn.XLOOKUP(V197,Mapping!$A:$A,Mapping!$B:$B),""))</f>
        <v>Project_028</v>
      </c>
      <c r="Y197" s="6" t="s">
        <v>286</v>
      </c>
      <c r="Z197" s="6" t="s">
        <v>94</v>
      </c>
    </row>
    <row r="198" spans="1:26">
      <c r="A198" s="12">
        <v>197</v>
      </c>
      <c r="B198" s="6" t="s">
        <v>925</v>
      </c>
      <c r="C198" s="6" t="s">
        <v>926</v>
      </c>
      <c r="D198" s="6" t="s">
        <v>86</v>
      </c>
      <c r="E198" s="7">
        <v>45206</v>
      </c>
      <c r="F198" s="6" t="s">
        <v>204</v>
      </c>
      <c r="G198" s="6" t="s">
        <v>134</v>
      </c>
      <c r="H198" s="6" t="s">
        <v>927</v>
      </c>
      <c r="I198" s="6" t="s">
        <v>90</v>
      </c>
      <c r="J198" s="6" t="s">
        <v>91</v>
      </c>
      <c r="K198" s="6" t="s">
        <v>92</v>
      </c>
      <c r="L198" s="6" t="s">
        <v>90</v>
      </c>
      <c r="M198" s="6" t="s">
        <v>43</v>
      </c>
      <c r="N198" s="6" t="s">
        <v>122</v>
      </c>
      <c r="O198" s="6" t="s">
        <v>43</v>
      </c>
      <c r="P198" s="6" t="s">
        <v>122</v>
      </c>
      <c r="Q198" s="6" t="s">
        <v>403</v>
      </c>
      <c r="R198" s="6" t="s">
        <v>297</v>
      </c>
      <c r="S198" s="6" t="str">
        <f>VLOOKUP(R198,Customer_Mapping!A:B,2,FALSE)</f>
        <v>Customer_002</v>
      </c>
      <c r="T198" s="6" t="s">
        <v>283</v>
      </c>
      <c r="U198" s="6" t="s">
        <v>348</v>
      </c>
      <c r="V198" s="6" t="s">
        <v>292</v>
      </c>
      <c r="W198" s="6" t="str">
        <f>IF(U198="","",IFERROR(_xlfn.XLOOKUP(U198,Mapping!$A:$A,Mapping!$B:$B),""))</f>
        <v>Project_014</v>
      </c>
      <c r="X198" s="6" t="str">
        <f>IF(V198="","",IFERROR(_xlfn.XLOOKUP(V198,Mapping!$A:$A,Mapping!$B:$B),""))</f>
        <v>Project_002</v>
      </c>
      <c r="Y198" s="6" t="s">
        <v>286</v>
      </c>
      <c r="Z198" s="6" t="s">
        <v>43</v>
      </c>
    </row>
    <row r="199" spans="1:26">
      <c r="A199" s="12">
        <v>198</v>
      </c>
      <c r="B199" s="6" t="s">
        <v>928</v>
      </c>
      <c r="C199" s="6" t="s">
        <v>929</v>
      </c>
      <c r="D199" s="6" t="s">
        <v>86</v>
      </c>
      <c r="E199" s="7">
        <v>44796</v>
      </c>
      <c r="F199" s="6" t="s">
        <v>111</v>
      </c>
      <c r="G199" s="6" t="s">
        <v>151</v>
      </c>
      <c r="H199" s="6" t="s">
        <v>930</v>
      </c>
      <c r="I199" s="6" t="s">
        <v>90</v>
      </c>
      <c r="J199" s="6" t="s">
        <v>91</v>
      </c>
      <c r="K199" s="6" t="s">
        <v>92</v>
      </c>
      <c r="L199" s="6" t="s">
        <v>90</v>
      </c>
      <c r="M199" s="6" t="s">
        <v>675</v>
      </c>
      <c r="N199" s="6" t="s">
        <v>94</v>
      </c>
      <c r="O199" s="6" t="s">
        <v>103</v>
      </c>
      <c r="P199" s="6" t="s">
        <v>95</v>
      </c>
      <c r="Q199" s="6" t="s">
        <v>281</v>
      </c>
      <c r="R199" s="6" t="s">
        <v>351</v>
      </c>
      <c r="S199" s="6" t="str">
        <f>VLOOKUP(R199,Customer_Mapping!A:B,2,FALSE)</f>
        <v>Customer_010</v>
      </c>
      <c r="T199" s="6" t="s">
        <v>283</v>
      </c>
      <c r="U199" s="6" t="s">
        <v>486</v>
      </c>
      <c r="V199" s="6" t="s">
        <v>348</v>
      </c>
      <c r="W199" s="6" t="str">
        <f>IF(U199="","",IFERROR(_xlfn.XLOOKUP(U199,Mapping!$A:$A,Mapping!$B:$B),""))</f>
        <v>Project_028</v>
      </c>
      <c r="X199" s="6" t="str">
        <f>IF(V199="","",IFERROR(_xlfn.XLOOKUP(V199,Mapping!$A:$A,Mapping!$B:$B),""))</f>
        <v>Project_014</v>
      </c>
      <c r="Y199" s="6" t="s">
        <v>286</v>
      </c>
      <c r="Z199" s="6" t="s">
        <v>675</v>
      </c>
    </row>
    <row r="200" spans="1:26">
      <c r="A200" s="12">
        <v>199</v>
      </c>
      <c r="B200" s="6" t="s">
        <v>931</v>
      </c>
      <c r="C200" s="6" t="s">
        <v>932</v>
      </c>
      <c r="D200" s="6" t="s">
        <v>86</v>
      </c>
      <c r="E200" s="7">
        <v>44339</v>
      </c>
      <c r="F200" s="6" t="s">
        <v>111</v>
      </c>
      <c r="G200" s="6" t="s">
        <v>420</v>
      </c>
      <c r="H200" s="6" t="s">
        <v>933</v>
      </c>
      <c r="I200" s="6" t="s">
        <v>90</v>
      </c>
      <c r="J200" s="6" t="s">
        <v>91</v>
      </c>
      <c r="K200" s="6" t="s">
        <v>92</v>
      </c>
      <c r="L200" s="6" t="s">
        <v>90</v>
      </c>
      <c r="M200" s="6" t="s">
        <v>103</v>
      </c>
      <c r="N200" s="6" t="s">
        <v>95</v>
      </c>
      <c r="O200" s="6" t="s">
        <v>117</v>
      </c>
      <c r="P200" s="6" t="s">
        <v>122</v>
      </c>
      <c r="Q200" s="6" t="s">
        <v>281</v>
      </c>
      <c r="R200" s="6" t="s">
        <v>491</v>
      </c>
      <c r="S200" s="6" t="str">
        <f>VLOOKUP(R200,Customer_Mapping!A:B,2,FALSE)</f>
        <v>Customer_015</v>
      </c>
      <c r="T200" s="6" t="s">
        <v>492</v>
      </c>
      <c r="U200" s="6" t="s">
        <v>373</v>
      </c>
      <c r="V200" s="6" t="s">
        <v>486</v>
      </c>
      <c r="W200" s="6" t="str">
        <f>IF(U200="","",IFERROR(_xlfn.XLOOKUP(U200,Mapping!$A:$A,Mapping!$B:$B),""))</f>
        <v>Project_016</v>
      </c>
      <c r="X200" s="6" t="str">
        <f>IF(V200="","",IFERROR(_xlfn.XLOOKUP(V200,Mapping!$A:$A,Mapping!$B:$B),""))</f>
        <v>Project_028</v>
      </c>
      <c r="Y200" s="6" t="s">
        <v>286</v>
      </c>
      <c r="Z200" s="6" t="s">
        <v>103</v>
      </c>
    </row>
    <row r="201" spans="1:26">
      <c r="A201" s="12">
        <v>200</v>
      </c>
      <c r="B201" s="6" t="s">
        <v>934</v>
      </c>
      <c r="C201" s="6" t="s">
        <v>935</v>
      </c>
      <c r="D201" s="6" t="s">
        <v>86</v>
      </c>
      <c r="E201" s="7">
        <v>44531</v>
      </c>
      <c r="F201" s="6" t="s">
        <v>936</v>
      </c>
      <c r="G201" s="6" t="s">
        <v>389</v>
      </c>
      <c r="H201" s="6" t="s">
        <v>937</v>
      </c>
      <c r="I201" s="6" t="s">
        <v>90</v>
      </c>
      <c r="J201" s="6" t="s">
        <v>91</v>
      </c>
      <c r="K201" s="6" t="s">
        <v>92</v>
      </c>
      <c r="L201" s="6" t="s">
        <v>90</v>
      </c>
      <c r="M201" s="6" t="s">
        <v>313</v>
      </c>
      <c r="N201" s="6" t="s">
        <v>94</v>
      </c>
      <c r="O201" s="6" t="s">
        <v>136</v>
      </c>
      <c r="P201" s="6" t="s">
        <v>122</v>
      </c>
      <c r="Q201" s="6" t="s">
        <v>938</v>
      </c>
      <c r="R201" s="6" t="s">
        <v>334</v>
      </c>
      <c r="S201" s="6" t="str">
        <f>VLOOKUP(R201,Customer_Mapping!A:B,2,FALSE)</f>
        <v>Customer_009</v>
      </c>
      <c r="T201" s="6" t="s">
        <v>335</v>
      </c>
      <c r="U201" s="6" t="s">
        <v>378</v>
      </c>
      <c r="V201" s="6" t="s">
        <v>373</v>
      </c>
      <c r="W201" s="6" t="str">
        <f>IF(U201="","",IFERROR(_xlfn.XLOOKUP(U201,Mapping!$A:$A,Mapping!$B:$B),""))</f>
        <v>Project_018</v>
      </c>
      <c r="X201" s="6" t="str">
        <f>IF(V201="","",IFERROR(_xlfn.XLOOKUP(V201,Mapping!$A:$A,Mapping!$B:$B),""))</f>
        <v>Project_016</v>
      </c>
      <c r="Y201" s="6" t="s">
        <v>286</v>
      </c>
      <c r="Z201" s="6" t="s">
        <v>313</v>
      </c>
    </row>
    <row r="202" spans="1:26">
      <c r="A202" s="12">
        <v>201</v>
      </c>
      <c r="B202" s="6" t="s">
        <v>939</v>
      </c>
      <c r="C202" s="6" t="s">
        <v>940</v>
      </c>
      <c r="D202" s="6" t="s">
        <v>86</v>
      </c>
      <c r="E202" s="7">
        <v>45998</v>
      </c>
      <c r="F202" s="6" t="s">
        <v>26</v>
      </c>
      <c r="G202" s="6" t="s">
        <v>94</v>
      </c>
      <c r="H202" s="6" t="s">
        <v>156</v>
      </c>
      <c r="I202" s="6" t="s">
        <v>90</v>
      </c>
      <c r="J202" s="6" t="s">
        <v>91</v>
      </c>
      <c r="K202" s="6" t="s">
        <v>92</v>
      </c>
      <c r="L202" s="6" t="s">
        <v>90</v>
      </c>
      <c r="M202" s="6" t="s">
        <v>94</v>
      </c>
      <c r="N202" s="6" t="s">
        <v>94</v>
      </c>
      <c r="O202" s="6" t="s">
        <v>27</v>
      </c>
      <c r="P202" s="6" t="s">
        <v>104</v>
      </c>
      <c r="Q202" s="6" t="s">
        <v>296</v>
      </c>
      <c r="R202" s="6" t="s">
        <v>381</v>
      </c>
      <c r="S202" s="6" t="str">
        <f>VLOOKUP(R202,Customer_Mapping!A:B,2,FALSE)</f>
        <v>Customer_012</v>
      </c>
      <c r="T202" s="6" t="s">
        <v>283</v>
      </c>
      <c r="U202" s="6" t="s">
        <v>285</v>
      </c>
      <c r="V202" s="6" t="s">
        <v>378</v>
      </c>
      <c r="W202" s="6" t="str">
        <f>IF(U202="","",IFERROR(_xlfn.XLOOKUP(U202,Mapping!$A:$A,Mapping!$B:$B),""))</f>
        <v>Project_017</v>
      </c>
      <c r="X202" s="6" t="str">
        <f>IF(V202="","",IFERROR(_xlfn.XLOOKUP(V202,Mapping!$A:$A,Mapping!$B:$B),""))</f>
        <v>Project_018</v>
      </c>
      <c r="Y202" s="6" t="s">
        <v>286</v>
      </c>
      <c r="Z202" s="6" t="s">
        <v>94</v>
      </c>
    </row>
    <row r="203" spans="1:26">
      <c r="A203" s="12">
        <v>202</v>
      </c>
      <c r="B203" s="6" t="s">
        <v>941</v>
      </c>
      <c r="C203" s="6" t="s">
        <v>942</v>
      </c>
      <c r="D203" s="6" t="s">
        <v>86</v>
      </c>
      <c r="E203" s="7">
        <v>43040</v>
      </c>
      <c r="F203" s="6" t="s">
        <v>111</v>
      </c>
      <c r="G203" s="6" t="s">
        <v>120</v>
      </c>
      <c r="H203" s="6" t="s">
        <v>943</v>
      </c>
      <c r="I203" s="6" t="s">
        <v>90</v>
      </c>
      <c r="J203" s="6" t="s">
        <v>91</v>
      </c>
      <c r="K203" s="6" t="s">
        <v>92</v>
      </c>
      <c r="L203" s="6" t="s">
        <v>90</v>
      </c>
      <c r="M203" s="6" t="s">
        <v>131</v>
      </c>
      <c r="N203" s="6" t="s">
        <v>94</v>
      </c>
      <c r="O203" s="6" t="s">
        <v>131</v>
      </c>
      <c r="P203" s="6" t="s">
        <v>122</v>
      </c>
      <c r="Q203" s="6" t="s">
        <v>281</v>
      </c>
      <c r="R203" s="6" t="s">
        <v>282</v>
      </c>
      <c r="S203" s="6" t="str">
        <f>VLOOKUP(R203,Customer_Mapping!A:B,2,FALSE)</f>
        <v>Customer_001</v>
      </c>
      <c r="T203" s="6" t="s">
        <v>283</v>
      </c>
      <c r="U203" s="6" t="s">
        <v>339</v>
      </c>
      <c r="V203" s="6" t="s">
        <v>285</v>
      </c>
      <c r="W203" s="6" t="str">
        <f>IF(U203="","",IFERROR(_xlfn.XLOOKUP(U203,Mapping!$A:$A,Mapping!$B:$B),""))</f>
        <v>Project_012</v>
      </c>
      <c r="X203" s="6" t="str">
        <f>IF(V203="","",IFERROR(_xlfn.XLOOKUP(V203,Mapping!$A:$A,Mapping!$B:$B),""))</f>
        <v>Project_017</v>
      </c>
      <c r="Y203" s="6" t="s">
        <v>286</v>
      </c>
      <c r="Z203" s="6" t="s">
        <v>131</v>
      </c>
    </row>
    <row r="204" spans="1:26">
      <c r="A204" s="12">
        <v>203</v>
      </c>
      <c r="B204" s="6" t="s">
        <v>944</v>
      </c>
      <c r="C204" s="6" t="s">
        <v>945</v>
      </c>
      <c r="D204" s="6" t="s">
        <v>86</v>
      </c>
      <c r="E204" s="7">
        <v>44713</v>
      </c>
      <c r="F204" s="6" t="s">
        <v>288</v>
      </c>
      <c r="G204" s="6" t="s">
        <v>389</v>
      </c>
      <c r="H204" s="6" t="s">
        <v>946</v>
      </c>
      <c r="I204" s="6" t="s">
        <v>90</v>
      </c>
      <c r="J204" s="6" t="s">
        <v>91</v>
      </c>
      <c r="K204" s="6" t="s">
        <v>92</v>
      </c>
      <c r="L204" s="6" t="s">
        <v>90</v>
      </c>
      <c r="M204" s="6" t="s">
        <v>103</v>
      </c>
      <c r="N204" s="6" t="s">
        <v>94</v>
      </c>
      <c r="O204" s="6" t="s">
        <v>103</v>
      </c>
      <c r="P204" s="6" t="s">
        <v>95</v>
      </c>
      <c r="Q204" s="6" t="s">
        <v>291</v>
      </c>
      <c r="R204" s="6" t="s">
        <v>334</v>
      </c>
      <c r="S204" s="6" t="str">
        <f>VLOOKUP(R204,Customer_Mapping!A:B,2,FALSE)</f>
        <v>Customer_009</v>
      </c>
      <c r="T204" s="6" t="s">
        <v>335</v>
      </c>
      <c r="U204" s="6" t="s">
        <v>387</v>
      </c>
      <c r="V204" s="6" t="s">
        <v>339</v>
      </c>
      <c r="W204" s="6" t="str">
        <f>IF(U204="","",IFERROR(_xlfn.XLOOKUP(U204,Mapping!$A:$A,Mapping!$B:$B),""))</f>
        <v>Project_020</v>
      </c>
      <c r="X204" s="6" t="str">
        <f>IF(V204="","",IFERROR(_xlfn.XLOOKUP(V204,Mapping!$A:$A,Mapping!$B:$B),""))</f>
        <v>Project_012</v>
      </c>
      <c r="Y204" s="6" t="s">
        <v>286</v>
      </c>
      <c r="Z204" s="6" t="s">
        <v>103</v>
      </c>
    </row>
    <row r="205" spans="1:26">
      <c r="A205" s="12">
        <v>204</v>
      </c>
      <c r="B205" s="6" t="s">
        <v>947</v>
      </c>
      <c r="C205" s="6" t="s">
        <v>948</v>
      </c>
      <c r="D205" s="6" t="s">
        <v>86</v>
      </c>
      <c r="E205" s="7">
        <v>44835</v>
      </c>
      <c r="F205" s="6" t="s">
        <v>288</v>
      </c>
      <c r="G205" s="6" t="s">
        <v>146</v>
      </c>
      <c r="H205" s="6" t="s">
        <v>949</v>
      </c>
      <c r="I205" s="6" t="s">
        <v>90</v>
      </c>
      <c r="J205" s="6" t="s">
        <v>91</v>
      </c>
      <c r="K205" s="6" t="s">
        <v>92</v>
      </c>
      <c r="L205" s="6" t="s">
        <v>90</v>
      </c>
      <c r="M205" s="6" t="s">
        <v>131</v>
      </c>
      <c r="N205" s="6" t="s">
        <v>104</v>
      </c>
      <c r="O205" s="6" t="s">
        <v>117</v>
      </c>
      <c r="P205" s="6" t="s">
        <v>104</v>
      </c>
      <c r="Q205" s="6" t="s">
        <v>291</v>
      </c>
      <c r="R205" s="6" t="s">
        <v>391</v>
      </c>
      <c r="S205" s="6" t="str">
        <f>VLOOKUP(R205,Customer_Mapping!A:B,2,FALSE)</f>
        <v>Customer_014</v>
      </c>
      <c r="T205" s="6" t="s">
        <v>386</v>
      </c>
      <c r="U205" s="6" t="s">
        <v>305</v>
      </c>
      <c r="V205" s="6" t="s">
        <v>387</v>
      </c>
      <c r="W205" s="6" t="str">
        <f>IF(U205="","",IFERROR(_xlfn.XLOOKUP(U205,Mapping!$A:$A,Mapping!$B:$B),""))</f>
        <v>Project_005</v>
      </c>
      <c r="X205" s="6" t="str">
        <f>IF(V205="","",IFERROR(_xlfn.XLOOKUP(V205,Mapping!$A:$A,Mapping!$B:$B),""))</f>
        <v>Project_020</v>
      </c>
      <c r="Y205" s="6" t="s">
        <v>286</v>
      </c>
      <c r="Z205" s="6" t="s">
        <v>131</v>
      </c>
    </row>
    <row r="206" spans="1:26">
      <c r="A206" s="12">
        <v>205</v>
      </c>
      <c r="B206" s="6" t="s">
        <v>950</v>
      </c>
      <c r="C206" s="6" t="s">
        <v>951</v>
      </c>
      <c r="D206" s="6" t="s">
        <v>86</v>
      </c>
      <c r="E206" s="7">
        <v>46180</v>
      </c>
      <c r="F206" s="6" t="s">
        <v>337</v>
      </c>
      <c r="G206" s="6" t="s">
        <v>94</v>
      </c>
      <c r="H206" s="6" t="s">
        <v>94</v>
      </c>
      <c r="I206" s="6" t="s">
        <v>90</v>
      </c>
      <c r="J206" s="6" t="s">
        <v>91</v>
      </c>
      <c r="K206" s="6" t="s">
        <v>92</v>
      </c>
      <c r="L206" s="6" t="s">
        <v>90</v>
      </c>
      <c r="M206" s="6" t="s">
        <v>94</v>
      </c>
      <c r="N206" s="6" t="s">
        <v>94</v>
      </c>
      <c r="O206" s="6" t="s">
        <v>131</v>
      </c>
      <c r="P206" s="6" t="s">
        <v>104</v>
      </c>
      <c r="Q206" s="6" t="s">
        <v>338</v>
      </c>
      <c r="R206" s="6" t="s">
        <v>308</v>
      </c>
      <c r="S206" s="6" t="str">
        <f>VLOOKUP(R206,Customer_Mapping!A:B,2,FALSE)</f>
        <v>Customer_004</v>
      </c>
      <c r="T206" s="6" t="s">
        <v>283</v>
      </c>
      <c r="U206" s="6" t="s">
        <v>348</v>
      </c>
      <c r="V206" s="6" t="s">
        <v>305</v>
      </c>
      <c r="W206" s="6" t="str">
        <f>IF(U206="","",IFERROR(_xlfn.XLOOKUP(U206,Mapping!$A:$A,Mapping!$B:$B),""))</f>
        <v>Project_014</v>
      </c>
      <c r="X206" s="6" t="str">
        <f>IF(V206="","",IFERROR(_xlfn.XLOOKUP(V206,Mapping!$A:$A,Mapping!$B:$B),""))</f>
        <v>Project_005</v>
      </c>
      <c r="Y206" s="6" t="s">
        <v>286</v>
      </c>
      <c r="Z206" s="6" t="s">
        <v>94</v>
      </c>
    </row>
    <row r="207" spans="1:26">
      <c r="A207" s="12">
        <v>206</v>
      </c>
      <c r="B207" s="6" t="s">
        <v>952</v>
      </c>
      <c r="C207" s="6" t="s">
        <v>953</v>
      </c>
      <c r="D207" s="6" t="s">
        <v>86</v>
      </c>
      <c r="E207" s="7">
        <v>45084</v>
      </c>
      <c r="F207" s="6" t="s">
        <v>4</v>
      </c>
      <c r="G207" s="6" t="s">
        <v>389</v>
      </c>
      <c r="H207" s="6" t="s">
        <v>954</v>
      </c>
      <c r="I207" s="6" t="s">
        <v>90</v>
      </c>
      <c r="J207" s="6" t="s">
        <v>91</v>
      </c>
      <c r="K207" s="6" t="s">
        <v>92</v>
      </c>
      <c r="L207" s="6" t="s">
        <v>90</v>
      </c>
      <c r="M207" s="6" t="s">
        <v>93</v>
      </c>
      <c r="N207" s="6" t="s">
        <v>104</v>
      </c>
      <c r="O207" s="6" t="s">
        <v>93</v>
      </c>
      <c r="P207" s="6" t="s">
        <v>95</v>
      </c>
      <c r="Q207" s="6" t="s">
        <v>399</v>
      </c>
      <c r="R207" s="6" t="s">
        <v>351</v>
      </c>
      <c r="S207" s="6" t="str">
        <f>VLOOKUP(R207,Customer_Mapping!A:B,2,FALSE)</f>
        <v>Customer_010</v>
      </c>
      <c r="T207" s="6" t="s">
        <v>283</v>
      </c>
      <c r="U207" s="6" t="s">
        <v>298</v>
      </c>
      <c r="V207" s="6" t="s">
        <v>348</v>
      </c>
      <c r="W207" s="6" t="str">
        <f>IF(U207="","",IFERROR(_xlfn.XLOOKUP(U207,Mapping!$A:$A,Mapping!$B:$B),""))</f>
        <v>Project_003</v>
      </c>
      <c r="X207" s="6" t="str">
        <f>IF(V207="","",IFERROR(_xlfn.XLOOKUP(V207,Mapping!$A:$A,Mapping!$B:$B),""))</f>
        <v>Project_014</v>
      </c>
      <c r="Y207" s="6" t="s">
        <v>286</v>
      </c>
      <c r="Z207" s="6" t="s">
        <v>93</v>
      </c>
    </row>
    <row r="208" spans="1:26">
      <c r="A208" s="12">
        <v>207</v>
      </c>
      <c r="B208" s="6" t="s">
        <v>955</v>
      </c>
      <c r="C208" s="6" t="s">
        <v>956</v>
      </c>
      <c r="D208" s="6" t="s">
        <v>86</v>
      </c>
      <c r="E208" s="7">
        <v>46023</v>
      </c>
      <c r="F208" s="6" t="s">
        <v>155</v>
      </c>
      <c r="G208" s="6" t="s">
        <v>94</v>
      </c>
      <c r="H208" s="6" t="s">
        <v>156</v>
      </c>
      <c r="I208" s="6" t="s">
        <v>90</v>
      </c>
      <c r="J208" s="6" t="s">
        <v>91</v>
      </c>
      <c r="K208" s="6" t="s">
        <v>92</v>
      </c>
      <c r="L208" s="6" t="s">
        <v>90</v>
      </c>
      <c r="M208" s="6" t="s">
        <v>94</v>
      </c>
      <c r="N208" s="6" t="s">
        <v>94</v>
      </c>
      <c r="O208" s="6" t="s">
        <v>27</v>
      </c>
      <c r="P208" s="6" t="s">
        <v>104</v>
      </c>
      <c r="Q208" s="6" t="s">
        <v>369</v>
      </c>
      <c r="R208" s="6" t="s">
        <v>300</v>
      </c>
      <c r="S208" s="6" t="str">
        <f>VLOOKUP(R208,Customer_Mapping!A:B,2,FALSE)</f>
        <v>Customer_003</v>
      </c>
      <c r="T208" s="6" t="s">
        <v>283</v>
      </c>
      <c r="U208" s="6" t="s">
        <v>957</v>
      </c>
      <c r="V208" s="6" t="s">
        <v>298</v>
      </c>
      <c r="W208" s="6" t="str">
        <f>IF(U208="","",IFERROR(_xlfn.XLOOKUP(U208,Mapping!$A:$A,Mapping!$B:$B),""))</f>
        <v>Project_044</v>
      </c>
      <c r="X208" s="6" t="str">
        <f>IF(V208="","",IFERROR(_xlfn.XLOOKUP(V208,Mapping!$A:$A,Mapping!$B:$B),""))</f>
        <v>Project_003</v>
      </c>
      <c r="Y208" s="6" t="s">
        <v>286</v>
      </c>
      <c r="Z208" s="6" t="s">
        <v>94</v>
      </c>
    </row>
    <row r="209" spans="1:26">
      <c r="A209" s="12">
        <v>208</v>
      </c>
      <c r="B209" s="6" t="s">
        <v>958</v>
      </c>
      <c r="C209" s="6" t="s">
        <v>959</v>
      </c>
      <c r="D209" s="6" t="s">
        <v>86</v>
      </c>
      <c r="E209" s="7">
        <v>44805</v>
      </c>
      <c r="F209" s="6" t="s">
        <v>288</v>
      </c>
      <c r="G209" s="6" t="s">
        <v>175</v>
      </c>
      <c r="H209" s="6" t="s">
        <v>960</v>
      </c>
      <c r="I209" s="6" t="s">
        <v>90</v>
      </c>
      <c r="J209" s="6" t="s">
        <v>91</v>
      </c>
      <c r="K209" s="6" t="s">
        <v>92</v>
      </c>
      <c r="L209" s="6" t="s">
        <v>90</v>
      </c>
      <c r="M209" s="6" t="s">
        <v>136</v>
      </c>
      <c r="N209" s="6" t="s">
        <v>104</v>
      </c>
      <c r="O209" s="6" t="s">
        <v>675</v>
      </c>
      <c r="P209" s="6" t="s">
        <v>95</v>
      </c>
      <c r="Q209" s="6" t="s">
        <v>291</v>
      </c>
      <c r="R209" s="6" t="s">
        <v>961</v>
      </c>
      <c r="S209" s="6" t="str">
        <f>VLOOKUP(R209,Customer_Mapping!A:B,2,FALSE)</f>
        <v>Customer_021</v>
      </c>
      <c r="T209" s="6" t="s">
        <v>283</v>
      </c>
      <c r="U209" s="6" t="s">
        <v>339</v>
      </c>
      <c r="V209" s="6" t="s">
        <v>957</v>
      </c>
      <c r="W209" s="6" t="str">
        <f>IF(U209="","",IFERROR(_xlfn.XLOOKUP(U209,Mapping!$A:$A,Mapping!$B:$B),""))</f>
        <v>Project_012</v>
      </c>
      <c r="X209" s="6" t="str">
        <f>IF(V209="","",IFERROR(_xlfn.XLOOKUP(V209,Mapping!$A:$A,Mapping!$B:$B),""))</f>
        <v>Project_044</v>
      </c>
      <c r="Y209" s="6" t="s">
        <v>286</v>
      </c>
      <c r="Z209" s="6" t="s">
        <v>136</v>
      </c>
    </row>
    <row r="210" spans="1:26">
      <c r="A210" s="12">
        <v>209</v>
      </c>
      <c r="B210" s="6" t="s">
        <v>962</v>
      </c>
      <c r="C210" s="6" t="s">
        <v>963</v>
      </c>
      <c r="D210" s="6" t="s">
        <v>86</v>
      </c>
      <c r="E210" s="7">
        <v>44348</v>
      </c>
      <c r="F210" s="6" t="s">
        <v>111</v>
      </c>
      <c r="G210" s="6" t="s">
        <v>146</v>
      </c>
      <c r="H210" s="6" t="s">
        <v>964</v>
      </c>
      <c r="I210" s="6" t="s">
        <v>90</v>
      </c>
      <c r="J210" s="6" t="s">
        <v>91</v>
      </c>
      <c r="K210" s="6" t="s">
        <v>92</v>
      </c>
      <c r="L210" s="6" t="s">
        <v>90</v>
      </c>
      <c r="M210" s="6" t="s">
        <v>474</v>
      </c>
      <c r="N210" s="6" t="s">
        <v>95</v>
      </c>
      <c r="O210" s="6" t="s">
        <v>965</v>
      </c>
      <c r="P210" s="6" t="s">
        <v>95</v>
      </c>
      <c r="Q210" s="6" t="s">
        <v>281</v>
      </c>
      <c r="R210" s="6" t="s">
        <v>334</v>
      </c>
      <c r="S210" s="6" t="str">
        <f>VLOOKUP(R210,Customer_Mapping!A:B,2,FALSE)</f>
        <v>Customer_009</v>
      </c>
      <c r="T210" s="6" t="s">
        <v>335</v>
      </c>
      <c r="U210" s="6" t="s">
        <v>392</v>
      </c>
      <c r="V210" s="6" t="s">
        <v>339</v>
      </c>
      <c r="W210" s="6" t="str">
        <f>IF(U210="","",IFERROR(_xlfn.XLOOKUP(U210,Mapping!$A:$A,Mapping!$B:$B),""))</f>
        <v>Project_021</v>
      </c>
      <c r="X210" s="6" t="str">
        <f>IF(V210="","",IFERROR(_xlfn.XLOOKUP(V210,Mapping!$A:$A,Mapping!$B:$B),""))</f>
        <v>Project_012</v>
      </c>
      <c r="Y210" s="6" t="s">
        <v>286</v>
      </c>
      <c r="Z210" s="6" t="s">
        <v>474</v>
      </c>
    </row>
    <row r="211" spans="1:26">
      <c r="A211" s="12">
        <v>210</v>
      </c>
      <c r="B211" s="6" t="s">
        <v>966</v>
      </c>
      <c r="C211" s="6" t="s">
        <v>967</v>
      </c>
      <c r="D211" s="6" t="s">
        <v>86</v>
      </c>
      <c r="E211" s="7">
        <v>44774</v>
      </c>
      <c r="F211" s="6" t="s">
        <v>87</v>
      </c>
      <c r="G211" s="6" t="s">
        <v>311</v>
      </c>
      <c r="H211" s="6" t="s">
        <v>968</v>
      </c>
      <c r="I211" s="6" t="s">
        <v>90</v>
      </c>
      <c r="J211" s="6" t="s">
        <v>91</v>
      </c>
      <c r="K211" s="6" t="s">
        <v>92</v>
      </c>
      <c r="L211" s="6" t="s">
        <v>90</v>
      </c>
      <c r="M211" s="6" t="s">
        <v>93</v>
      </c>
      <c r="N211" s="6" t="s">
        <v>122</v>
      </c>
      <c r="O211" s="6" t="s">
        <v>93</v>
      </c>
      <c r="P211" s="6" t="s">
        <v>122</v>
      </c>
      <c r="Q211" s="6" t="s">
        <v>697</v>
      </c>
      <c r="R211" s="6" t="s">
        <v>282</v>
      </c>
      <c r="S211" s="6" t="str">
        <f>VLOOKUP(R211,Customer_Mapping!A:B,2,FALSE)</f>
        <v>Customer_001</v>
      </c>
      <c r="T211" s="6" t="s">
        <v>283</v>
      </c>
      <c r="U211" s="6" t="s">
        <v>339</v>
      </c>
      <c r="V211" s="6" t="s">
        <v>392</v>
      </c>
      <c r="W211" s="6" t="str">
        <f>IF(U211="","",IFERROR(_xlfn.XLOOKUP(U211,Mapping!$A:$A,Mapping!$B:$B),""))</f>
        <v>Project_012</v>
      </c>
      <c r="X211" s="6" t="str">
        <f>IF(V211="","",IFERROR(_xlfn.XLOOKUP(V211,Mapping!$A:$A,Mapping!$B:$B),""))</f>
        <v>Project_021</v>
      </c>
      <c r="Y211" s="6" t="s">
        <v>286</v>
      </c>
      <c r="Z211" s="6" t="s">
        <v>93</v>
      </c>
    </row>
    <row r="212" spans="1:26">
      <c r="A212" s="12">
        <v>211</v>
      </c>
      <c r="B212" s="6" t="s">
        <v>969</v>
      </c>
      <c r="C212" s="6" t="s">
        <v>970</v>
      </c>
      <c r="D212" s="6" t="s">
        <v>86</v>
      </c>
      <c r="E212" s="7">
        <v>44850</v>
      </c>
      <c r="F212" s="6" t="s">
        <v>288</v>
      </c>
      <c r="G212" s="6" t="s">
        <v>151</v>
      </c>
      <c r="H212" s="6" t="s">
        <v>971</v>
      </c>
      <c r="I212" s="6" t="s">
        <v>90</v>
      </c>
      <c r="J212" s="6" t="s">
        <v>91</v>
      </c>
      <c r="K212" s="6" t="s">
        <v>92</v>
      </c>
      <c r="L212" s="6" t="s">
        <v>90</v>
      </c>
      <c r="M212" s="6" t="s">
        <v>103</v>
      </c>
      <c r="N212" s="6" t="s">
        <v>104</v>
      </c>
      <c r="O212" s="6" t="s">
        <v>43</v>
      </c>
      <c r="P212" s="6" t="s">
        <v>104</v>
      </c>
      <c r="Q212" s="6" t="s">
        <v>291</v>
      </c>
      <c r="R212" s="6" t="s">
        <v>334</v>
      </c>
      <c r="S212" s="6" t="str">
        <f>VLOOKUP(R212,Customer_Mapping!A:B,2,FALSE)</f>
        <v>Customer_009</v>
      </c>
      <c r="T212" s="6" t="s">
        <v>335</v>
      </c>
      <c r="U212" s="6" t="s">
        <v>348</v>
      </c>
      <c r="V212" s="6" t="s">
        <v>339</v>
      </c>
      <c r="W212" s="6" t="str">
        <f>IF(U212="","",IFERROR(_xlfn.XLOOKUP(U212,Mapping!$A:$A,Mapping!$B:$B),""))</f>
        <v>Project_014</v>
      </c>
      <c r="X212" s="6" t="str">
        <f>IF(V212="","",IFERROR(_xlfn.XLOOKUP(V212,Mapping!$A:$A,Mapping!$B:$B),""))</f>
        <v>Project_012</v>
      </c>
      <c r="Y212" s="6" t="s">
        <v>286</v>
      </c>
      <c r="Z212" s="6" t="s">
        <v>103</v>
      </c>
    </row>
    <row r="213" spans="1:26">
      <c r="A213" s="12">
        <v>212</v>
      </c>
      <c r="B213" s="6" t="s">
        <v>972</v>
      </c>
      <c r="C213" s="6" t="s">
        <v>973</v>
      </c>
      <c r="D213" s="6" t="s">
        <v>86</v>
      </c>
      <c r="E213" s="7">
        <v>42156</v>
      </c>
      <c r="F213" s="6" t="s">
        <v>87</v>
      </c>
      <c r="G213" s="6" t="s">
        <v>974</v>
      </c>
      <c r="H213" s="6" t="s">
        <v>975</v>
      </c>
      <c r="I213" s="6" t="s">
        <v>90</v>
      </c>
      <c r="J213" s="6" t="s">
        <v>91</v>
      </c>
      <c r="K213" s="6" t="s">
        <v>92</v>
      </c>
      <c r="L213" s="6" t="s">
        <v>90</v>
      </c>
      <c r="M213" s="6" t="s">
        <v>93</v>
      </c>
      <c r="N213" s="6" t="s">
        <v>122</v>
      </c>
      <c r="O213" s="6" t="s">
        <v>93</v>
      </c>
      <c r="P213" s="6" t="s">
        <v>122</v>
      </c>
      <c r="Q213" s="6" t="s">
        <v>490</v>
      </c>
      <c r="R213" s="6" t="s">
        <v>351</v>
      </c>
      <c r="S213" s="6" t="str">
        <f>VLOOKUP(R213,Customer_Mapping!A:B,2,FALSE)</f>
        <v>Customer_010</v>
      </c>
      <c r="T213" s="6" t="s">
        <v>283</v>
      </c>
      <c r="U213" s="6" t="s">
        <v>468</v>
      </c>
      <c r="V213" s="6" t="s">
        <v>348</v>
      </c>
      <c r="W213" s="6" t="str">
        <f>IF(U213="","",IFERROR(_xlfn.XLOOKUP(U213,Mapping!$A:$A,Mapping!$B:$B),""))</f>
        <v>Project_027</v>
      </c>
      <c r="X213" s="6" t="str">
        <f>IF(V213="","",IFERROR(_xlfn.XLOOKUP(V213,Mapping!$A:$A,Mapping!$B:$B),""))</f>
        <v>Project_014</v>
      </c>
      <c r="Y213" s="6" t="s">
        <v>286</v>
      </c>
      <c r="Z213" s="6" t="s">
        <v>93</v>
      </c>
    </row>
    <row r="214" spans="1:26">
      <c r="A214" s="12">
        <v>213</v>
      </c>
      <c r="B214" s="6" t="s">
        <v>976</v>
      </c>
      <c r="C214" s="6" t="s">
        <v>977</v>
      </c>
      <c r="D214" s="6" t="s">
        <v>86</v>
      </c>
      <c r="E214" s="7">
        <v>43571</v>
      </c>
      <c r="F214" s="6" t="s">
        <v>111</v>
      </c>
      <c r="G214" s="6" t="s">
        <v>146</v>
      </c>
      <c r="H214" s="6" t="s">
        <v>978</v>
      </c>
      <c r="I214" s="6" t="s">
        <v>90</v>
      </c>
      <c r="J214" s="6" t="s">
        <v>91</v>
      </c>
      <c r="K214" s="6" t="s">
        <v>92</v>
      </c>
      <c r="L214" s="6" t="s">
        <v>90</v>
      </c>
      <c r="M214" s="6" t="s">
        <v>131</v>
      </c>
      <c r="N214" s="6" t="s">
        <v>122</v>
      </c>
      <c r="O214" s="6" t="s">
        <v>131</v>
      </c>
      <c r="P214" s="6" t="s">
        <v>122</v>
      </c>
      <c r="Q214" s="6" t="s">
        <v>418</v>
      </c>
      <c r="R214" s="6" t="s">
        <v>282</v>
      </c>
      <c r="S214" s="6" t="str">
        <f>VLOOKUP(R214,Customer_Mapping!A:B,2,FALSE)</f>
        <v>Customer_001</v>
      </c>
      <c r="T214" s="6" t="s">
        <v>283</v>
      </c>
      <c r="U214" s="6" t="s">
        <v>323</v>
      </c>
      <c r="V214" s="6" t="s">
        <v>468</v>
      </c>
      <c r="W214" s="6" t="str">
        <f>IF(U214="","",IFERROR(_xlfn.XLOOKUP(U214,Mapping!$A:$A,Mapping!$B:$B),""))</f>
        <v>Project_009</v>
      </c>
      <c r="X214" s="6" t="str">
        <f>IF(V214="","",IFERROR(_xlfn.XLOOKUP(V214,Mapping!$A:$A,Mapping!$B:$B),""))</f>
        <v>Project_027</v>
      </c>
      <c r="Y214" s="6" t="s">
        <v>286</v>
      </c>
      <c r="Z214" s="6" t="s">
        <v>131</v>
      </c>
    </row>
    <row r="215" spans="1:26">
      <c r="A215" s="12">
        <v>214</v>
      </c>
      <c r="B215" s="6" t="s">
        <v>979</v>
      </c>
      <c r="C215" s="6" t="s">
        <v>980</v>
      </c>
      <c r="D215" s="6" t="s">
        <v>86</v>
      </c>
      <c r="E215" s="7">
        <v>45603</v>
      </c>
      <c r="F215" s="6" t="s">
        <v>732</v>
      </c>
      <c r="G215" s="6" t="s">
        <v>94</v>
      </c>
      <c r="H215" s="6" t="s">
        <v>94</v>
      </c>
      <c r="I215" s="6" t="s">
        <v>90</v>
      </c>
      <c r="J215" s="6" t="s">
        <v>91</v>
      </c>
      <c r="K215" s="6" t="s">
        <v>92</v>
      </c>
      <c r="L215" s="6" t="s">
        <v>90</v>
      </c>
      <c r="M215" s="6" t="s">
        <v>94</v>
      </c>
      <c r="N215" s="6" t="s">
        <v>94</v>
      </c>
      <c r="O215" s="6" t="s">
        <v>43</v>
      </c>
      <c r="P215" s="6" t="s">
        <v>104</v>
      </c>
      <c r="Q215" s="6" t="s">
        <v>734</v>
      </c>
      <c r="R215" s="6" t="s">
        <v>326</v>
      </c>
      <c r="S215" s="6" t="str">
        <f>VLOOKUP(R215,Customer_Mapping!A:B,2,FALSE)</f>
        <v>Customer_007</v>
      </c>
      <c r="T215" s="6" t="s">
        <v>283</v>
      </c>
      <c r="U215" s="6" t="s">
        <v>301</v>
      </c>
      <c r="V215" s="6" t="s">
        <v>323</v>
      </c>
      <c r="W215" s="6" t="str">
        <f>IF(U215="","",IFERROR(_xlfn.XLOOKUP(U215,Mapping!$A:$A,Mapping!$B:$B),""))</f>
        <v>Project_004</v>
      </c>
      <c r="X215" s="6" t="str">
        <f>IF(V215="","",IFERROR(_xlfn.XLOOKUP(V215,Mapping!$A:$A,Mapping!$B:$B),""))</f>
        <v>Project_009</v>
      </c>
      <c r="Y215" s="6" t="s">
        <v>286</v>
      </c>
      <c r="Z215" s="6" t="s">
        <v>94</v>
      </c>
    </row>
    <row r="216" spans="1:26">
      <c r="A216" s="12">
        <v>215</v>
      </c>
      <c r="B216" s="6" t="s">
        <v>981</v>
      </c>
      <c r="C216" s="6" t="s">
        <v>982</v>
      </c>
      <c r="D216" s="6" t="s">
        <v>86</v>
      </c>
      <c r="E216" s="7">
        <v>46158</v>
      </c>
      <c r="F216" s="6" t="s">
        <v>337</v>
      </c>
      <c r="G216" s="6" t="s">
        <v>94</v>
      </c>
      <c r="H216" s="6" t="s">
        <v>536</v>
      </c>
      <c r="I216" s="6" t="s">
        <v>90</v>
      </c>
      <c r="J216" s="6" t="s">
        <v>91</v>
      </c>
      <c r="K216" s="6" t="s">
        <v>92</v>
      </c>
      <c r="L216" s="6" t="s">
        <v>90</v>
      </c>
      <c r="M216" s="6" t="s">
        <v>94</v>
      </c>
      <c r="N216" s="6" t="s">
        <v>94</v>
      </c>
      <c r="O216" s="6" t="s">
        <v>131</v>
      </c>
      <c r="P216" s="6" t="s">
        <v>104</v>
      </c>
      <c r="Q216" s="6" t="s">
        <v>338</v>
      </c>
      <c r="R216" s="6" t="s">
        <v>282</v>
      </c>
      <c r="S216" s="6" t="str">
        <f>VLOOKUP(R216,Customer_Mapping!A:B,2,FALSE)</f>
        <v>Customer_001</v>
      </c>
      <c r="T216" s="6" t="s">
        <v>283</v>
      </c>
      <c r="U216" s="6" t="s">
        <v>292</v>
      </c>
      <c r="V216" s="6" t="s">
        <v>301</v>
      </c>
      <c r="W216" s="6" t="str">
        <f>IF(U216="","",IFERROR(_xlfn.XLOOKUP(U216,Mapping!$A:$A,Mapping!$B:$B),""))</f>
        <v>Project_002</v>
      </c>
      <c r="X216" s="6" t="str">
        <f>IF(V216="","",IFERROR(_xlfn.XLOOKUP(V216,Mapping!$A:$A,Mapping!$B:$B),""))</f>
        <v>Project_004</v>
      </c>
      <c r="Y216" s="6" t="s">
        <v>286</v>
      </c>
      <c r="Z216" s="6" t="s">
        <v>94</v>
      </c>
    </row>
    <row r="217" spans="1:26">
      <c r="A217" s="12">
        <v>216</v>
      </c>
      <c r="B217" s="6" t="s">
        <v>983</v>
      </c>
      <c r="C217" s="6" t="s">
        <v>984</v>
      </c>
      <c r="D217" s="6" t="s">
        <v>86</v>
      </c>
      <c r="E217" s="7">
        <v>46045</v>
      </c>
      <c r="F217" s="6" t="s">
        <v>111</v>
      </c>
      <c r="G217" s="6" t="s">
        <v>94</v>
      </c>
      <c r="H217" s="6" t="s">
        <v>94</v>
      </c>
      <c r="I217" s="6" t="s">
        <v>90</v>
      </c>
      <c r="J217" s="6" t="s">
        <v>91</v>
      </c>
      <c r="K217" s="6" t="s">
        <v>92</v>
      </c>
      <c r="L217" s="6" t="s">
        <v>90</v>
      </c>
      <c r="M217" s="6" t="s">
        <v>94</v>
      </c>
      <c r="N217" s="6" t="s">
        <v>94</v>
      </c>
      <c r="O217" s="6" t="s">
        <v>451</v>
      </c>
      <c r="P217" s="6" t="s">
        <v>95</v>
      </c>
      <c r="Q217" s="6" t="s">
        <v>281</v>
      </c>
      <c r="R217" s="6" t="s">
        <v>297</v>
      </c>
      <c r="S217" s="6" t="str">
        <f>VLOOKUP(R217,Customer_Mapping!A:B,2,FALSE)</f>
        <v>Customer_002</v>
      </c>
      <c r="T217" s="6" t="s">
        <v>283</v>
      </c>
      <c r="U217" s="6" t="s">
        <v>341</v>
      </c>
      <c r="V217" s="6" t="s">
        <v>292</v>
      </c>
      <c r="W217" s="6" t="str">
        <f>IF(U217="","",IFERROR(_xlfn.XLOOKUP(U217,Mapping!$A:$A,Mapping!$B:$B),""))</f>
        <v>Project_013</v>
      </c>
      <c r="X217" s="6" t="str">
        <f>IF(V217="","",IFERROR(_xlfn.XLOOKUP(V217,Mapping!$A:$A,Mapping!$B:$B),""))</f>
        <v>Project_002</v>
      </c>
      <c r="Y217" s="6" t="s">
        <v>286</v>
      </c>
      <c r="Z217" s="6" t="s">
        <v>94</v>
      </c>
    </row>
    <row r="218" spans="1:26">
      <c r="A218" s="12">
        <v>217</v>
      </c>
      <c r="B218" s="6" t="s">
        <v>985</v>
      </c>
      <c r="C218" s="6" t="s">
        <v>986</v>
      </c>
      <c r="D218" s="6" t="s">
        <v>86</v>
      </c>
      <c r="E218" s="7">
        <v>43512</v>
      </c>
      <c r="F218" s="6" t="s">
        <v>111</v>
      </c>
      <c r="G218" s="6" t="s">
        <v>371</v>
      </c>
      <c r="H218" s="6" t="s">
        <v>987</v>
      </c>
      <c r="I218" s="6" t="s">
        <v>90</v>
      </c>
      <c r="J218" s="6" t="s">
        <v>91</v>
      </c>
      <c r="K218" s="6" t="s">
        <v>92</v>
      </c>
      <c r="L218" s="6" t="s">
        <v>90</v>
      </c>
      <c r="M218" s="6" t="s">
        <v>416</v>
      </c>
      <c r="N218" s="6" t="s">
        <v>94</v>
      </c>
      <c r="O218" s="6" t="s">
        <v>131</v>
      </c>
      <c r="P218" s="6" t="s">
        <v>122</v>
      </c>
      <c r="Q218" s="6" t="s">
        <v>418</v>
      </c>
      <c r="R218" s="6" t="s">
        <v>282</v>
      </c>
      <c r="S218" s="6" t="str">
        <f>VLOOKUP(R218,Customer_Mapping!A:B,2,FALSE)</f>
        <v>Customer_001</v>
      </c>
      <c r="T218" s="6" t="s">
        <v>283</v>
      </c>
      <c r="U218" s="6" t="s">
        <v>348</v>
      </c>
      <c r="V218" s="6" t="s">
        <v>341</v>
      </c>
      <c r="W218" s="6" t="str">
        <f>IF(U218="","",IFERROR(_xlfn.XLOOKUP(U218,Mapping!$A:$A,Mapping!$B:$B),""))</f>
        <v>Project_014</v>
      </c>
      <c r="X218" s="6" t="str">
        <f>IF(V218="","",IFERROR(_xlfn.XLOOKUP(V218,Mapping!$A:$A,Mapping!$B:$B),""))</f>
        <v>Project_013</v>
      </c>
      <c r="Y218" s="6" t="s">
        <v>286</v>
      </c>
      <c r="Z218" s="6" t="s">
        <v>416</v>
      </c>
    </row>
    <row r="219" spans="1:26">
      <c r="A219" s="12">
        <v>218</v>
      </c>
      <c r="B219" s="6" t="s">
        <v>988</v>
      </c>
      <c r="C219" s="6" t="s">
        <v>989</v>
      </c>
      <c r="D219" s="6" t="s">
        <v>86</v>
      </c>
      <c r="E219" s="7">
        <v>44577</v>
      </c>
      <c r="F219" s="6" t="s">
        <v>204</v>
      </c>
      <c r="G219" s="6" t="s">
        <v>101</v>
      </c>
      <c r="H219" s="6" t="s">
        <v>990</v>
      </c>
      <c r="I219" s="6" t="s">
        <v>90</v>
      </c>
      <c r="J219" s="6" t="s">
        <v>91</v>
      </c>
      <c r="K219" s="6" t="s">
        <v>92</v>
      </c>
      <c r="L219" s="6" t="s">
        <v>90</v>
      </c>
      <c r="M219" s="6" t="s">
        <v>43</v>
      </c>
      <c r="N219" s="6" t="s">
        <v>94</v>
      </c>
      <c r="O219" s="6" t="s">
        <v>43</v>
      </c>
      <c r="P219" s="6" t="s">
        <v>95</v>
      </c>
      <c r="Q219" s="6" t="s">
        <v>403</v>
      </c>
      <c r="R219" s="6" t="s">
        <v>351</v>
      </c>
      <c r="S219" s="6" t="str">
        <f>VLOOKUP(R219,Customer_Mapping!A:B,2,FALSE)</f>
        <v>Customer_010</v>
      </c>
      <c r="T219" s="6" t="s">
        <v>283</v>
      </c>
      <c r="U219" s="6" t="s">
        <v>298</v>
      </c>
      <c r="V219" s="6" t="s">
        <v>348</v>
      </c>
      <c r="W219" s="6" t="str">
        <f>IF(U219="","",IFERROR(_xlfn.XLOOKUP(U219,Mapping!$A:$A,Mapping!$B:$B),""))</f>
        <v>Project_003</v>
      </c>
      <c r="X219" s="6" t="str">
        <f>IF(V219="","",IFERROR(_xlfn.XLOOKUP(V219,Mapping!$A:$A,Mapping!$B:$B),""))</f>
        <v>Project_014</v>
      </c>
      <c r="Y219" s="6" t="s">
        <v>286</v>
      </c>
      <c r="Z219" s="6" t="s">
        <v>43</v>
      </c>
    </row>
    <row r="220" spans="1:26">
      <c r="A220" s="12">
        <v>219</v>
      </c>
      <c r="B220" s="6" t="s">
        <v>991</v>
      </c>
      <c r="C220" s="6" t="s">
        <v>992</v>
      </c>
      <c r="D220" s="6" t="s">
        <v>86</v>
      </c>
      <c r="E220" s="7">
        <v>45283</v>
      </c>
      <c r="F220" s="6" t="s">
        <v>26</v>
      </c>
      <c r="G220" s="6" t="s">
        <v>120</v>
      </c>
      <c r="H220" s="6" t="s">
        <v>159</v>
      </c>
      <c r="I220" s="6" t="s">
        <v>90</v>
      </c>
      <c r="J220" s="6" t="s">
        <v>91</v>
      </c>
      <c r="K220" s="6" t="s">
        <v>92</v>
      </c>
      <c r="L220" s="6" t="s">
        <v>90</v>
      </c>
      <c r="M220" s="6" t="s">
        <v>27</v>
      </c>
      <c r="N220" s="6" t="s">
        <v>104</v>
      </c>
      <c r="O220" s="6" t="s">
        <v>27</v>
      </c>
      <c r="P220" s="6" t="s">
        <v>104</v>
      </c>
      <c r="Q220" s="6" t="s">
        <v>296</v>
      </c>
      <c r="R220" s="6" t="s">
        <v>300</v>
      </c>
      <c r="S220" s="6" t="str">
        <f>VLOOKUP(R220,Customer_Mapping!A:B,2,FALSE)</f>
        <v>Customer_003</v>
      </c>
      <c r="T220" s="6" t="s">
        <v>283</v>
      </c>
      <c r="U220" s="6" t="s">
        <v>298</v>
      </c>
      <c r="V220" s="6" t="s">
        <v>298</v>
      </c>
      <c r="W220" s="6" t="str">
        <f>IF(U220="","",IFERROR(_xlfn.XLOOKUP(U220,Mapping!$A:$A,Mapping!$B:$B),""))</f>
        <v>Project_003</v>
      </c>
      <c r="X220" s="6" t="str">
        <f>IF(V220="","",IFERROR(_xlfn.XLOOKUP(V220,Mapping!$A:$A,Mapping!$B:$B),""))</f>
        <v>Project_003</v>
      </c>
      <c r="Y220" s="6" t="s">
        <v>286</v>
      </c>
      <c r="Z220" s="6" t="s">
        <v>27</v>
      </c>
    </row>
    <row r="221" spans="1:26">
      <c r="A221" s="12">
        <v>220</v>
      </c>
      <c r="B221" s="6" t="s">
        <v>993</v>
      </c>
      <c r="C221" s="6" t="s">
        <v>994</v>
      </c>
      <c r="D221" s="6" t="s">
        <v>86</v>
      </c>
      <c r="E221" s="7">
        <v>45084</v>
      </c>
      <c r="F221" s="6" t="s">
        <v>111</v>
      </c>
      <c r="G221" s="6" t="s">
        <v>146</v>
      </c>
      <c r="H221" s="6" t="s">
        <v>147</v>
      </c>
      <c r="I221" s="6" t="s">
        <v>90</v>
      </c>
      <c r="J221" s="6" t="s">
        <v>91</v>
      </c>
      <c r="K221" s="6" t="s">
        <v>92</v>
      </c>
      <c r="L221" s="6" t="s">
        <v>90</v>
      </c>
      <c r="M221" s="6" t="s">
        <v>136</v>
      </c>
      <c r="N221" s="6" t="s">
        <v>95</v>
      </c>
      <c r="O221" s="6" t="s">
        <v>131</v>
      </c>
      <c r="P221" s="6" t="s">
        <v>95</v>
      </c>
      <c r="Q221" s="6" t="s">
        <v>281</v>
      </c>
      <c r="R221" s="6" t="s">
        <v>300</v>
      </c>
      <c r="S221" s="6" t="str">
        <f>VLOOKUP(R221,Customer_Mapping!A:B,2,FALSE)</f>
        <v>Customer_003</v>
      </c>
      <c r="T221" s="6" t="s">
        <v>283</v>
      </c>
      <c r="U221" s="6" t="s">
        <v>305</v>
      </c>
      <c r="V221" s="6" t="s">
        <v>298</v>
      </c>
      <c r="W221" s="6" t="str">
        <f>IF(U221="","",IFERROR(_xlfn.XLOOKUP(U221,Mapping!$A:$A,Mapping!$B:$B),""))</f>
        <v>Project_005</v>
      </c>
      <c r="X221" s="6" t="str">
        <f>IF(V221="","",IFERROR(_xlfn.XLOOKUP(V221,Mapping!$A:$A,Mapping!$B:$B),""))</f>
        <v>Project_003</v>
      </c>
      <c r="Y221" s="6" t="s">
        <v>286</v>
      </c>
      <c r="Z221" s="6" t="s">
        <v>136</v>
      </c>
    </row>
    <row r="222" spans="1:26">
      <c r="A222" s="12">
        <v>221</v>
      </c>
      <c r="B222" s="6" t="s">
        <v>995</v>
      </c>
      <c r="C222" s="6" t="s">
        <v>996</v>
      </c>
      <c r="D222" s="6" t="s">
        <v>86</v>
      </c>
      <c r="E222" s="7">
        <v>45459</v>
      </c>
      <c r="F222" s="6" t="s">
        <v>732</v>
      </c>
      <c r="G222" s="6" t="s">
        <v>94</v>
      </c>
      <c r="H222" s="6" t="s">
        <v>997</v>
      </c>
      <c r="I222" s="6" t="s">
        <v>90</v>
      </c>
      <c r="J222" s="6" t="s">
        <v>91</v>
      </c>
      <c r="K222" s="6" t="s">
        <v>92</v>
      </c>
      <c r="L222" s="6" t="s">
        <v>90</v>
      </c>
      <c r="M222" s="6" t="s">
        <v>94</v>
      </c>
      <c r="N222" s="6" t="s">
        <v>94</v>
      </c>
      <c r="O222" s="6" t="s">
        <v>43</v>
      </c>
      <c r="P222" s="6" t="s">
        <v>95</v>
      </c>
      <c r="Q222" s="6" t="s">
        <v>734</v>
      </c>
      <c r="R222" s="6" t="s">
        <v>308</v>
      </c>
      <c r="S222" s="6" t="str">
        <f>VLOOKUP(R222,Customer_Mapping!A:B,2,FALSE)</f>
        <v>Customer_004</v>
      </c>
      <c r="T222" s="6" t="s">
        <v>283</v>
      </c>
      <c r="U222" s="6" t="s">
        <v>626</v>
      </c>
      <c r="V222" s="6" t="s">
        <v>305</v>
      </c>
      <c r="W222" s="6" t="str">
        <f>IF(U222="","",IFERROR(_xlfn.XLOOKUP(U222,Mapping!$A:$A,Mapping!$B:$B),""))</f>
        <v>Project_034</v>
      </c>
      <c r="X222" s="6" t="str">
        <f>IF(V222="","",IFERROR(_xlfn.XLOOKUP(V222,Mapping!$A:$A,Mapping!$B:$B),""))</f>
        <v>Project_005</v>
      </c>
      <c r="Y222" s="6" t="s">
        <v>286</v>
      </c>
      <c r="Z222" s="6" t="s">
        <v>94</v>
      </c>
    </row>
    <row r="223" spans="1:26">
      <c r="A223" s="12">
        <v>222</v>
      </c>
      <c r="B223" s="6" t="s">
        <v>998</v>
      </c>
      <c r="C223" s="6" t="s">
        <v>999</v>
      </c>
      <c r="D223" s="6" t="s">
        <v>86</v>
      </c>
      <c r="E223" s="7">
        <v>44363</v>
      </c>
      <c r="F223" s="6" t="s">
        <v>204</v>
      </c>
      <c r="G223" s="6" t="s">
        <v>175</v>
      </c>
      <c r="H223" s="6" t="s">
        <v>1000</v>
      </c>
      <c r="I223" s="6" t="s">
        <v>90</v>
      </c>
      <c r="J223" s="6" t="s">
        <v>91</v>
      </c>
      <c r="K223" s="6" t="s">
        <v>92</v>
      </c>
      <c r="L223" s="6" t="s">
        <v>90</v>
      </c>
      <c r="M223" s="6" t="s">
        <v>43</v>
      </c>
      <c r="N223" s="6" t="s">
        <v>122</v>
      </c>
      <c r="O223" s="6" t="s">
        <v>43</v>
      </c>
      <c r="P223" s="6" t="s">
        <v>104</v>
      </c>
      <c r="Q223" s="6" t="s">
        <v>403</v>
      </c>
      <c r="R223" s="6" t="s">
        <v>630</v>
      </c>
      <c r="S223" s="6" t="str">
        <f>VLOOKUP(R223,Customer_Mapping!A:B,2,FALSE)</f>
        <v>Customer_017</v>
      </c>
      <c r="T223" s="6" t="s">
        <v>386</v>
      </c>
      <c r="U223" s="6" t="s">
        <v>373</v>
      </c>
      <c r="V223" s="6" t="s">
        <v>626</v>
      </c>
      <c r="W223" s="6" t="str">
        <f>IF(U223="","",IFERROR(_xlfn.XLOOKUP(U223,Mapping!$A:$A,Mapping!$B:$B),""))</f>
        <v>Project_016</v>
      </c>
      <c r="X223" s="6" t="str">
        <f>IF(V223="","",IFERROR(_xlfn.XLOOKUP(V223,Mapping!$A:$A,Mapping!$B:$B),""))</f>
        <v>Project_034</v>
      </c>
      <c r="Y223" s="6" t="s">
        <v>286</v>
      </c>
      <c r="Z223" s="6" t="s">
        <v>43</v>
      </c>
    </row>
    <row r="224" spans="1:26">
      <c r="A224" s="12">
        <v>223</v>
      </c>
      <c r="B224" s="6" t="s">
        <v>1001</v>
      </c>
      <c r="C224" s="6" t="s">
        <v>1002</v>
      </c>
      <c r="D224" s="6" t="s">
        <v>86</v>
      </c>
      <c r="E224" s="7">
        <v>44866</v>
      </c>
      <c r="F224" s="6" t="s">
        <v>732</v>
      </c>
      <c r="G224" s="6" t="s">
        <v>359</v>
      </c>
      <c r="H224" s="6" t="s">
        <v>1003</v>
      </c>
      <c r="I224" s="6" t="s">
        <v>90</v>
      </c>
      <c r="J224" s="6" t="s">
        <v>91</v>
      </c>
      <c r="K224" s="6" t="s">
        <v>92</v>
      </c>
      <c r="L224" s="6" t="s">
        <v>90</v>
      </c>
      <c r="M224" s="6" t="s">
        <v>43</v>
      </c>
      <c r="N224" s="6" t="s">
        <v>94</v>
      </c>
      <c r="O224" s="6" t="s">
        <v>642</v>
      </c>
      <c r="P224" s="6" t="s">
        <v>95</v>
      </c>
      <c r="Q224" s="6" t="s">
        <v>734</v>
      </c>
      <c r="R224" s="6" t="s">
        <v>334</v>
      </c>
      <c r="S224" s="6" t="str">
        <f>VLOOKUP(R224,Customer_Mapping!A:B,2,FALSE)</f>
        <v>Customer_009</v>
      </c>
      <c r="T224" s="6" t="s">
        <v>335</v>
      </c>
      <c r="U224" s="6" t="s">
        <v>301</v>
      </c>
      <c r="V224" s="6" t="s">
        <v>373</v>
      </c>
      <c r="W224" s="6" t="str">
        <f>IF(U224="","",IFERROR(_xlfn.XLOOKUP(U224,Mapping!$A:$A,Mapping!$B:$B),""))</f>
        <v>Project_004</v>
      </c>
      <c r="X224" s="6" t="str">
        <f>IF(V224="","",IFERROR(_xlfn.XLOOKUP(V224,Mapping!$A:$A,Mapping!$B:$B),""))</f>
        <v>Project_016</v>
      </c>
      <c r="Y224" s="6" t="s">
        <v>286</v>
      </c>
      <c r="Z224" s="6" t="s">
        <v>43</v>
      </c>
    </row>
    <row r="225" spans="1:26">
      <c r="A225" s="12">
        <v>224</v>
      </c>
      <c r="B225" s="6" t="s">
        <v>1004</v>
      </c>
      <c r="C225" s="6" t="s">
        <v>1005</v>
      </c>
      <c r="D225" s="6" t="s">
        <v>86</v>
      </c>
      <c r="E225" s="7">
        <v>45130</v>
      </c>
      <c r="F225" s="6" t="s">
        <v>204</v>
      </c>
      <c r="G225" s="6" t="s">
        <v>407</v>
      </c>
      <c r="H225" s="6" t="s">
        <v>1006</v>
      </c>
      <c r="I225" s="6" t="s">
        <v>90</v>
      </c>
      <c r="J225" s="6" t="s">
        <v>91</v>
      </c>
      <c r="K225" s="6" t="s">
        <v>92</v>
      </c>
      <c r="L225" s="6" t="s">
        <v>90</v>
      </c>
      <c r="M225" s="6" t="s">
        <v>43</v>
      </c>
      <c r="N225" s="6" t="s">
        <v>122</v>
      </c>
      <c r="O225" s="6" t="s">
        <v>43</v>
      </c>
      <c r="P225" s="6" t="s">
        <v>122</v>
      </c>
      <c r="Q225" s="6" t="s">
        <v>403</v>
      </c>
      <c r="R225" s="6" t="s">
        <v>282</v>
      </c>
      <c r="S225" s="6" t="str">
        <f>VLOOKUP(R225,Customer_Mapping!A:B,2,FALSE)</f>
        <v>Customer_001</v>
      </c>
      <c r="T225" s="6" t="s">
        <v>283</v>
      </c>
      <c r="U225" s="6" t="s">
        <v>298</v>
      </c>
      <c r="V225" s="6" t="s">
        <v>301</v>
      </c>
      <c r="W225" s="6" t="str">
        <f>IF(U225="","",IFERROR(_xlfn.XLOOKUP(U225,Mapping!$A:$A,Mapping!$B:$B),""))</f>
        <v>Project_003</v>
      </c>
      <c r="X225" s="6" t="str">
        <f>IF(V225="","",IFERROR(_xlfn.XLOOKUP(V225,Mapping!$A:$A,Mapping!$B:$B),""))</f>
        <v>Project_004</v>
      </c>
      <c r="Y225" s="6" t="s">
        <v>286</v>
      </c>
      <c r="Z225" s="6" t="s">
        <v>43</v>
      </c>
    </row>
    <row r="226" spans="1:26">
      <c r="A226" s="12">
        <v>225</v>
      </c>
      <c r="B226" s="6" t="s">
        <v>1007</v>
      </c>
      <c r="C226" s="6" t="s">
        <v>1008</v>
      </c>
      <c r="D226" s="6" t="s">
        <v>86</v>
      </c>
      <c r="E226" s="7">
        <v>45283</v>
      </c>
      <c r="F226" s="6" t="s">
        <v>26</v>
      </c>
      <c r="G226" s="6" t="s">
        <v>94</v>
      </c>
      <c r="H226" s="6" t="s">
        <v>165</v>
      </c>
      <c r="I226" s="6" t="s">
        <v>90</v>
      </c>
      <c r="J226" s="6" t="s">
        <v>91</v>
      </c>
      <c r="K226" s="6" t="s">
        <v>92</v>
      </c>
      <c r="L226" s="6" t="s">
        <v>90</v>
      </c>
      <c r="M226" s="6" t="s">
        <v>27</v>
      </c>
      <c r="N226" s="6" t="s">
        <v>104</v>
      </c>
      <c r="O226" s="6" t="s">
        <v>27</v>
      </c>
      <c r="P226" s="6" t="s">
        <v>104</v>
      </c>
      <c r="Q226" s="6" t="s">
        <v>296</v>
      </c>
      <c r="R226" s="6" t="s">
        <v>300</v>
      </c>
      <c r="S226" s="6" t="str">
        <f>VLOOKUP(R226,Customer_Mapping!A:B,2,FALSE)</f>
        <v>Customer_003</v>
      </c>
      <c r="T226" s="6" t="s">
        <v>283</v>
      </c>
      <c r="U226" s="6" t="s">
        <v>298</v>
      </c>
      <c r="V226" s="6" t="s">
        <v>298</v>
      </c>
      <c r="W226" s="6" t="str">
        <f>IF(U226="","",IFERROR(_xlfn.XLOOKUP(U226,Mapping!$A:$A,Mapping!$B:$B),""))</f>
        <v>Project_003</v>
      </c>
      <c r="X226" s="6" t="str">
        <f>IF(V226="","",IFERROR(_xlfn.XLOOKUP(V226,Mapping!$A:$A,Mapping!$B:$B),""))</f>
        <v>Project_003</v>
      </c>
      <c r="Y226" s="6" t="s">
        <v>286</v>
      </c>
      <c r="Z226" s="6" t="s">
        <v>27</v>
      </c>
    </row>
    <row r="227" spans="1:26">
      <c r="A227" s="12">
        <v>226</v>
      </c>
      <c r="B227" s="6" t="s">
        <v>1009</v>
      </c>
      <c r="C227" s="6" t="s">
        <v>1010</v>
      </c>
      <c r="D227" s="6" t="s">
        <v>86</v>
      </c>
      <c r="E227" s="7">
        <v>44667</v>
      </c>
      <c r="F227" s="6" t="s">
        <v>100</v>
      </c>
      <c r="G227" s="6" t="s">
        <v>101</v>
      </c>
      <c r="H227" s="6" t="s">
        <v>102</v>
      </c>
      <c r="I227" s="6" t="s">
        <v>90</v>
      </c>
      <c r="J227" s="6" t="s">
        <v>91</v>
      </c>
      <c r="K227" s="6" t="s">
        <v>92</v>
      </c>
      <c r="L227" s="6" t="s">
        <v>90</v>
      </c>
      <c r="M227" s="6" t="s">
        <v>103</v>
      </c>
      <c r="N227" s="6" t="s">
        <v>104</v>
      </c>
      <c r="O227" s="6" t="s">
        <v>93</v>
      </c>
      <c r="P227" s="6" t="s">
        <v>104</v>
      </c>
      <c r="Q227" s="6" t="s">
        <v>304</v>
      </c>
      <c r="R227" s="6" t="s">
        <v>300</v>
      </c>
      <c r="S227" s="6" t="str">
        <f>VLOOKUP(R227,Customer_Mapping!A:B,2,FALSE)</f>
        <v>Customer_003</v>
      </c>
      <c r="T227" s="6" t="s">
        <v>283</v>
      </c>
      <c r="U227" s="6" t="s">
        <v>323</v>
      </c>
      <c r="V227" s="6" t="s">
        <v>298</v>
      </c>
      <c r="W227" s="6" t="str">
        <f>IF(U227="","",IFERROR(_xlfn.XLOOKUP(U227,Mapping!$A:$A,Mapping!$B:$B),""))</f>
        <v>Project_009</v>
      </c>
      <c r="X227" s="6" t="str">
        <f>IF(V227="","",IFERROR(_xlfn.XLOOKUP(V227,Mapping!$A:$A,Mapping!$B:$B),""))</f>
        <v>Project_003</v>
      </c>
      <c r="Y227" s="6" t="s">
        <v>286</v>
      </c>
      <c r="Z227" s="6" t="s">
        <v>103</v>
      </c>
    </row>
    <row r="228" spans="1:26">
      <c r="A228" s="12">
        <v>227</v>
      </c>
      <c r="B228" s="6" t="s">
        <v>1011</v>
      </c>
      <c r="C228" s="6" t="s">
        <v>1012</v>
      </c>
      <c r="D228" s="6" t="s">
        <v>86</v>
      </c>
      <c r="E228" s="7">
        <v>45283</v>
      </c>
      <c r="F228" s="6" t="s">
        <v>155</v>
      </c>
      <c r="G228" s="6" t="s">
        <v>94</v>
      </c>
      <c r="H228" s="6" t="s">
        <v>1013</v>
      </c>
      <c r="I228" s="6" t="s">
        <v>90</v>
      </c>
      <c r="J228" s="6" t="s">
        <v>91</v>
      </c>
      <c r="K228" s="6" t="s">
        <v>92</v>
      </c>
      <c r="L228" s="6" t="s">
        <v>90</v>
      </c>
      <c r="M228" s="6" t="s">
        <v>27</v>
      </c>
      <c r="N228" s="6" t="s">
        <v>104</v>
      </c>
      <c r="O228" s="6" t="s">
        <v>93</v>
      </c>
      <c r="P228" s="6" t="s">
        <v>104</v>
      </c>
      <c r="Q228" s="6" t="s">
        <v>369</v>
      </c>
      <c r="R228" s="6" t="s">
        <v>326</v>
      </c>
      <c r="S228" s="6" t="str">
        <f>VLOOKUP(R228,Customer_Mapping!A:B,2,FALSE)</f>
        <v>Customer_007</v>
      </c>
      <c r="T228" s="6" t="s">
        <v>283</v>
      </c>
      <c r="U228" s="6" t="s">
        <v>392</v>
      </c>
      <c r="V228" s="6" t="s">
        <v>323</v>
      </c>
      <c r="W228" s="6" t="str">
        <f>IF(U228="","",IFERROR(_xlfn.XLOOKUP(U228,Mapping!$A:$A,Mapping!$B:$B),""))</f>
        <v>Project_021</v>
      </c>
      <c r="X228" s="6" t="str">
        <f>IF(V228="","",IFERROR(_xlfn.XLOOKUP(V228,Mapping!$A:$A,Mapping!$B:$B),""))</f>
        <v>Project_009</v>
      </c>
      <c r="Y228" s="6" t="s">
        <v>286</v>
      </c>
      <c r="Z228" s="6" t="s">
        <v>27</v>
      </c>
    </row>
    <row r="229" spans="1:26">
      <c r="A229" s="12">
        <v>228</v>
      </c>
      <c r="B229" s="6" t="s">
        <v>1014</v>
      </c>
      <c r="C229" s="6" t="s">
        <v>1015</v>
      </c>
      <c r="D229" s="6" t="s">
        <v>86</v>
      </c>
      <c r="E229" s="7">
        <v>42171</v>
      </c>
      <c r="F229" s="6" t="s">
        <v>204</v>
      </c>
      <c r="G229" s="6" t="s">
        <v>622</v>
      </c>
      <c r="H229" s="6" t="s">
        <v>1016</v>
      </c>
      <c r="I229" s="6" t="s">
        <v>90</v>
      </c>
      <c r="J229" s="6" t="s">
        <v>91</v>
      </c>
      <c r="K229" s="6" t="s">
        <v>92</v>
      </c>
      <c r="L229" s="6" t="s">
        <v>90</v>
      </c>
      <c r="M229" s="6" t="s">
        <v>43</v>
      </c>
      <c r="N229" s="6" t="s">
        <v>122</v>
      </c>
      <c r="O229" s="6" t="s">
        <v>395</v>
      </c>
      <c r="P229" s="6" t="s">
        <v>122</v>
      </c>
      <c r="Q229" s="6" t="s">
        <v>321</v>
      </c>
      <c r="R229" s="6" t="s">
        <v>282</v>
      </c>
      <c r="S229" s="6" t="str">
        <f>VLOOKUP(R229,Customer_Mapping!A:B,2,FALSE)</f>
        <v>Customer_001</v>
      </c>
      <c r="T229" s="6" t="s">
        <v>283</v>
      </c>
      <c r="U229" s="6" t="s">
        <v>468</v>
      </c>
      <c r="V229" s="6" t="s">
        <v>392</v>
      </c>
      <c r="W229" s="6" t="str">
        <f>IF(U229="","",IFERROR(_xlfn.XLOOKUP(U229,Mapping!$A:$A,Mapping!$B:$B),""))</f>
        <v>Project_027</v>
      </c>
      <c r="X229" s="6" t="str">
        <f>IF(V229="","",IFERROR(_xlfn.XLOOKUP(V229,Mapping!$A:$A,Mapping!$B:$B),""))</f>
        <v>Project_021</v>
      </c>
      <c r="Y229" s="6" t="s">
        <v>286</v>
      </c>
      <c r="Z229" s="6" t="s">
        <v>43</v>
      </c>
    </row>
    <row r="230" spans="1:26">
      <c r="A230" s="12">
        <v>229</v>
      </c>
      <c r="B230" s="6" t="s">
        <v>1017</v>
      </c>
      <c r="C230" s="6" t="s">
        <v>1018</v>
      </c>
      <c r="D230" s="6" t="s">
        <v>86</v>
      </c>
      <c r="E230" s="7">
        <v>43101</v>
      </c>
      <c r="F230" s="6" t="s">
        <v>111</v>
      </c>
      <c r="G230" s="6" t="s">
        <v>120</v>
      </c>
      <c r="H230" s="6" t="s">
        <v>1019</v>
      </c>
      <c r="I230" s="6" t="s">
        <v>90</v>
      </c>
      <c r="J230" s="6" t="s">
        <v>91</v>
      </c>
      <c r="K230" s="6" t="s">
        <v>92</v>
      </c>
      <c r="L230" s="6" t="s">
        <v>90</v>
      </c>
      <c r="M230" s="6" t="s">
        <v>131</v>
      </c>
      <c r="N230" s="6" t="s">
        <v>95</v>
      </c>
      <c r="O230" s="6" t="s">
        <v>131</v>
      </c>
      <c r="P230" s="6" t="s">
        <v>122</v>
      </c>
      <c r="Q230" s="6" t="s">
        <v>281</v>
      </c>
      <c r="R230" s="6" t="s">
        <v>282</v>
      </c>
      <c r="S230" s="6" t="str">
        <f>VLOOKUP(R230,Customer_Mapping!A:B,2,FALSE)</f>
        <v>Customer_001</v>
      </c>
      <c r="T230" s="6" t="s">
        <v>283</v>
      </c>
      <c r="U230" s="6" t="s">
        <v>305</v>
      </c>
      <c r="V230" s="6" t="s">
        <v>468</v>
      </c>
      <c r="W230" s="6" t="str">
        <f>IF(U230="","",IFERROR(_xlfn.XLOOKUP(U230,Mapping!$A:$A,Mapping!$B:$B),""))</f>
        <v>Project_005</v>
      </c>
      <c r="X230" s="6" t="str">
        <f>IF(V230="","",IFERROR(_xlfn.XLOOKUP(V230,Mapping!$A:$A,Mapping!$B:$B),""))</f>
        <v>Project_027</v>
      </c>
      <c r="Y230" s="6" t="s">
        <v>286</v>
      </c>
      <c r="Z230" s="6" t="s">
        <v>131</v>
      </c>
    </row>
    <row r="231" spans="1:26">
      <c r="A231" s="12">
        <v>230</v>
      </c>
      <c r="B231" s="6" t="s">
        <v>1020</v>
      </c>
      <c r="C231" s="6" t="s">
        <v>1021</v>
      </c>
      <c r="D231" s="6" t="s">
        <v>86</v>
      </c>
      <c r="E231" s="7">
        <v>45664</v>
      </c>
      <c r="F231" s="6" t="s">
        <v>288</v>
      </c>
      <c r="G231" s="6" t="s">
        <v>94</v>
      </c>
      <c r="H231" s="6" t="s">
        <v>94</v>
      </c>
      <c r="I231" s="6" t="s">
        <v>90</v>
      </c>
      <c r="J231" s="6" t="s">
        <v>91</v>
      </c>
      <c r="K231" s="6" t="s">
        <v>92</v>
      </c>
      <c r="L231" s="6" t="s">
        <v>90</v>
      </c>
      <c r="M231" s="6" t="s">
        <v>94</v>
      </c>
      <c r="N231" s="6" t="s">
        <v>94</v>
      </c>
      <c r="O231" s="6" t="s">
        <v>550</v>
      </c>
      <c r="P231" s="6" t="s">
        <v>104</v>
      </c>
      <c r="Q231" s="6" t="s">
        <v>291</v>
      </c>
      <c r="R231" s="6" t="s">
        <v>308</v>
      </c>
      <c r="S231" s="6" t="str">
        <f>VLOOKUP(R231,Customer_Mapping!A:B,2,FALSE)</f>
        <v>Customer_004</v>
      </c>
      <c r="T231" s="6" t="s">
        <v>283</v>
      </c>
      <c r="U231" s="6" t="s">
        <v>298</v>
      </c>
      <c r="V231" s="6" t="s">
        <v>305</v>
      </c>
      <c r="W231" s="6" t="str">
        <f>IF(U231="","",IFERROR(_xlfn.XLOOKUP(U231,Mapping!$A:$A,Mapping!$B:$B),""))</f>
        <v>Project_003</v>
      </c>
      <c r="X231" s="6" t="str">
        <f>IF(V231="","",IFERROR(_xlfn.XLOOKUP(V231,Mapping!$A:$A,Mapping!$B:$B),""))</f>
        <v>Project_005</v>
      </c>
      <c r="Y231" s="6" t="s">
        <v>286</v>
      </c>
      <c r="Z231" s="6" t="s">
        <v>94</v>
      </c>
    </row>
    <row r="232" spans="1:26">
      <c r="A232" s="12">
        <v>231</v>
      </c>
      <c r="B232" s="6" t="s">
        <v>1022</v>
      </c>
      <c r="C232" s="6" t="s">
        <v>1023</v>
      </c>
      <c r="D232" s="6" t="s">
        <v>86</v>
      </c>
      <c r="E232" s="7">
        <v>45854</v>
      </c>
      <c r="F232" s="6" t="s">
        <v>26</v>
      </c>
      <c r="G232" s="6" t="s">
        <v>94</v>
      </c>
      <c r="H232" s="6" t="s">
        <v>162</v>
      </c>
      <c r="I232" s="6" t="s">
        <v>90</v>
      </c>
      <c r="J232" s="6" t="s">
        <v>91</v>
      </c>
      <c r="K232" s="6" t="s">
        <v>92</v>
      </c>
      <c r="L232" s="6" t="s">
        <v>90</v>
      </c>
      <c r="M232" s="6" t="s">
        <v>94</v>
      </c>
      <c r="N232" s="6" t="s">
        <v>94</v>
      </c>
      <c r="O232" s="6" t="s">
        <v>27</v>
      </c>
      <c r="P232" s="6" t="s">
        <v>95</v>
      </c>
      <c r="Q232" s="6" t="s">
        <v>296</v>
      </c>
      <c r="R232" s="6" t="s">
        <v>300</v>
      </c>
      <c r="S232" s="6" t="str">
        <f>VLOOKUP(R232,Customer_Mapping!A:B,2,FALSE)</f>
        <v>Customer_003</v>
      </c>
      <c r="T232" s="6" t="s">
        <v>283</v>
      </c>
      <c r="U232" s="6" t="s">
        <v>396</v>
      </c>
      <c r="V232" s="6" t="s">
        <v>298</v>
      </c>
      <c r="W232" s="6" t="str">
        <f>IF(U232="","",IFERROR(_xlfn.XLOOKUP(U232,Mapping!$A:$A,Mapping!$B:$B),""))</f>
        <v>Project_022</v>
      </c>
      <c r="X232" s="6" t="str">
        <f>IF(V232="","",IFERROR(_xlfn.XLOOKUP(V232,Mapping!$A:$A,Mapping!$B:$B),""))</f>
        <v>Project_003</v>
      </c>
      <c r="Y232" s="6" t="s">
        <v>286</v>
      </c>
      <c r="Z232" s="6" t="s">
        <v>94</v>
      </c>
    </row>
    <row r="233" spans="1:26">
      <c r="A233" s="12">
        <v>232</v>
      </c>
      <c r="B233" s="6" t="s">
        <v>1024</v>
      </c>
      <c r="C233" s="6" t="s">
        <v>1025</v>
      </c>
      <c r="D233" s="6" t="s">
        <v>86</v>
      </c>
      <c r="E233" s="7">
        <v>41821</v>
      </c>
      <c r="F233" s="6" t="s">
        <v>406</v>
      </c>
      <c r="G233" s="6" t="s">
        <v>294</v>
      </c>
      <c r="H233" s="6" t="s">
        <v>1026</v>
      </c>
      <c r="I233" s="6" t="s">
        <v>90</v>
      </c>
      <c r="J233" s="6" t="s">
        <v>91</v>
      </c>
      <c r="K233" s="6" t="s">
        <v>92</v>
      </c>
      <c r="L233" s="6" t="s">
        <v>90</v>
      </c>
      <c r="M233" s="6" t="s">
        <v>93</v>
      </c>
      <c r="N233" s="6" t="s">
        <v>122</v>
      </c>
      <c r="O233" s="6" t="s">
        <v>93</v>
      </c>
      <c r="P233" s="6" t="s">
        <v>122</v>
      </c>
      <c r="Q233" s="6" t="s">
        <v>409</v>
      </c>
      <c r="R233" s="6" t="s">
        <v>282</v>
      </c>
      <c r="S233" s="6" t="str">
        <f>VLOOKUP(R233,Customer_Mapping!A:B,2,FALSE)</f>
        <v>Customer_001</v>
      </c>
      <c r="T233" s="6" t="s">
        <v>283</v>
      </c>
      <c r="U233" s="6" t="s">
        <v>301</v>
      </c>
      <c r="V233" s="6" t="s">
        <v>396</v>
      </c>
      <c r="W233" s="6" t="str">
        <f>IF(U233="","",IFERROR(_xlfn.XLOOKUP(U233,Mapping!$A:$A,Mapping!$B:$B),""))</f>
        <v>Project_004</v>
      </c>
      <c r="X233" s="6" t="str">
        <f>IF(V233="","",IFERROR(_xlfn.XLOOKUP(V233,Mapping!$A:$A,Mapping!$B:$B),""))</f>
        <v>Project_022</v>
      </c>
      <c r="Y233" s="6" t="s">
        <v>286</v>
      </c>
      <c r="Z233" s="6" t="s">
        <v>93</v>
      </c>
    </row>
    <row r="234" spans="1:26">
      <c r="A234" s="12">
        <v>233</v>
      </c>
      <c r="B234" s="6" t="s">
        <v>1027</v>
      </c>
      <c r="C234" s="6" t="s">
        <v>1028</v>
      </c>
      <c r="D234" s="6" t="s">
        <v>86</v>
      </c>
      <c r="E234" s="7">
        <v>46007</v>
      </c>
      <c r="F234" s="6" t="s">
        <v>125</v>
      </c>
      <c r="G234" s="6" t="s">
        <v>126</v>
      </c>
      <c r="H234" s="6" t="s">
        <v>1029</v>
      </c>
      <c r="I234" s="6" t="s">
        <v>90</v>
      </c>
      <c r="J234" s="6" t="s">
        <v>91</v>
      </c>
      <c r="K234" s="6" t="s">
        <v>92</v>
      </c>
      <c r="L234" s="6" t="s">
        <v>90</v>
      </c>
      <c r="M234" s="6" t="s">
        <v>94</v>
      </c>
      <c r="N234" s="6" t="s">
        <v>94</v>
      </c>
      <c r="O234" s="6" t="s">
        <v>131</v>
      </c>
      <c r="P234" s="6" t="s">
        <v>122</v>
      </c>
      <c r="Q234" s="6" t="s">
        <v>353</v>
      </c>
      <c r="R234" s="6" t="s">
        <v>282</v>
      </c>
      <c r="S234" s="6" t="str">
        <f>VLOOKUP(R234,Customer_Mapping!A:B,2,FALSE)</f>
        <v>Customer_001</v>
      </c>
      <c r="T234" s="6" t="s">
        <v>283</v>
      </c>
      <c r="U234" s="6" t="s">
        <v>341</v>
      </c>
      <c r="V234" s="6" t="s">
        <v>301</v>
      </c>
      <c r="W234" s="6" t="str">
        <f>IF(U234="","",IFERROR(_xlfn.XLOOKUP(U234,Mapping!$A:$A,Mapping!$B:$B),""))</f>
        <v>Project_013</v>
      </c>
      <c r="X234" s="6" t="str">
        <f>IF(V234="","",IFERROR(_xlfn.XLOOKUP(V234,Mapping!$A:$A,Mapping!$B:$B),""))</f>
        <v>Project_004</v>
      </c>
      <c r="Y234" s="6" t="s">
        <v>286</v>
      </c>
      <c r="Z234" s="6" t="s">
        <v>94</v>
      </c>
    </row>
    <row r="235" spans="1:26">
      <c r="A235" s="12">
        <v>234</v>
      </c>
      <c r="B235" s="6" t="s">
        <v>1030</v>
      </c>
      <c r="C235" s="6" t="s">
        <v>1031</v>
      </c>
      <c r="D235" s="6" t="s">
        <v>86</v>
      </c>
      <c r="E235" s="7">
        <v>41631</v>
      </c>
      <c r="F235" s="6" t="s">
        <v>343</v>
      </c>
      <c r="G235" s="6" t="s">
        <v>526</v>
      </c>
      <c r="H235" s="6" t="s">
        <v>1032</v>
      </c>
      <c r="I235" s="6" t="s">
        <v>90</v>
      </c>
      <c r="J235" s="6" t="s">
        <v>91</v>
      </c>
      <c r="K235" s="6" t="s">
        <v>92</v>
      </c>
      <c r="L235" s="6" t="s">
        <v>90</v>
      </c>
      <c r="M235" s="6" t="s">
        <v>346</v>
      </c>
      <c r="N235" s="6" t="s">
        <v>94</v>
      </c>
      <c r="O235" s="6" t="s">
        <v>131</v>
      </c>
      <c r="P235" s="6" t="s">
        <v>417</v>
      </c>
      <c r="Q235" s="6" t="s">
        <v>347</v>
      </c>
      <c r="R235" s="6" t="s">
        <v>282</v>
      </c>
      <c r="S235" s="6" t="str">
        <f>VLOOKUP(R235,Customer_Mapping!A:B,2,FALSE)</f>
        <v>Customer_001</v>
      </c>
      <c r="T235" s="6" t="s">
        <v>283</v>
      </c>
      <c r="U235" s="6" t="s">
        <v>387</v>
      </c>
      <c r="V235" s="6" t="s">
        <v>341</v>
      </c>
      <c r="W235" s="6" t="str">
        <f>IF(U235="","",IFERROR(_xlfn.XLOOKUP(U235,Mapping!$A:$A,Mapping!$B:$B),""))</f>
        <v>Project_020</v>
      </c>
      <c r="X235" s="6" t="str">
        <f>IF(V235="","",IFERROR(_xlfn.XLOOKUP(V235,Mapping!$A:$A,Mapping!$B:$B),""))</f>
        <v>Project_013</v>
      </c>
      <c r="Y235" s="6" t="s">
        <v>286</v>
      </c>
      <c r="Z235" s="6" t="s">
        <v>346</v>
      </c>
    </row>
    <row r="236" spans="1:26">
      <c r="A236" s="12">
        <v>235</v>
      </c>
      <c r="B236" s="6" t="s">
        <v>1033</v>
      </c>
      <c r="C236" s="6" t="s">
        <v>1034</v>
      </c>
      <c r="D236" s="6" t="s">
        <v>86</v>
      </c>
      <c r="E236" s="7">
        <v>46180</v>
      </c>
      <c r="F236" s="6" t="s">
        <v>337</v>
      </c>
      <c r="G236" s="6" t="s">
        <v>94</v>
      </c>
      <c r="H236" s="6" t="s">
        <v>94</v>
      </c>
      <c r="I236" s="6" t="s">
        <v>90</v>
      </c>
      <c r="J236" s="6" t="s">
        <v>91</v>
      </c>
      <c r="K236" s="6" t="s">
        <v>92</v>
      </c>
      <c r="L236" s="6" t="s">
        <v>90</v>
      </c>
      <c r="M236" s="6" t="s">
        <v>94</v>
      </c>
      <c r="N236" s="6" t="s">
        <v>94</v>
      </c>
      <c r="O236" s="6" t="s">
        <v>131</v>
      </c>
      <c r="P236" s="6" t="s">
        <v>95</v>
      </c>
      <c r="Q236" s="6" t="s">
        <v>338</v>
      </c>
      <c r="R236" s="6" t="s">
        <v>391</v>
      </c>
      <c r="S236" s="6" t="str">
        <f>VLOOKUP(R236,Customer_Mapping!A:B,2,FALSE)</f>
        <v>Customer_014</v>
      </c>
      <c r="T236" s="6" t="s">
        <v>386</v>
      </c>
      <c r="U236" s="6" t="s">
        <v>339</v>
      </c>
      <c r="V236" s="6" t="s">
        <v>387</v>
      </c>
      <c r="W236" s="6" t="str">
        <f>IF(U236="","",IFERROR(_xlfn.XLOOKUP(U236,Mapping!$A:$A,Mapping!$B:$B),""))</f>
        <v>Project_012</v>
      </c>
      <c r="X236" s="6" t="str">
        <f>IF(V236="","",IFERROR(_xlfn.XLOOKUP(V236,Mapping!$A:$A,Mapping!$B:$B),""))</f>
        <v>Project_020</v>
      </c>
      <c r="Y236" s="6" t="s">
        <v>286</v>
      </c>
      <c r="Z236" s="6" t="s">
        <v>94</v>
      </c>
    </row>
    <row r="237" spans="1:26">
      <c r="A237" s="12">
        <v>236</v>
      </c>
      <c r="B237" s="6" t="s">
        <v>1035</v>
      </c>
      <c r="C237" s="6" t="s">
        <v>1036</v>
      </c>
      <c r="D237" s="6" t="s">
        <v>86</v>
      </c>
      <c r="E237" s="7">
        <v>44262</v>
      </c>
      <c r="F237" s="6" t="s">
        <v>111</v>
      </c>
      <c r="G237" s="6" t="s">
        <v>175</v>
      </c>
      <c r="H237" s="6" t="s">
        <v>1037</v>
      </c>
      <c r="I237" s="6" t="s">
        <v>90</v>
      </c>
      <c r="J237" s="6" t="s">
        <v>91</v>
      </c>
      <c r="K237" s="6" t="s">
        <v>92</v>
      </c>
      <c r="L237" s="6" t="s">
        <v>90</v>
      </c>
      <c r="M237" s="6" t="s">
        <v>103</v>
      </c>
      <c r="N237" s="6" t="s">
        <v>95</v>
      </c>
      <c r="O237" s="6" t="s">
        <v>103</v>
      </c>
      <c r="P237" s="6" t="s">
        <v>122</v>
      </c>
      <c r="Q237" s="6" t="s">
        <v>281</v>
      </c>
      <c r="R237" s="6" t="s">
        <v>334</v>
      </c>
      <c r="S237" s="6" t="str">
        <f>VLOOKUP(R237,Customer_Mapping!A:B,2,FALSE)</f>
        <v>Customer_009</v>
      </c>
      <c r="T237" s="6" t="s">
        <v>335</v>
      </c>
      <c r="U237" s="6" t="s">
        <v>341</v>
      </c>
      <c r="V237" s="6" t="s">
        <v>339</v>
      </c>
      <c r="W237" s="6" t="str">
        <f>IF(U237="","",IFERROR(_xlfn.XLOOKUP(U237,Mapping!$A:$A,Mapping!$B:$B),""))</f>
        <v>Project_013</v>
      </c>
      <c r="X237" s="6" t="str">
        <f>IF(V237="","",IFERROR(_xlfn.XLOOKUP(V237,Mapping!$A:$A,Mapping!$B:$B),""))</f>
        <v>Project_012</v>
      </c>
      <c r="Y237" s="6" t="s">
        <v>286</v>
      </c>
      <c r="Z237" s="6" t="s">
        <v>103</v>
      </c>
    </row>
    <row r="238" spans="1:26">
      <c r="A238" s="12">
        <v>237</v>
      </c>
      <c r="B238" s="6" t="s">
        <v>1038</v>
      </c>
      <c r="C238" s="6" t="s">
        <v>1039</v>
      </c>
      <c r="D238" s="6" t="s">
        <v>86</v>
      </c>
      <c r="E238" s="7">
        <v>42567</v>
      </c>
      <c r="F238" s="6" t="s">
        <v>4</v>
      </c>
      <c r="G238" s="6" t="s">
        <v>175</v>
      </c>
      <c r="H238" s="6" t="s">
        <v>1040</v>
      </c>
      <c r="I238" s="6" t="s">
        <v>90</v>
      </c>
      <c r="J238" s="6" t="s">
        <v>91</v>
      </c>
      <c r="K238" s="6" t="s">
        <v>92</v>
      </c>
      <c r="L238" s="6" t="s">
        <v>90</v>
      </c>
      <c r="M238" s="6" t="s">
        <v>93</v>
      </c>
      <c r="N238" s="6" t="s">
        <v>104</v>
      </c>
      <c r="O238" s="6" t="s">
        <v>93</v>
      </c>
      <c r="P238" s="6" t="s">
        <v>95</v>
      </c>
      <c r="Q238" s="6" t="s">
        <v>399</v>
      </c>
      <c r="R238" s="6" t="s">
        <v>282</v>
      </c>
      <c r="S238" s="6" t="str">
        <f>VLOOKUP(R238,Customer_Mapping!A:B,2,FALSE)</f>
        <v>Customer_001</v>
      </c>
      <c r="T238" s="6" t="s">
        <v>283</v>
      </c>
      <c r="U238" s="6" t="s">
        <v>413</v>
      </c>
      <c r="V238" s="6" t="s">
        <v>341</v>
      </c>
      <c r="W238" s="6" t="str">
        <f>IF(U238="","",IFERROR(_xlfn.XLOOKUP(U238,Mapping!$A:$A,Mapping!$B:$B),""))</f>
        <v>Project_023</v>
      </c>
      <c r="X238" s="6" t="str">
        <f>IF(V238="","",IFERROR(_xlfn.XLOOKUP(V238,Mapping!$A:$A,Mapping!$B:$B),""))</f>
        <v>Project_013</v>
      </c>
      <c r="Y238" s="6" t="s">
        <v>286</v>
      </c>
      <c r="Z238" s="6" t="s">
        <v>93</v>
      </c>
    </row>
    <row r="239" spans="1:26">
      <c r="A239" s="12">
        <v>238</v>
      </c>
      <c r="B239" s="6" t="s">
        <v>1041</v>
      </c>
      <c r="C239" s="6" t="s">
        <v>1042</v>
      </c>
      <c r="D239" s="6" t="s">
        <v>86</v>
      </c>
      <c r="E239" s="7">
        <v>45170</v>
      </c>
      <c r="F239" s="6" t="s">
        <v>288</v>
      </c>
      <c r="G239" s="6" t="s">
        <v>187</v>
      </c>
      <c r="H239" s="6" t="s">
        <v>1043</v>
      </c>
      <c r="I239" s="6" t="s">
        <v>90</v>
      </c>
      <c r="J239" s="6" t="s">
        <v>91</v>
      </c>
      <c r="K239" s="6" t="s">
        <v>92</v>
      </c>
      <c r="L239" s="6" t="s">
        <v>90</v>
      </c>
      <c r="M239" s="6" t="s">
        <v>136</v>
      </c>
      <c r="N239" s="6" t="s">
        <v>104</v>
      </c>
      <c r="O239" s="6" t="s">
        <v>290</v>
      </c>
      <c r="P239" s="6" t="s">
        <v>95</v>
      </c>
      <c r="Q239" s="6" t="s">
        <v>291</v>
      </c>
      <c r="R239" s="6" t="s">
        <v>334</v>
      </c>
      <c r="S239" s="6" t="str">
        <f>VLOOKUP(R239,Customer_Mapping!A:B,2,FALSE)</f>
        <v>Customer_009</v>
      </c>
      <c r="T239" s="6" t="s">
        <v>335</v>
      </c>
      <c r="U239" s="6" t="s">
        <v>434</v>
      </c>
      <c r="V239" s="6" t="s">
        <v>413</v>
      </c>
      <c r="W239" s="6" t="str">
        <f>IF(U239="","",IFERROR(_xlfn.XLOOKUP(U239,Mapping!$A:$A,Mapping!$B:$B),""))</f>
        <v>Project_024</v>
      </c>
      <c r="X239" s="6" t="str">
        <f>IF(V239="","",IFERROR(_xlfn.XLOOKUP(V239,Mapping!$A:$A,Mapping!$B:$B),""))</f>
        <v>Project_023</v>
      </c>
      <c r="Y239" s="6" t="s">
        <v>286</v>
      </c>
      <c r="Z239" s="6" t="s">
        <v>136</v>
      </c>
    </row>
    <row r="240" spans="1:26">
      <c r="A240" s="12">
        <v>239</v>
      </c>
      <c r="B240" s="6" t="s">
        <v>1044</v>
      </c>
      <c r="C240" s="6" t="s">
        <v>1045</v>
      </c>
      <c r="D240" s="6" t="s">
        <v>86</v>
      </c>
      <c r="E240" s="7">
        <v>46082</v>
      </c>
      <c r="F240" s="6" t="s">
        <v>100</v>
      </c>
      <c r="G240" s="6" t="s">
        <v>94</v>
      </c>
      <c r="H240" s="6" t="s">
        <v>94</v>
      </c>
      <c r="I240" s="6" t="s">
        <v>90</v>
      </c>
      <c r="J240" s="6" t="s">
        <v>91</v>
      </c>
      <c r="K240" s="6" t="s">
        <v>92</v>
      </c>
      <c r="L240" s="6" t="s">
        <v>90</v>
      </c>
      <c r="M240" s="6" t="s">
        <v>94</v>
      </c>
      <c r="N240" s="6" t="s">
        <v>94</v>
      </c>
      <c r="O240" s="6" t="s">
        <v>497</v>
      </c>
      <c r="P240" s="6" t="s">
        <v>95</v>
      </c>
      <c r="Q240" s="6" t="s">
        <v>304</v>
      </c>
      <c r="R240" s="6" t="s">
        <v>334</v>
      </c>
      <c r="S240" s="6" t="str">
        <f>VLOOKUP(R240,Customer_Mapping!A:B,2,FALSE)</f>
        <v>Customer_009</v>
      </c>
      <c r="T240" s="6" t="s">
        <v>335</v>
      </c>
      <c r="U240" s="6" t="s">
        <v>341</v>
      </c>
      <c r="V240" s="6" t="s">
        <v>434</v>
      </c>
      <c r="W240" s="6" t="str">
        <f>IF(U240="","",IFERROR(_xlfn.XLOOKUP(U240,Mapping!$A:$A,Mapping!$B:$B),""))</f>
        <v>Project_013</v>
      </c>
      <c r="X240" s="6" t="str">
        <f>IF(V240="","",IFERROR(_xlfn.XLOOKUP(V240,Mapping!$A:$A,Mapping!$B:$B),""))</f>
        <v>Project_024</v>
      </c>
      <c r="Y240" s="6" t="s">
        <v>286</v>
      </c>
      <c r="Z240" s="6" t="s">
        <v>94</v>
      </c>
    </row>
    <row r="241" spans="1:26">
      <c r="A241" s="12">
        <v>240</v>
      </c>
      <c r="B241" s="6" t="s">
        <v>1046</v>
      </c>
      <c r="C241" s="6" t="s">
        <v>1047</v>
      </c>
      <c r="D241" s="6" t="s">
        <v>86</v>
      </c>
      <c r="E241" s="7">
        <v>45962</v>
      </c>
      <c r="F241" s="6" t="s">
        <v>4</v>
      </c>
      <c r="G241" s="6" t="s">
        <v>94</v>
      </c>
      <c r="H241" s="6" t="s">
        <v>94</v>
      </c>
      <c r="I241" s="6" t="s">
        <v>90</v>
      </c>
      <c r="J241" s="6" t="s">
        <v>91</v>
      </c>
      <c r="K241" s="6" t="s">
        <v>92</v>
      </c>
      <c r="L241" s="6" t="s">
        <v>90</v>
      </c>
      <c r="M241" s="6" t="s">
        <v>94</v>
      </c>
      <c r="N241" s="6" t="s">
        <v>94</v>
      </c>
      <c r="O241" s="6" t="s">
        <v>93</v>
      </c>
      <c r="P241" s="6" t="s">
        <v>104</v>
      </c>
      <c r="Q241" s="6" t="s">
        <v>399</v>
      </c>
      <c r="R241" s="6" t="s">
        <v>282</v>
      </c>
      <c r="S241" s="6" t="str">
        <f>VLOOKUP(R241,Customer_Mapping!A:B,2,FALSE)</f>
        <v>Customer_001</v>
      </c>
      <c r="T241" s="6" t="s">
        <v>283</v>
      </c>
      <c r="U241" s="6" t="s">
        <v>305</v>
      </c>
      <c r="V241" s="6" t="s">
        <v>341</v>
      </c>
      <c r="W241" s="6" t="str">
        <f>IF(U241="","",IFERROR(_xlfn.XLOOKUP(U241,Mapping!$A:$A,Mapping!$B:$B),""))</f>
        <v>Project_005</v>
      </c>
      <c r="X241" s="6" t="str">
        <f>IF(V241="","",IFERROR(_xlfn.XLOOKUP(V241,Mapping!$A:$A,Mapping!$B:$B),""))</f>
        <v>Project_013</v>
      </c>
      <c r="Y241" s="6" t="s">
        <v>286</v>
      </c>
      <c r="Z241" s="6" t="s">
        <v>94</v>
      </c>
    </row>
    <row r="242" spans="1:26">
      <c r="A242" s="12">
        <v>241</v>
      </c>
      <c r="B242" s="6" t="s">
        <v>1048</v>
      </c>
      <c r="C242" s="6" t="s">
        <v>1049</v>
      </c>
      <c r="D242" s="6" t="s">
        <v>86</v>
      </c>
      <c r="E242" s="7">
        <v>45695</v>
      </c>
      <c r="F242" s="6" t="s">
        <v>288</v>
      </c>
      <c r="G242" s="6" t="s">
        <v>94</v>
      </c>
      <c r="H242" s="6" t="s">
        <v>1050</v>
      </c>
      <c r="I242" s="6" t="s">
        <v>90</v>
      </c>
      <c r="J242" s="6" t="s">
        <v>91</v>
      </c>
      <c r="K242" s="6" t="s">
        <v>92</v>
      </c>
      <c r="L242" s="6" t="s">
        <v>90</v>
      </c>
      <c r="M242" s="6" t="s">
        <v>94</v>
      </c>
      <c r="N242" s="6" t="s">
        <v>94</v>
      </c>
      <c r="O242" s="6" t="s">
        <v>550</v>
      </c>
      <c r="P242" s="6" t="s">
        <v>104</v>
      </c>
      <c r="Q242" s="6" t="s">
        <v>291</v>
      </c>
      <c r="R242" s="6" t="s">
        <v>308</v>
      </c>
      <c r="S242" s="6" t="str">
        <f>VLOOKUP(R242,Customer_Mapping!A:B,2,FALSE)</f>
        <v>Customer_004</v>
      </c>
      <c r="T242" s="6" t="s">
        <v>283</v>
      </c>
      <c r="U242" s="6" t="s">
        <v>348</v>
      </c>
      <c r="V242" s="6" t="s">
        <v>305</v>
      </c>
      <c r="W242" s="6" t="str">
        <f>IF(U242="","",IFERROR(_xlfn.XLOOKUP(U242,Mapping!$A:$A,Mapping!$B:$B),""))</f>
        <v>Project_014</v>
      </c>
      <c r="X242" s="6" t="str">
        <f>IF(V242="","",IFERROR(_xlfn.XLOOKUP(V242,Mapping!$A:$A,Mapping!$B:$B),""))</f>
        <v>Project_005</v>
      </c>
      <c r="Y242" s="6" t="s">
        <v>286</v>
      </c>
      <c r="Z242" s="6" t="s">
        <v>94</v>
      </c>
    </row>
    <row r="243" spans="1:26">
      <c r="A243" s="12">
        <v>242</v>
      </c>
      <c r="B243" s="6" t="s">
        <v>1051</v>
      </c>
      <c r="C243" s="6" t="s">
        <v>1052</v>
      </c>
      <c r="D243" s="6" t="s">
        <v>86</v>
      </c>
      <c r="E243" s="7">
        <v>44850</v>
      </c>
      <c r="F243" s="6" t="s">
        <v>111</v>
      </c>
      <c r="G243" s="6" t="s">
        <v>371</v>
      </c>
      <c r="H243" s="6" t="s">
        <v>1053</v>
      </c>
      <c r="I243" s="6" t="s">
        <v>90</v>
      </c>
      <c r="J243" s="6" t="s">
        <v>91</v>
      </c>
      <c r="K243" s="6" t="s">
        <v>92</v>
      </c>
      <c r="L243" s="6" t="s">
        <v>90</v>
      </c>
      <c r="M243" s="6" t="s">
        <v>103</v>
      </c>
      <c r="N243" s="6" t="s">
        <v>104</v>
      </c>
      <c r="O243" s="6" t="s">
        <v>103</v>
      </c>
      <c r="P243" s="6" t="s">
        <v>95</v>
      </c>
      <c r="Q243" s="6" t="s">
        <v>281</v>
      </c>
      <c r="R243" s="6" t="s">
        <v>351</v>
      </c>
      <c r="S243" s="6" t="str">
        <f>VLOOKUP(R243,Customer_Mapping!A:B,2,FALSE)</f>
        <v>Customer_010</v>
      </c>
      <c r="T243" s="6" t="s">
        <v>283</v>
      </c>
      <c r="U243" s="6" t="s">
        <v>305</v>
      </c>
      <c r="V243" s="6" t="s">
        <v>348</v>
      </c>
      <c r="W243" s="6" t="str">
        <f>IF(U243="","",IFERROR(_xlfn.XLOOKUP(U243,Mapping!$A:$A,Mapping!$B:$B),""))</f>
        <v>Project_005</v>
      </c>
      <c r="X243" s="6" t="str">
        <f>IF(V243="","",IFERROR(_xlfn.XLOOKUP(V243,Mapping!$A:$A,Mapping!$B:$B),""))</f>
        <v>Project_014</v>
      </c>
      <c r="Y243" s="6" t="s">
        <v>286</v>
      </c>
      <c r="Z243" s="6" t="s">
        <v>103</v>
      </c>
    </row>
    <row r="244" spans="1:26">
      <c r="A244" s="12">
        <v>243</v>
      </c>
      <c r="B244" s="6" t="s">
        <v>1054</v>
      </c>
      <c r="C244" s="6" t="s">
        <v>1055</v>
      </c>
      <c r="D244" s="6" t="s">
        <v>86</v>
      </c>
      <c r="E244" s="7">
        <v>46149</v>
      </c>
      <c r="F244" s="6" t="s">
        <v>111</v>
      </c>
      <c r="G244" s="6" t="s">
        <v>94</v>
      </c>
      <c r="H244" s="6" t="s">
        <v>94</v>
      </c>
      <c r="I244" s="6" t="s">
        <v>90</v>
      </c>
      <c r="J244" s="6" t="s">
        <v>91</v>
      </c>
      <c r="K244" s="6" t="s">
        <v>92</v>
      </c>
      <c r="L244" s="6" t="s">
        <v>90</v>
      </c>
      <c r="M244" s="6" t="s">
        <v>94</v>
      </c>
      <c r="N244" s="6" t="s">
        <v>94</v>
      </c>
      <c r="O244" s="6" t="s">
        <v>131</v>
      </c>
      <c r="P244" s="6" t="s">
        <v>95</v>
      </c>
      <c r="Q244" s="6" t="s">
        <v>281</v>
      </c>
      <c r="R244" s="6" t="s">
        <v>308</v>
      </c>
      <c r="S244" s="6" t="str">
        <f>VLOOKUP(R244,Customer_Mapping!A:B,2,FALSE)</f>
        <v>Customer_004</v>
      </c>
      <c r="T244" s="6" t="s">
        <v>283</v>
      </c>
      <c r="U244" s="6" t="s">
        <v>392</v>
      </c>
      <c r="V244" s="6" t="s">
        <v>305</v>
      </c>
      <c r="W244" s="6" t="str">
        <f>IF(U244="","",IFERROR(_xlfn.XLOOKUP(U244,Mapping!$A:$A,Mapping!$B:$B),""))</f>
        <v>Project_021</v>
      </c>
      <c r="X244" s="6" t="str">
        <f>IF(V244="","",IFERROR(_xlfn.XLOOKUP(V244,Mapping!$A:$A,Mapping!$B:$B),""))</f>
        <v>Project_005</v>
      </c>
      <c r="Y244" s="6" t="s">
        <v>286</v>
      </c>
      <c r="Z244" s="6" t="s">
        <v>94</v>
      </c>
    </row>
    <row r="245" spans="1:26">
      <c r="A245" s="12">
        <v>244</v>
      </c>
      <c r="B245" s="6" t="s">
        <v>1056</v>
      </c>
      <c r="C245" s="6" t="s">
        <v>1057</v>
      </c>
      <c r="D245" s="6" t="s">
        <v>86</v>
      </c>
      <c r="E245" s="7">
        <v>46023</v>
      </c>
      <c r="F245" s="6" t="s">
        <v>155</v>
      </c>
      <c r="G245" s="6" t="s">
        <v>94</v>
      </c>
      <c r="H245" s="6" t="s">
        <v>156</v>
      </c>
      <c r="I245" s="6" t="s">
        <v>90</v>
      </c>
      <c r="J245" s="6" t="s">
        <v>91</v>
      </c>
      <c r="K245" s="6" t="s">
        <v>92</v>
      </c>
      <c r="L245" s="6" t="s">
        <v>90</v>
      </c>
      <c r="M245" s="6" t="s">
        <v>94</v>
      </c>
      <c r="N245" s="6" t="s">
        <v>94</v>
      </c>
      <c r="O245" s="6" t="s">
        <v>43</v>
      </c>
      <c r="P245" s="6" t="s">
        <v>104</v>
      </c>
      <c r="Q245" s="6" t="s">
        <v>369</v>
      </c>
      <c r="R245" s="6" t="s">
        <v>282</v>
      </c>
      <c r="S245" s="6" t="str">
        <f>VLOOKUP(R245,Customer_Mapping!A:B,2,FALSE)</f>
        <v>Customer_001</v>
      </c>
      <c r="T245" s="6" t="s">
        <v>283</v>
      </c>
      <c r="U245" s="6" t="s">
        <v>341</v>
      </c>
      <c r="V245" s="6" t="s">
        <v>392</v>
      </c>
      <c r="W245" s="6" t="str">
        <f>IF(U245="","",IFERROR(_xlfn.XLOOKUP(U245,Mapping!$A:$A,Mapping!$B:$B),""))</f>
        <v>Project_013</v>
      </c>
      <c r="X245" s="6" t="str">
        <f>IF(V245="","",IFERROR(_xlfn.XLOOKUP(V245,Mapping!$A:$A,Mapping!$B:$B),""))</f>
        <v>Project_021</v>
      </c>
      <c r="Y245" s="6" t="s">
        <v>286</v>
      </c>
      <c r="Z245" s="6" t="s">
        <v>94</v>
      </c>
    </row>
    <row r="246" spans="1:26">
      <c r="A246" s="12">
        <v>245</v>
      </c>
      <c r="B246" s="6" t="s">
        <v>1058</v>
      </c>
      <c r="C246" s="6" t="s">
        <v>1059</v>
      </c>
      <c r="D246" s="6" t="s">
        <v>86</v>
      </c>
      <c r="E246" s="7">
        <v>44158</v>
      </c>
      <c r="F246" s="6" t="s">
        <v>430</v>
      </c>
      <c r="G246" s="6" t="s">
        <v>359</v>
      </c>
      <c r="H246" s="6" t="s">
        <v>1060</v>
      </c>
      <c r="I246" s="6" t="s">
        <v>90</v>
      </c>
      <c r="J246" s="6" t="s">
        <v>91</v>
      </c>
      <c r="K246" s="6" t="s">
        <v>92</v>
      </c>
      <c r="L246" s="6" t="s">
        <v>90</v>
      </c>
      <c r="M246" s="6" t="s">
        <v>474</v>
      </c>
      <c r="N246" s="6" t="s">
        <v>122</v>
      </c>
      <c r="O246" s="6" t="s">
        <v>474</v>
      </c>
      <c r="P246" s="6" t="s">
        <v>122</v>
      </c>
      <c r="Q246" s="6" t="s">
        <v>433</v>
      </c>
      <c r="R246" s="6" t="s">
        <v>282</v>
      </c>
      <c r="S246" s="6" t="str">
        <f>VLOOKUP(R246,Customer_Mapping!A:B,2,FALSE)</f>
        <v>Customer_001</v>
      </c>
      <c r="T246" s="6" t="s">
        <v>283</v>
      </c>
      <c r="U246" s="6" t="s">
        <v>348</v>
      </c>
      <c r="V246" s="6" t="s">
        <v>341</v>
      </c>
      <c r="W246" s="6" t="str">
        <f>IF(U246="","",IFERROR(_xlfn.XLOOKUP(U246,Mapping!$A:$A,Mapping!$B:$B),""))</f>
        <v>Project_014</v>
      </c>
      <c r="X246" s="6" t="str">
        <f>IF(V246="","",IFERROR(_xlfn.XLOOKUP(V246,Mapping!$A:$A,Mapping!$B:$B),""))</f>
        <v>Project_013</v>
      </c>
      <c r="Y246" s="6" t="s">
        <v>286</v>
      </c>
      <c r="Z246" s="6" t="s">
        <v>474</v>
      </c>
    </row>
    <row r="247" spans="1:26">
      <c r="A247" s="12">
        <v>246</v>
      </c>
      <c r="B247" s="6" t="s">
        <v>1061</v>
      </c>
      <c r="C247" s="6" t="s">
        <v>1062</v>
      </c>
      <c r="D247" s="6" t="s">
        <v>86</v>
      </c>
      <c r="E247" s="7">
        <v>43001</v>
      </c>
      <c r="F247" s="6" t="s">
        <v>204</v>
      </c>
      <c r="G247" s="6" t="s">
        <v>120</v>
      </c>
      <c r="H247" s="6" t="s">
        <v>1063</v>
      </c>
      <c r="I247" s="6" t="s">
        <v>90</v>
      </c>
      <c r="J247" s="6" t="s">
        <v>91</v>
      </c>
      <c r="K247" s="6" t="s">
        <v>92</v>
      </c>
      <c r="L247" s="6" t="s">
        <v>90</v>
      </c>
      <c r="M247" s="6" t="s">
        <v>131</v>
      </c>
      <c r="N247" s="6" t="s">
        <v>95</v>
      </c>
      <c r="O247" s="6" t="s">
        <v>43</v>
      </c>
      <c r="P247" s="6" t="s">
        <v>104</v>
      </c>
      <c r="Q247" s="6" t="s">
        <v>403</v>
      </c>
      <c r="R247" s="6" t="s">
        <v>351</v>
      </c>
      <c r="S247" s="6" t="str">
        <f>VLOOKUP(R247,Customer_Mapping!A:B,2,FALSE)</f>
        <v>Customer_010</v>
      </c>
      <c r="T247" s="6" t="s">
        <v>283</v>
      </c>
      <c r="U247" s="6" t="s">
        <v>94</v>
      </c>
      <c r="V247" s="6" t="s">
        <v>348</v>
      </c>
      <c r="W247" s="6" t="str">
        <f>IF(U247="","",IFERROR(_xlfn.XLOOKUP(U247,Mapping!$A:$A,Mapping!$B:$B),""))</f>
        <v/>
      </c>
      <c r="X247" s="6" t="str">
        <f>IF(V247="","",IFERROR(_xlfn.XLOOKUP(V247,Mapping!$A:$A,Mapping!$B:$B),""))</f>
        <v>Project_014</v>
      </c>
      <c r="Y247" s="6" t="s">
        <v>286</v>
      </c>
      <c r="Z247" s="6" t="s">
        <v>131</v>
      </c>
    </row>
    <row r="248" spans="1:26">
      <c r="A248" s="12">
        <v>247</v>
      </c>
      <c r="B248" s="6" t="s">
        <v>1064</v>
      </c>
      <c r="C248" s="6" t="s">
        <v>1065</v>
      </c>
      <c r="D248" s="6" t="s">
        <v>251</v>
      </c>
      <c r="E248" s="7">
        <v>46257</v>
      </c>
      <c r="F248" s="6" t="s">
        <v>889</v>
      </c>
      <c r="G248" s="6" t="s">
        <v>94</v>
      </c>
      <c r="H248" s="6" t="s">
        <v>94</v>
      </c>
      <c r="I248" s="6" t="s">
        <v>90</v>
      </c>
      <c r="J248" s="6" t="s">
        <v>91</v>
      </c>
      <c r="K248" s="6" t="s">
        <v>92</v>
      </c>
      <c r="L248" s="6" t="s">
        <v>90</v>
      </c>
      <c r="M248" s="6" t="s">
        <v>184</v>
      </c>
      <c r="N248" s="6" t="s">
        <v>94</v>
      </c>
      <c r="O248" s="6" t="s">
        <v>94</v>
      </c>
      <c r="P248" s="6" t="s">
        <v>94</v>
      </c>
      <c r="Q248" s="6" t="s">
        <v>1066</v>
      </c>
      <c r="R248" s="6" t="s">
        <v>94</v>
      </c>
      <c r="S248" s="6" t="e">
        <f>VLOOKUP(R248,Customer_Mapping!A:B,2,FALSE)</f>
        <v>#N/A</v>
      </c>
      <c r="T248" s="6" t="s">
        <v>94</v>
      </c>
      <c r="U248" s="6" t="s">
        <v>323</v>
      </c>
      <c r="V248" s="6" t="s">
        <v>94</v>
      </c>
      <c r="W248" s="6" t="str">
        <f>IF(U248="","",IFERROR(_xlfn.XLOOKUP(U248,Mapping!$A:$A,Mapping!$B:$B),""))</f>
        <v>Project_009</v>
      </c>
      <c r="X248" s="6" t="str">
        <f>IF(V248="","",IFERROR(_xlfn.XLOOKUP(V248,Mapping!$A:$A,Mapping!$B:$B),""))</f>
        <v/>
      </c>
      <c r="Y248" s="6" t="s">
        <v>94</v>
      </c>
      <c r="Z248" s="6" t="s">
        <v>184</v>
      </c>
    </row>
    <row r="249" spans="1:26">
      <c r="A249" s="12">
        <v>248</v>
      </c>
      <c r="B249" s="6" t="s">
        <v>1067</v>
      </c>
      <c r="C249" s="6" t="s">
        <v>1068</v>
      </c>
      <c r="D249" s="6" t="s">
        <v>86</v>
      </c>
      <c r="E249" s="7">
        <v>45001</v>
      </c>
      <c r="F249" s="6" t="s">
        <v>784</v>
      </c>
      <c r="G249" s="6" t="s">
        <v>974</v>
      </c>
      <c r="H249" s="6" t="s">
        <v>135</v>
      </c>
      <c r="I249" s="6" t="s">
        <v>90</v>
      </c>
      <c r="J249" s="6" t="s">
        <v>91</v>
      </c>
      <c r="K249" s="6" t="s">
        <v>92</v>
      </c>
      <c r="L249" s="6" t="s">
        <v>90</v>
      </c>
      <c r="M249" s="6" t="s">
        <v>784</v>
      </c>
      <c r="N249" s="6" t="s">
        <v>94</v>
      </c>
      <c r="O249" s="6" t="s">
        <v>497</v>
      </c>
      <c r="P249" s="6" t="s">
        <v>95</v>
      </c>
      <c r="Q249" s="6" t="s">
        <v>1069</v>
      </c>
      <c r="R249" s="6" t="s">
        <v>326</v>
      </c>
      <c r="S249" s="6" t="str">
        <f>VLOOKUP(R249,Customer_Mapping!A:B,2,FALSE)</f>
        <v>Customer_007</v>
      </c>
      <c r="T249" s="6" t="s">
        <v>283</v>
      </c>
      <c r="U249" s="6" t="s">
        <v>305</v>
      </c>
      <c r="V249" s="6" t="s">
        <v>323</v>
      </c>
      <c r="W249" s="6" t="str">
        <f>IF(U249="","",IFERROR(_xlfn.XLOOKUP(U249,Mapping!$A:$A,Mapping!$B:$B),""))</f>
        <v>Project_005</v>
      </c>
      <c r="X249" s="6" t="str">
        <f>IF(V249="","",IFERROR(_xlfn.XLOOKUP(V249,Mapping!$A:$A,Mapping!$B:$B),""))</f>
        <v>Project_009</v>
      </c>
      <c r="Y249" s="6" t="s">
        <v>286</v>
      </c>
      <c r="Z249" s="6" t="s">
        <v>784</v>
      </c>
    </row>
    <row r="250" spans="1:26">
      <c r="A250" s="12">
        <v>249</v>
      </c>
      <c r="B250" s="6" t="s">
        <v>1070</v>
      </c>
      <c r="C250" s="6" t="s">
        <v>1071</v>
      </c>
      <c r="D250" s="6" t="s">
        <v>86</v>
      </c>
      <c r="E250" s="7">
        <v>43998</v>
      </c>
      <c r="F250" s="6" t="s">
        <v>111</v>
      </c>
      <c r="G250" s="6" t="s">
        <v>146</v>
      </c>
      <c r="H250" s="6" t="s">
        <v>1072</v>
      </c>
      <c r="I250" s="6" t="s">
        <v>90</v>
      </c>
      <c r="J250" s="6" t="s">
        <v>91</v>
      </c>
      <c r="K250" s="6" t="s">
        <v>92</v>
      </c>
      <c r="L250" s="6" t="s">
        <v>90</v>
      </c>
      <c r="M250" s="6" t="s">
        <v>584</v>
      </c>
      <c r="N250" s="6" t="s">
        <v>94</v>
      </c>
      <c r="O250" s="6" t="s">
        <v>131</v>
      </c>
      <c r="P250" s="6" t="s">
        <v>95</v>
      </c>
      <c r="Q250" s="6" t="s">
        <v>418</v>
      </c>
      <c r="R250" s="6" t="s">
        <v>308</v>
      </c>
      <c r="S250" s="6" t="str">
        <f>VLOOKUP(R250,Customer_Mapping!A:B,2,FALSE)</f>
        <v>Customer_004</v>
      </c>
      <c r="T250" s="6" t="s">
        <v>283</v>
      </c>
      <c r="U250" s="6" t="s">
        <v>348</v>
      </c>
      <c r="V250" s="6" t="s">
        <v>305</v>
      </c>
      <c r="W250" s="6" t="str">
        <f>IF(U250="","",IFERROR(_xlfn.XLOOKUP(U250,Mapping!$A:$A,Mapping!$B:$B),""))</f>
        <v>Project_014</v>
      </c>
      <c r="X250" s="6" t="str">
        <f>IF(V250="","",IFERROR(_xlfn.XLOOKUP(V250,Mapping!$A:$A,Mapping!$B:$B),""))</f>
        <v>Project_005</v>
      </c>
      <c r="Y250" s="6" t="s">
        <v>286</v>
      </c>
      <c r="Z250" s="6" t="s">
        <v>584</v>
      </c>
    </row>
    <row r="251" spans="1:26">
      <c r="A251" s="12">
        <v>250</v>
      </c>
      <c r="B251" s="6" t="s">
        <v>1073</v>
      </c>
      <c r="C251" s="6" t="s">
        <v>1074</v>
      </c>
      <c r="D251" s="6" t="s">
        <v>86</v>
      </c>
      <c r="E251" s="7">
        <v>43062</v>
      </c>
      <c r="F251" s="6" t="s">
        <v>111</v>
      </c>
      <c r="G251" s="6" t="s">
        <v>187</v>
      </c>
      <c r="H251" s="6" t="s">
        <v>1075</v>
      </c>
      <c r="I251" s="6" t="s">
        <v>90</v>
      </c>
      <c r="J251" s="6" t="s">
        <v>91</v>
      </c>
      <c r="K251" s="6" t="s">
        <v>92</v>
      </c>
      <c r="L251" s="6" t="s">
        <v>90</v>
      </c>
      <c r="M251" s="6" t="s">
        <v>103</v>
      </c>
      <c r="N251" s="6" t="s">
        <v>95</v>
      </c>
      <c r="O251" s="6" t="s">
        <v>103</v>
      </c>
      <c r="P251" s="6" t="s">
        <v>122</v>
      </c>
      <c r="Q251" s="6" t="s">
        <v>281</v>
      </c>
      <c r="R251" s="6" t="s">
        <v>351</v>
      </c>
      <c r="S251" s="6" t="str">
        <f>VLOOKUP(R251,Customer_Mapping!A:B,2,FALSE)</f>
        <v>Customer_010</v>
      </c>
      <c r="T251" s="6" t="s">
        <v>283</v>
      </c>
      <c r="U251" s="6" t="s">
        <v>339</v>
      </c>
      <c r="V251" s="6" t="s">
        <v>348</v>
      </c>
      <c r="W251" s="6" t="str">
        <f>IF(U251="","",IFERROR(_xlfn.XLOOKUP(U251,Mapping!$A:$A,Mapping!$B:$B),""))</f>
        <v>Project_012</v>
      </c>
      <c r="X251" s="6" t="str">
        <f>IF(V251="","",IFERROR(_xlfn.XLOOKUP(V251,Mapping!$A:$A,Mapping!$B:$B),""))</f>
        <v>Project_014</v>
      </c>
      <c r="Y251" s="6" t="s">
        <v>286</v>
      </c>
      <c r="Z251" s="6" t="s">
        <v>103</v>
      </c>
    </row>
    <row r="252" spans="1:26">
      <c r="A252" s="12">
        <v>251</v>
      </c>
      <c r="B252" s="6" t="s">
        <v>1076</v>
      </c>
      <c r="C252" s="6" t="s">
        <v>1077</v>
      </c>
      <c r="D252" s="6" t="s">
        <v>86</v>
      </c>
      <c r="E252" s="7">
        <v>46104</v>
      </c>
      <c r="F252" s="6" t="s">
        <v>430</v>
      </c>
      <c r="G252" s="6" t="s">
        <v>94</v>
      </c>
      <c r="H252" s="6" t="s">
        <v>94</v>
      </c>
      <c r="I252" s="6" t="s">
        <v>90</v>
      </c>
      <c r="J252" s="6" t="s">
        <v>91</v>
      </c>
      <c r="K252" s="6" t="s">
        <v>92</v>
      </c>
      <c r="L252" s="6" t="s">
        <v>90</v>
      </c>
      <c r="M252" s="6" t="s">
        <v>94</v>
      </c>
      <c r="N252" s="6" t="s">
        <v>94</v>
      </c>
      <c r="O252" s="6" t="s">
        <v>103</v>
      </c>
      <c r="P252" s="6" t="s">
        <v>122</v>
      </c>
      <c r="Q252" s="6" t="s">
        <v>433</v>
      </c>
      <c r="R252" s="6" t="s">
        <v>334</v>
      </c>
      <c r="S252" s="6" t="str">
        <f>VLOOKUP(R252,Customer_Mapping!A:B,2,FALSE)</f>
        <v>Customer_009</v>
      </c>
      <c r="T252" s="6" t="s">
        <v>335</v>
      </c>
      <c r="U252" s="6" t="s">
        <v>323</v>
      </c>
      <c r="V252" s="6" t="s">
        <v>339</v>
      </c>
      <c r="W252" s="6" t="str">
        <f>IF(U252="","",IFERROR(_xlfn.XLOOKUP(U252,Mapping!$A:$A,Mapping!$B:$B),""))</f>
        <v>Project_009</v>
      </c>
      <c r="X252" s="6" t="str">
        <f>IF(V252="","",IFERROR(_xlfn.XLOOKUP(V252,Mapping!$A:$A,Mapping!$B:$B),""))</f>
        <v>Project_012</v>
      </c>
      <c r="Y252" s="6" t="s">
        <v>286</v>
      </c>
      <c r="Z252" s="6" t="s">
        <v>94</v>
      </c>
    </row>
    <row r="253" spans="1:26">
      <c r="A253" s="12">
        <v>252</v>
      </c>
      <c r="B253" s="6" t="s">
        <v>1078</v>
      </c>
      <c r="C253" s="6" t="s">
        <v>1079</v>
      </c>
      <c r="D253" s="6" t="s">
        <v>86</v>
      </c>
      <c r="E253" s="7">
        <v>44148</v>
      </c>
      <c r="F253" s="6" t="s">
        <v>14</v>
      </c>
      <c r="G253" s="6" t="s">
        <v>769</v>
      </c>
      <c r="H253" s="6" t="s">
        <v>1080</v>
      </c>
      <c r="I253" s="6" t="s">
        <v>90</v>
      </c>
      <c r="J253" s="6" t="s">
        <v>91</v>
      </c>
      <c r="K253" s="6" t="s">
        <v>92</v>
      </c>
      <c r="L253" s="6" t="s">
        <v>90</v>
      </c>
      <c r="M253" s="6" t="s">
        <v>696</v>
      </c>
      <c r="N253" s="6" t="s">
        <v>94</v>
      </c>
      <c r="O253" s="6" t="s">
        <v>346</v>
      </c>
      <c r="P253" s="6" t="s">
        <v>122</v>
      </c>
      <c r="Q253" s="6" t="s">
        <v>422</v>
      </c>
      <c r="R253" s="6" t="s">
        <v>326</v>
      </c>
      <c r="S253" s="6" t="str">
        <f>VLOOKUP(R253,Customer_Mapping!A:B,2,FALSE)</f>
        <v>Customer_007</v>
      </c>
      <c r="T253" s="6" t="s">
        <v>283</v>
      </c>
      <c r="U253" s="6" t="s">
        <v>315</v>
      </c>
      <c r="V253" s="6" t="s">
        <v>323</v>
      </c>
      <c r="W253" s="6" t="str">
        <f>IF(U253="","",IFERROR(_xlfn.XLOOKUP(U253,Mapping!$A:$A,Mapping!$B:$B),""))</f>
        <v>Project_007</v>
      </c>
      <c r="X253" s="6" t="str">
        <f>IF(V253="","",IFERROR(_xlfn.XLOOKUP(V253,Mapping!$A:$A,Mapping!$B:$B),""))</f>
        <v>Project_009</v>
      </c>
      <c r="Y253" s="6" t="s">
        <v>286</v>
      </c>
      <c r="Z253" s="6" t="s">
        <v>696</v>
      </c>
    </row>
    <row r="254" spans="1:26">
      <c r="A254" s="12">
        <v>253</v>
      </c>
      <c r="B254" s="6" t="s">
        <v>1081</v>
      </c>
      <c r="C254" s="6" t="s">
        <v>1082</v>
      </c>
      <c r="D254" s="6" t="s">
        <v>86</v>
      </c>
      <c r="E254" s="7">
        <v>43366</v>
      </c>
      <c r="F254" s="6" t="s">
        <v>111</v>
      </c>
      <c r="G254" s="6" t="s">
        <v>126</v>
      </c>
      <c r="H254" s="6" t="s">
        <v>1083</v>
      </c>
      <c r="I254" s="6" t="s">
        <v>90</v>
      </c>
      <c r="J254" s="6" t="s">
        <v>91</v>
      </c>
      <c r="K254" s="6" t="s">
        <v>92</v>
      </c>
      <c r="L254" s="6" t="s">
        <v>90</v>
      </c>
      <c r="M254" s="6" t="s">
        <v>131</v>
      </c>
      <c r="N254" s="6" t="s">
        <v>95</v>
      </c>
      <c r="O254" s="6" t="s">
        <v>131</v>
      </c>
      <c r="P254" s="6" t="s">
        <v>122</v>
      </c>
      <c r="Q254" s="6" t="s">
        <v>281</v>
      </c>
      <c r="R254" s="6" t="s">
        <v>317</v>
      </c>
      <c r="S254" s="6" t="str">
        <f>VLOOKUP(R254,Customer_Mapping!A:B,2,FALSE)</f>
        <v>Customer_006</v>
      </c>
      <c r="T254" s="6" t="s">
        <v>283</v>
      </c>
      <c r="U254" s="6" t="s">
        <v>301</v>
      </c>
      <c r="V254" s="6" t="s">
        <v>315</v>
      </c>
      <c r="W254" s="6" t="str">
        <f>IF(U254="","",IFERROR(_xlfn.XLOOKUP(U254,Mapping!$A:$A,Mapping!$B:$B),""))</f>
        <v>Project_004</v>
      </c>
      <c r="X254" s="6" t="str">
        <f>IF(V254="","",IFERROR(_xlfn.XLOOKUP(V254,Mapping!$A:$A,Mapping!$B:$B),""))</f>
        <v>Project_007</v>
      </c>
      <c r="Y254" s="6" t="s">
        <v>286</v>
      </c>
      <c r="Z254" s="6" t="s">
        <v>131</v>
      </c>
    </row>
    <row r="255" spans="1:26">
      <c r="A255" s="12">
        <v>254</v>
      </c>
      <c r="B255" s="6" t="s">
        <v>1084</v>
      </c>
      <c r="C255" s="6" t="s">
        <v>1085</v>
      </c>
      <c r="D255" s="6" t="s">
        <v>86</v>
      </c>
      <c r="E255" s="7">
        <v>45907</v>
      </c>
      <c r="F255" s="6" t="s">
        <v>111</v>
      </c>
      <c r="G255" s="6" t="s">
        <v>94</v>
      </c>
      <c r="H255" s="6" t="s">
        <v>94</v>
      </c>
      <c r="I255" s="6" t="s">
        <v>90</v>
      </c>
      <c r="J255" s="6" t="s">
        <v>91</v>
      </c>
      <c r="K255" s="6" t="s">
        <v>92</v>
      </c>
      <c r="L255" s="6" t="s">
        <v>90</v>
      </c>
      <c r="M255" s="6" t="s">
        <v>94</v>
      </c>
      <c r="N255" s="6" t="s">
        <v>94</v>
      </c>
      <c r="O255" s="6" t="s">
        <v>136</v>
      </c>
      <c r="P255" s="6" t="s">
        <v>122</v>
      </c>
      <c r="Q255" s="6" t="s">
        <v>418</v>
      </c>
      <c r="R255" s="6" t="s">
        <v>282</v>
      </c>
      <c r="S255" s="6" t="str">
        <f>VLOOKUP(R255,Customer_Mapping!A:B,2,FALSE)</f>
        <v>Customer_001</v>
      </c>
      <c r="T255" s="6" t="s">
        <v>283</v>
      </c>
      <c r="U255" s="6" t="s">
        <v>434</v>
      </c>
      <c r="V255" s="6" t="s">
        <v>301</v>
      </c>
      <c r="W255" s="6" t="str">
        <f>IF(U255="","",IFERROR(_xlfn.XLOOKUP(U255,Mapping!$A:$A,Mapping!$B:$B),""))</f>
        <v>Project_024</v>
      </c>
      <c r="X255" s="6" t="str">
        <f>IF(V255="","",IFERROR(_xlfn.XLOOKUP(V255,Mapping!$A:$A,Mapping!$B:$B),""))</f>
        <v>Project_004</v>
      </c>
      <c r="Y255" s="6" t="s">
        <v>286</v>
      </c>
      <c r="Z255" s="6" t="s">
        <v>94</v>
      </c>
    </row>
    <row r="256" spans="1:26">
      <c r="A256" s="12">
        <v>255</v>
      </c>
      <c r="B256" s="6" t="s">
        <v>1086</v>
      </c>
      <c r="C256" s="6" t="s">
        <v>1087</v>
      </c>
      <c r="D256" s="6" t="s">
        <v>86</v>
      </c>
      <c r="E256" s="7">
        <v>44378</v>
      </c>
      <c r="F256" s="6" t="s">
        <v>204</v>
      </c>
      <c r="G256" s="6" t="s">
        <v>126</v>
      </c>
      <c r="H256" s="6" t="s">
        <v>1088</v>
      </c>
      <c r="I256" s="6" t="s">
        <v>90</v>
      </c>
      <c r="J256" s="6" t="s">
        <v>91</v>
      </c>
      <c r="K256" s="6" t="s">
        <v>92</v>
      </c>
      <c r="L256" s="6" t="s">
        <v>90</v>
      </c>
      <c r="M256" s="6" t="s">
        <v>451</v>
      </c>
      <c r="N256" s="6" t="s">
        <v>94</v>
      </c>
      <c r="O256" s="6" t="s">
        <v>642</v>
      </c>
      <c r="P256" s="6" t="s">
        <v>122</v>
      </c>
      <c r="Q256" s="6" t="s">
        <v>321</v>
      </c>
      <c r="R256" s="6" t="s">
        <v>334</v>
      </c>
      <c r="S256" s="6" t="str">
        <f>VLOOKUP(R256,Customer_Mapping!A:B,2,FALSE)</f>
        <v>Customer_009</v>
      </c>
      <c r="T256" s="6" t="s">
        <v>335</v>
      </c>
      <c r="U256" s="6" t="s">
        <v>387</v>
      </c>
      <c r="V256" s="6" t="s">
        <v>434</v>
      </c>
      <c r="W256" s="6" t="str">
        <f>IF(U256="","",IFERROR(_xlfn.XLOOKUP(U256,Mapping!$A:$A,Mapping!$B:$B),""))</f>
        <v>Project_020</v>
      </c>
      <c r="X256" s="6" t="str">
        <f>IF(V256="","",IFERROR(_xlfn.XLOOKUP(V256,Mapping!$A:$A,Mapping!$B:$B),""))</f>
        <v>Project_024</v>
      </c>
      <c r="Y256" s="6" t="s">
        <v>286</v>
      </c>
      <c r="Z256" s="6" t="s">
        <v>451</v>
      </c>
    </row>
    <row r="257" spans="1:26">
      <c r="A257" s="12">
        <v>256</v>
      </c>
      <c r="B257" s="6" t="s">
        <v>1089</v>
      </c>
      <c r="C257" s="6" t="s">
        <v>1090</v>
      </c>
      <c r="D257" s="6" t="s">
        <v>86</v>
      </c>
      <c r="E257" s="7">
        <v>45078</v>
      </c>
      <c r="F257" s="6" t="s">
        <v>111</v>
      </c>
      <c r="G257" s="6" t="s">
        <v>311</v>
      </c>
      <c r="H257" s="6" t="s">
        <v>1091</v>
      </c>
      <c r="I257" s="6" t="s">
        <v>90</v>
      </c>
      <c r="J257" s="6" t="s">
        <v>91</v>
      </c>
      <c r="K257" s="6" t="s">
        <v>92</v>
      </c>
      <c r="L257" s="6" t="s">
        <v>90</v>
      </c>
      <c r="M257" s="6" t="s">
        <v>131</v>
      </c>
      <c r="N257" s="6" t="s">
        <v>95</v>
      </c>
      <c r="O257" s="6" t="s">
        <v>131</v>
      </c>
      <c r="P257" s="6" t="s">
        <v>95</v>
      </c>
      <c r="Q257" s="6" t="s">
        <v>281</v>
      </c>
      <c r="R257" s="6" t="s">
        <v>391</v>
      </c>
      <c r="S257" s="6" t="str">
        <f>VLOOKUP(R257,Customer_Mapping!A:B,2,FALSE)</f>
        <v>Customer_014</v>
      </c>
      <c r="T257" s="6" t="s">
        <v>386</v>
      </c>
      <c r="U257" s="6" t="s">
        <v>1092</v>
      </c>
      <c r="V257" s="6" t="s">
        <v>387</v>
      </c>
      <c r="W257" s="6" t="str">
        <f>IF(U257="","",IFERROR(_xlfn.XLOOKUP(U257,Mapping!$A:$A,Mapping!$B:$B),""))</f>
        <v>Project_045</v>
      </c>
      <c r="X257" s="6" t="str">
        <f>IF(V257="","",IFERROR(_xlfn.XLOOKUP(V257,Mapping!$A:$A,Mapping!$B:$B),""))</f>
        <v>Project_020</v>
      </c>
      <c r="Y257" s="6" t="s">
        <v>286</v>
      </c>
      <c r="Z257" s="6" t="s">
        <v>131</v>
      </c>
    </row>
    <row r="258" spans="1:26">
      <c r="A258" s="12">
        <v>257</v>
      </c>
      <c r="B258" s="6" t="s">
        <v>1093</v>
      </c>
      <c r="C258" s="6" t="s">
        <v>1094</v>
      </c>
      <c r="D258" s="6" t="s">
        <v>86</v>
      </c>
      <c r="E258" s="7">
        <v>46158</v>
      </c>
      <c r="F258" s="6" t="s">
        <v>4</v>
      </c>
      <c r="G258" s="6" t="s">
        <v>126</v>
      </c>
      <c r="H258" s="6" t="s">
        <v>1095</v>
      </c>
      <c r="I258" s="6" t="s">
        <v>90</v>
      </c>
      <c r="J258" s="6" t="s">
        <v>91</v>
      </c>
      <c r="K258" s="6" t="s">
        <v>92</v>
      </c>
      <c r="L258" s="6" t="s">
        <v>90</v>
      </c>
      <c r="M258" s="6" t="s">
        <v>93</v>
      </c>
      <c r="N258" s="6" t="s">
        <v>104</v>
      </c>
      <c r="O258" s="6" t="s">
        <v>93</v>
      </c>
      <c r="P258" s="6" t="s">
        <v>95</v>
      </c>
      <c r="Q258" s="6" t="s">
        <v>399</v>
      </c>
      <c r="R258" s="6" t="s">
        <v>446</v>
      </c>
      <c r="S258" s="6" t="e">
        <f>VLOOKUP(R258,Customer_Mapping!A:B,2,FALSE)</f>
        <v>#N/A</v>
      </c>
      <c r="T258" s="6" t="s">
        <v>447</v>
      </c>
      <c r="U258" s="6" t="s">
        <v>771</v>
      </c>
      <c r="V258" s="6" t="s">
        <v>1092</v>
      </c>
      <c r="W258" s="6" t="str">
        <f>IF(U258="","",IFERROR(_xlfn.XLOOKUP(U258,Mapping!$A:$A,Mapping!$B:$B),""))</f>
        <v>Project_041</v>
      </c>
      <c r="X258" s="6" t="str">
        <f>IF(V258="","",IFERROR(_xlfn.XLOOKUP(V258,Mapping!$A:$A,Mapping!$B:$B),""))</f>
        <v>Project_045</v>
      </c>
      <c r="Y258" s="6" t="s">
        <v>448</v>
      </c>
      <c r="Z258" s="6" t="s">
        <v>93</v>
      </c>
    </row>
    <row r="259" spans="1:26">
      <c r="A259" s="12">
        <v>258</v>
      </c>
      <c r="B259" s="6" t="s">
        <v>1096</v>
      </c>
      <c r="C259" s="6" t="s">
        <v>1097</v>
      </c>
      <c r="D259" s="6" t="s">
        <v>86</v>
      </c>
      <c r="E259" s="7">
        <v>41061</v>
      </c>
      <c r="F259" s="6" t="s">
        <v>150</v>
      </c>
      <c r="G259" s="6" t="s">
        <v>407</v>
      </c>
      <c r="H259" s="6" t="s">
        <v>1098</v>
      </c>
      <c r="I259" s="6" t="s">
        <v>90</v>
      </c>
      <c r="J259" s="6" t="s">
        <v>91</v>
      </c>
      <c r="K259" s="6" t="s">
        <v>92</v>
      </c>
      <c r="L259" s="6" t="s">
        <v>90</v>
      </c>
      <c r="M259" s="6" t="s">
        <v>27</v>
      </c>
      <c r="N259" s="6" t="s">
        <v>94</v>
      </c>
      <c r="O259" s="6" t="s">
        <v>27</v>
      </c>
      <c r="P259" s="6" t="s">
        <v>104</v>
      </c>
      <c r="Q259" s="6" t="s">
        <v>445</v>
      </c>
      <c r="R259" s="6" t="s">
        <v>446</v>
      </c>
      <c r="S259" s="6" t="e">
        <f>VLOOKUP(R259,Customer_Mapping!A:B,2,FALSE)</f>
        <v>#N/A</v>
      </c>
      <c r="T259" s="6" t="s">
        <v>774</v>
      </c>
      <c r="U259" s="6" t="s">
        <v>373</v>
      </c>
      <c r="V259" s="6" t="s">
        <v>771</v>
      </c>
      <c r="W259" s="6" t="str">
        <f>IF(U259="","",IFERROR(_xlfn.XLOOKUP(U259,Mapping!$A:$A,Mapping!$B:$B),""))</f>
        <v>Project_016</v>
      </c>
      <c r="X259" s="6" t="str">
        <f>IF(V259="","",IFERROR(_xlfn.XLOOKUP(V259,Mapping!$A:$A,Mapping!$B:$B),""))</f>
        <v>Project_041</v>
      </c>
      <c r="Y259" s="6" t="s">
        <v>448</v>
      </c>
      <c r="Z259" s="6" t="s">
        <v>27</v>
      </c>
    </row>
    <row r="260" spans="1:26">
      <c r="A260" s="12">
        <v>259</v>
      </c>
      <c r="B260" s="6" t="s">
        <v>1099</v>
      </c>
      <c r="C260" s="6" t="s">
        <v>1100</v>
      </c>
      <c r="D260" s="6" t="s">
        <v>86</v>
      </c>
      <c r="E260" s="7">
        <v>44197</v>
      </c>
      <c r="F260" s="6" t="s">
        <v>425</v>
      </c>
      <c r="G260" s="6" t="s">
        <v>146</v>
      </c>
      <c r="H260" s="6" t="s">
        <v>1101</v>
      </c>
      <c r="I260" s="6" t="s">
        <v>90</v>
      </c>
      <c r="J260" s="6" t="s">
        <v>91</v>
      </c>
      <c r="K260" s="6" t="s">
        <v>92</v>
      </c>
      <c r="L260" s="6" t="s">
        <v>90</v>
      </c>
      <c r="M260" s="6" t="s">
        <v>642</v>
      </c>
      <c r="N260" s="6" t="s">
        <v>94</v>
      </c>
      <c r="O260" s="6" t="s">
        <v>642</v>
      </c>
      <c r="P260" s="6" t="s">
        <v>95</v>
      </c>
      <c r="Q260" s="6" t="s">
        <v>1102</v>
      </c>
      <c r="R260" s="6" t="s">
        <v>334</v>
      </c>
      <c r="S260" s="6" t="str">
        <f>VLOOKUP(R260,Customer_Mapping!A:B,2,FALSE)</f>
        <v>Customer_009</v>
      </c>
      <c r="T260" s="6" t="s">
        <v>335</v>
      </c>
      <c r="U260" s="6" t="s">
        <v>305</v>
      </c>
      <c r="V260" s="6" t="s">
        <v>373</v>
      </c>
      <c r="W260" s="6" t="str">
        <f>IF(U260="","",IFERROR(_xlfn.XLOOKUP(U260,Mapping!$A:$A,Mapping!$B:$B),""))</f>
        <v>Project_005</v>
      </c>
      <c r="X260" s="6" t="str">
        <f>IF(V260="","",IFERROR(_xlfn.XLOOKUP(V260,Mapping!$A:$A,Mapping!$B:$B),""))</f>
        <v>Project_016</v>
      </c>
      <c r="Y260" s="6" t="s">
        <v>286</v>
      </c>
      <c r="Z260" s="6" t="s">
        <v>642</v>
      </c>
    </row>
    <row r="261" spans="1:26">
      <c r="A261" s="12">
        <v>260</v>
      </c>
      <c r="B261" s="6" t="s">
        <v>1103</v>
      </c>
      <c r="C261" s="6" t="s">
        <v>1104</v>
      </c>
      <c r="D261" s="6" t="s">
        <v>86</v>
      </c>
      <c r="E261" s="7">
        <v>45784</v>
      </c>
      <c r="F261" s="6" t="s">
        <v>732</v>
      </c>
      <c r="G261" s="6" t="s">
        <v>94</v>
      </c>
      <c r="H261" s="6" t="s">
        <v>162</v>
      </c>
      <c r="I261" s="6" t="s">
        <v>90</v>
      </c>
      <c r="J261" s="6" t="s">
        <v>91</v>
      </c>
      <c r="K261" s="6" t="s">
        <v>92</v>
      </c>
      <c r="L261" s="6" t="s">
        <v>90</v>
      </c>
      <c r="M261" s="6" t="s">
        <v>94</v>
      </c>
      <c r="N261" s="6" t="s">
        <v>94</v>
      </c>
      <c r="O261" s="6" t="s">
        <v>117</v>
      </c>
      <c r="P261" s="6" t="s">
        <v>104</v>
      </c>
      <c r="Q261" s="6" t="s">
        <v>734</v>
      </c>
      <c r="R261" s="6" t="s">
        <v>308</v>
      </c>
      <c r="S261" s="6" t="str">
        <f>VLOOKUP(R261,Customer_Mapping!A:B,2,FALSE)</f>
        <v>Customer_004</v>
      </c>
      <c r="T261" s="6" t="s">
        <v>283</v>
      </c>
      <c r="U261" s="6" t="s">
        <v>341</v>
      </c>
      <c r="V261" s="6" t="s">
        <v>305</v>
      </c>
      <c r="W261" s="6" t="str">
        <f>IF(U261="","",IFERROR(_xlfn.XLOOKUP(U261,Mapping!$A:$A,Mapping!$B:$B),""))</f>
        <v>Project_013</v>
      </c>
      <c r="X261" s="6" t="str">
        <f>IF(V261="","",IFERROR(_xlfn.XLOOKUP(V261,Mapping!$A:$A,Mapping!$B:$B),""))</f>
        <v>Project_005</v>
      </c>
      <c r="Y261" s="6" t="s">
        <v>286</v>
      </c>
      <c r="Z261" s="6" t="s">
        <v>94</v>
      </c>
    </row>
    <row r="262" spans="1:26">
      <c r="A262" s="12">
        <v>261</v>
      </c>
      <c r="B262" s="6" t="s">
        <v>1105</v>
      </c>
      <c r="C262" s="6" t="s">
        <v>1106</v>
      </c>
      <c r="D262" s="6" t="s">
        <v>86</v>
      </c>
      <c r="E262" s="7">
        <v>42567</v>
      </c>
      <c r="F262" s="6" t="s">
        <v>111</v>
      </c>
      <c r="G262" s="6" t="s">
        <v>134</v>
      </c>
      <c r="H262" s="6" t="s">
        <v>1107</v>
      </c>
      <c r="I262" s="6" t="s">
        <v>90</v>
      </c>
      <c r="J262" s="6" t="s">
        <v>91</v>
      </c>
      <c r="K262" s="6" t="s">
        <v>92</v>
      </c>
      <c r="L262" s="6" t="s">
        <v>90</v>
      </c>
      <c r="M262" s="6" t="s">
        <v>131</v>
      </c>
      <c r="N262" s="6" t="s">
        <v>122</v>
      </c>
      <c r="O262" s="6" t="s">
        <v>131</v>
      </c>
      <c r="P262" s="6" t="s">
        <v>122</v>
      </c>
      <c r="Q262" s="6" t="s">
        <v>418</v>
      </c>
      <c r="R262" s="6" t="s">
        <v>282</v>
      </c>
      <c r="S262" s="6" t="str">
        <f>VLOOKUP(R262,Customer_Mapping!A:B,2,FALSE)</f>
        <v>Customer_001</v>
      </c>
      <c r="T262" s="6" t="s">
        <v>283</v>
      </c>
      <c r="U262" s="6" t="s">
        <v>387</v>
      </c>
      <c r="V262" s="6" t="s">
        <v>341</v>
      </c>
      <c r="W262" s="6" t="str">
        <f>IF(U262="","",IFERROR(_xlfn.XLOOKUP(U262,Mapping!$A:$A,Mapping!$B:$B),""))</f>
        <v>Project_020</v>
      </c>
      <c r="X262" s="6" t="str">
        <f>IF(V262="","",IFERROR(_xlfn.XLOOKUP(V262,Mapping!$A:$A,Mapping!$B:$B),""))</f>
        <v>Project_013</v>
      </c>
      <c r="Y262" s="6" t="s">
        <v>286</v>
      </c>
      <c r="Z262" s="6" t="s">
        <v>131</v>
      </c>
    </row>
    <row r="263" spans="1:26">
      <c r="A263" s="12">
        <v>262</v>
      </c>
      <c r="B263" s="6" t="s">
        <v>1108</v>
      </c>
      <c r="C263" s="6" t="s">
        <v>1109</v>
      </c>
      <c r="D263" s="6" t="s">
        <v>86</v>
      </c>
      <c r="E263" s="7">
        <v>46088</v>
      </c>
      <c r="F263" s="6" t="s">
        <v>337</v>
      </c>
      <c r="G263" s="6" t="s">
        <v>94</v>
      </c>
      <c r="H263" s="6" t="s">
        <v>333</v>
      </c>
      <c r="I263" s="6" t="s">
        <v>90</v>
      </c>
      <c r="J263" s="6" t="s">
        <v>91</v>
      </c>
      <c r="K263" s="6" t="s">
        <v>92</v>
      </c>
      <c r="L263" s="6" t="s">
        <v>90</v>
      </c>
      <c r="M263" s="6" t="s">
        <v>94</v>
      </c>
      <c r="N263" s="6" t="s">
        <v>94</v>
      </c>
      <c r="O263" s="6" t="s">
        <v>131</v>
      </c>
      <c r="P263" s="6" t="s">
        <v>95</v>
      </c>
      <c r="Q263" s="6" t="s">
        <v>338</v>
      </c>
      <c r="R263" s="6" t="s">
        <v>391</v>
      </c>
      <c r="S263" s="6" t="str">
        <f>VLOOKUP(R263,Customer_Mapping!A:B,2,FALSE)</f>
        <v>Customer_014</v>
      </c>
      <c r="T263" s="6" t="s">
        <v>386</v>
      </c>
      <c r="U263" s="6" t="s">
        <v>323</v>
      </c>
      <c r="V263" s="6" t="s">
        <v>387</v>
      </c>
      <c r="W263" s="6" t="str">
        <f>IF(U263="","",IFERROR(_xlfn.XLOOKUP(U263,Mapping!$A:$A,Mapping!$B:$B),""))</f>
        <v>Project_009</v>
      </c>
      <c r="X263" s="6" t="str">
        <f>IF(V263="","",IFERROR(_xlfn.XLOOKUP(V263,Mapping!$A:$A,Mapping!$B:$B),""))</f>
        <v>Project_020</v>
      </c>
      <c r="Y263" s="6" t="s">
        <v>286</v>
      </c>
      <c r="Z263" s="6" t="s">
        <v>94</v>
      </c>
    </row>
    <row r="264" spans="1:26">
      <c r="A264" s="12">
        <v>263</v>
      </c>
      <c r="B264" s="6" t="s">
        <v>1110</v>
      </c>
      <c r="C264" s="6" t="s">
        <v>1111</v>
      </c>
      <c r="D264" s="6" t="s">
        <v>86</v>
      </c>
      <c r="E264" s="7">
        <v>44332</v>
      </c>
      <c r="F264" s="6" t="s">
        <v>125</v>
      </c>
      <c r="G264" s="6" t="s">
        <v>151</v>
      </c>
      <c r="H264" s="6" t="s">
        <v>1112</v>
      </c>
      <c r="I264" s="6" t="s">
        <v>90</v>
      </c>
      <c r="J264" s="6" t="s">
        <v>91</v>
      </c>
      <c r="K264" s="6" t="s">
        <v>92</v>
      </c>
      <c r="L264" s="6" t="s">
        <v>90</v>
      </c>
      <c r="M264" s="6" t="s">
        <v>364</v>
      </c>
      <c r="N264" s="6" t="s">
        <v>94</v>
      </c>
      <c r="O264" s="6" t="s">
        <v>364</v>
      </c>
      <c r="P264" s="6" t="s">
        <v>122</v>
      </c>
      <c r="Q264" s="6" t="s">
        <v>353</v>
      </c>
      <c r="R264" s="6" t="s">
        <v>326</v>
      </c>
      <c r="S264" s="6" t="str">
        <f>VLOOKUP(R264,Customer_Mapping!A:B,2,FALSE)</f>
        <v>Customer_007</v>
      </c>
      <c r="T264" s="6" t="s">
        <v>283</v>
      </c>
      <c r="U264" s="6" t="s">
        <v>373</v>
      </c>
      <c r="V264" s="6" t="s">
        <v>323</v>
      </c>
      <c r="W264" s="6" t="str">
        <f>IF(U264="","",IFERROR(_xlfn.XLOOKUP(U264,Mapping!$A:$A,Mapping!$B:$B),""))</f>
        <v>Project_016</v>
      </c>
      <c r="X264" s="6" t="str">
        <f>IF(V264="","",IFERROR(_xlfn.XLOOKUP(V264,Mapping!$A:$A,Mapping!$B:$B),""))</f>
        <v>Project_009</v>
      </c>
      <c r="Y264" s="6" t="s">
        <v>286</v>
      </c>
      <c r="Z264" s="6" t="s">
        <v>364</v>
      </c>
    </row>
    <row r="265" spans="1:26">
      <c r="A265" s="12">
        <v>264</v>
      </c>
      <c r="B265" s="6" t="s">
        <v>1113</v>
      </c>
      <c r="C265" s="6" t="s">
        <v>1114</v>
      </c>
      <c r="D265" s="6" t="s">
        <v>86</v>
      </c>
      <c r="E265" s="7">
        <v>43998</v>
      </c>
      <c r="F265" s="6" t="s">
        <v>111</v>
      </c>
      <c r="G265" s="6" t="s">
        <v>420</v>
      </c>
      <c r="H265" s="6" t="s">
        <v>1115</v>
      </c>
      <c r="I265" s="6" t="s">
        <v>90</v>
      </c>
      <c r="J265" s="6" t="s">
        <v>91</v>
      </c>
      <c r="K265" s="6" t="s">
        <v>92</v>
      </c>
      <c r="L265" s="6" t="s">
        <v>90</v>
      </c>
      <c r="M265" s="6" t="s">
        <v>131</v>
      </c>
      <c r="N265" s="6" t="s">
        <v>95</v>
      </c>
      <c r="O265" s="6" t="s">
        <v>131</v>
      </c>
      <c r="P265" s="6" t="s">
        <v>122</v>
      </c>
      <c r="Q265" s="6" t="s">
        <v>418</v>
      </c>
      <c r="R265" s="6" t="s">
        <v>334</v>
      </c>
      <c r="S265" s="6" t="str">
        <f>VLOOKUP(R265,Customer_Mapping!A:B,2,FALSE)</f>
        <v>Customer_009</v>
      </c>
      <c r="T265" s="6" t="s">
        <v>335</v>
      </c>
      <c r="U265" s="6" t="s">
        <v>575</v>
      </c>
      <c r="V265" s="6" t="s">
        <v>373</v>
      </c>
      <c r="W265" s="6" t="str">
        <f>IF(U265="","",IFERROR(_xlfn.XLOOKUP(U265,Mapping!$A:$A,Mapping!$B:$B),""))</f>
        <v>Project_033</v>
      </c>
      <c r="X265" s="6" t="str">
        <f>IF(V265="","",IFERROR(_xlfn.XLOOKUP(V265,Mapping!$A:$A,Mapping!$B:$B),""))</f>
        <v>Project_016</v>
      </c>
      <c r="Y265" s="6" t="s">
        <v>286</v>
      </c>
      <c r="Z265" s="6" t="s">
        <v>131</v>
      </c>
    </row>
    <row r="266" spans="1:26">
      <c r="A266" s="12">
        <v>265</v>
      </c>
      <c r="B266" s="6" t="s">
        <v>1113</v>
      </c>
      <c r="C266" s="6" t="s">
        <v>1116</v>
      </c>
      <c r="D266" s="6" t="s">
        <v>86</v>
      </c>
      <c r="E266" s="7">
        <v>46038</v>
      </c>
      <c r="F266" s="6" t="s">
        <v>87</v>
      </c>
      <c r="G266" s="6" t="s">
        <v>94</v>
      </c>
      <c r="H266" s="6" t="s">
        <v>333</v>
      </c>
      <c r="I266" s="6" t="s">
        <v>90</v>
      </c>
      <c r="J266" s="6" t="s">
        <v>91</v>
      </c>
      <c r="K266" s="6" t="s">
        <v>92</v>
      </c>
      <c r="L266" s="6" t="s">
        <v>90</v>
      </c>
      <c r="M266" s="6" t="s">
        <v>94</v>
      </c>
      <c r="N266" s="6" t="s">
        <v>94</v>
      </c>
      <c r="O266" s="6" t="s">
        <v>93</v>
      </c>
      <c r="P266" s="6" t="s">
        <v>122</v>
      </c>
      <c r="Q266" s="6" t="s">
        <v>697</v>
      </c>
      <c r="R266" s="6" t="s">
        <v>282</v>
      </c>
      <c r="S266" s="6" t="str">
        <f>VLOOKUP(R266,Customer_Mapping!A:B,2,FALSE)</f>
        <v>Customer_001</v>
      </c>
      <c r="T266" s="6" t="s">
        <v>283</v>
      </c>
      <c r="U266" s="6" t="s">
        <v>341</v>
      </c>
      <c r="V266" s="6" t="s">
        <v>575</v>
      </c>
      <c r="W266" s="6" t="str">
        <f>IF(U266="","",IFERROR(_xlfn.XLOOKUP(U266,Mapping!$A:$A,Mapping!$B:$B),""))</f>
        <v>Project_013</v>
      </c>
      <c r="X266" s="6" t="str">
        <f>IF(V266="","",IFERROR(_xlfn.XLOOKUP(V266,Mapping!$A:$A,Mapping!$B:$B),""))</f>
        <v>Project_033</v>
      </c>
      <c r="Y266" s="6" t="s">
        <v>286</v>
      </c>
      <c r="Z266" s="6" t="s">
        <v>94</v>
      </c>
    </row>
    <row r="267" spans="1:26">
      <c r="A267" s="12">
        <v>266</v>
      </c>
      <c r="B267" s="6" t="s">
        <v>1117</v>
      </c>
      <c r="C267" s="6" t="s">
        <v>1118</v>
      </c>
      <c r="D267" s="6" t="s">
        <v>86</v>
      </c>
      <c r="E267" s="7">
        <v>45154</v>
      </c>
      <c r="F267" s="6" t="s">
        <v>204</v>
      </c>
      <c r="G267" s="6" t="s">
        <v>603</v>
      </c>
      <c r="H267" s="6" t="s">
        <v>1119</v>
      </c>
      <c r="I267" s="6" t="s">
        <v>90</v>
      </c>
      <c r="J267" s="6" t="s">
        <v>91</v>
      </c>
      <c r="K267" s="6" t="s">
        <v>92</v>
      </c>
      <c r="L267" s="6" t="s">
        <v>90</v>
      </c>
      <c r="M267" s="6" t="s">
        <v>43</v>
      </c>
      <c r="N267" s="6" t="s">
        <v>122</v>
      </c>
      <c r="O267" s="6" t="s">
        <v>43</v>
      </c>
      <c r="P267" s="6" t="s">
        <v>122</v>
      </c>
      <c r="Q267" s="6" t="s">
        <v>321</v>
      </c>
      <c r="R267" s="6" t="s">
        <v>282</v>
      </c>
      <c r="S267" s="6" t="str">
        <f>VLOOKUP(R267,Customer_Mapping!A:B,2,FALSE)</f>
        <v>Customer_001</v>
      </c>
      <c r="T267" s="6" t="s">
        <v>283</v>
      </c>
      <c r="U267" s="6" t="s">
        <v>323</v>
      </c>
      <c r="V267" s="6" t="s">
        <v>341</v>
      </c>
      <c r="W267" s="6" t="str">
        <f>IF(U267="","",IFERROR(_xlfn.XLOOKUP(U267,Mapping!$A:$A,Mapping!$B:$B),""))</f>
        <v>Project_009</v>
      </c>
      <c r="X267" s="6" t="str">
        <f>IF(V267="","",IFERROR(_xlfn.XLOOKUP(V267,Mapping!$A:$A,Mapping!$B:$B),""))</f>
        <v>Project_013</v>
      </c>
      <c r="Y267" s="6" t="s">
        <v>286</v>
      </c>
      <c r="Z267" s="6" t="s">
        <v>43</v>
      </c>
    </row>
    <row r="268" spans="1:26">
      <c r="A268" s="12">
        <v>267</v>
      </c>
      <c r="B268" s="6" t="s">
        <v>1120</v>
      </c>
      <c r="C268" s="6" t="s">
        <v>1121</v>
      </c>
      <c r="D268" s="6" t="s">
        <v>86</v>
      </c>
      <c r="E268" s="7">
        <v>42339</v>
      </c>
      <c r="F268" s="6" t="s">
        <v>87</v>
      </c>
      <c r="G268" s="6" t="s">
        <v>389</v>
      </c>
      <c r="H268" s="6" t="s">
        <v>1122</v>
      </c>
      <c r="I268" s="6" t="s">
        <v>90</v>
      </c>
      <c r="J268" s="6" t="s">
        <v>91</v>
      </c>
      <c r="K268" s="6" t="s">
        <v>92</v>
      </c>
      <c r="L268" s="6" t="s">
        <v>90</v>
      </c>
      <c r="M268" s="6" t="s">
        <v>696</v>
      </c>
      <c r="N268" s="6" t="s">
        <v>94</v>
      </c>
      <c r="O268" s="6" t="s">
        <v>93</v>
      </c>
      <c r="P268" s="6" t="s">
        <v>122</v>
      </c>
      <c r="Q268" s="6" t="s">
        <v>490</v>
      </c>
      <c r="R268" s="6" t="s">
        <v>326</v>
      </c>
      <c r="S268" s="6" t="str">
        <f>VLOOKUP(R268,Customer_Mapping!A:B,2,FALSE)</f>
        <v>Customer_007</v>
      </c>
      <c r="T268" s="6" t="s">
        <v>283</v>
      </c>
      <c r="U268" s="6" t="s">
        <v>387</v>
      </c>
      <c r="V268" s="6" t="s">
        <v>323</v>
      </c>
      <c r="W268" s="6" t="str">
        <f>IF(U268="","",IFERROR(_xlfn.XLOOKUP(U268,Mapping!$A:$A,Mapping!$B:$B),""))</f>
        <v>Project_020</v>
      </c>
      <c r="X268" s="6" t="str">
        <f>IF(V268="","",IFERROR(_xlfn.XLOOKUP(V268,Mapping!$A:$A,Mapping!$B:$B),""))</f>
        <v>Project_009</v>
      </c>
      <c r="Y268" s="6" t="s">
        <v>286</v>
      </c>
      <c r="Z268" s="6" t="s">
        <v>696</v>
      </c>
    </row>
    <row r="269" spans="1:26">
      <c r="A269" s="12">
        <v>268</v>
      </c>
      <c r="B269" s="6" t="s">
        <v>1123</v>
      </c>
      <c r="C269" s="6" t="s">
        <v>1124</v>
      </c>
      <c r="D269" s="6" t="s">
        <v>86</v>
      </c>
      <c r="E269" s="7">
        <v>44713</v>
      </c>
      <c r="F269" s="6" t="s">
        <v>288</v>
      </c>
      <c r="G269" s="6" t="s">
        <v>1125</v>
      </c>
      <c r="H269" s="6" t="s">
        <v>1126</v>
      </c>
      <c r="I269" s="6" t="s">
        <v>90</v>
      </c>
      <c r="J269" s="6" t="s">
        <v>91</v>
      </c>
      <c r="K269" s="6" t="s">
        <v>92</v>
      </c>
      <c r="L269" s="6" t="s">
        <v>90</v>
      </c>
      <c r="M269" s="6" t="s">
        <v>675</v>
      </c>
      <c r="N269" s="6" t="s">
        <v>94</v>
      </c>
      <c r="O269" s="6" t="s">
        <v>136</v>
      </c>
      <c r="P269" s="6" t="s">
        <v>95</v>
      </c>
      <c r="Q269" s="6" t="s">
        <v>291</v>
      </c>
      <c r="R269" s="6" t="s">
        <v>391</v>
      </c>
      <c r="S269" s="6" t="str">
        <f>VLOOKUP(R269,Customer_Mapping!A:B,2,FALSE)</f>
        <v>Customer_014</v>
      </c>
      <c r="T269" s="6" t="s">
        <v>386</v>
      </c>
      <c r="U269" s="6" t="s">
        <v>298</v>
      </c>
      <c r="V269" s="6" t="s">
        <v>387</v>
      </c>
      <c r="W269" s="6" t="str">
        <f>IF(U269="","",IFERROR(_xlfn.XLOOKUP(U269,Mapping!$A:$A,Mapping!$B:$B),""))</f>
        <v>Project_003</v>
      </c>
      <c r="X269" s="6" t="str">
        <f>IF(V269="","",IFERROR(_xlfn.XLOOKUP(V269,Mapping!$A:$A,Mapping!$B:$B),""))</f>
        <v>Project_020</v>
      </c>
      <c r="Y269" s="6" t="s">
        <v>286</v>
      </c>
      <c r="Z269" s="6" t="s">
        <v>675</v>
      </c>
    </row>
    <row r="270" spans="1:26">
      <c r="A270" s="12">
        <v>269</v>
      </c>
      <c r="B270" s="6" t="s">
        <v>1127</v>
      </c>
      <c r="C270" s="6" t="s">
        <v>1128</v>
      </c>
      <c r="D270" s="6" t="s">
        <v>86</v>
      </c>
      <c r="E270" s="7">
        <v>43182</v>
      </c>
      <c r="F270" s="6" t="s">
        <v>111</v>
      </c>
      <c r="G270" s="6" t="s">
        <v>187</v>
      </c>
      <c r="H270" s="6" t="s">
        <v>188</v>
      </c>
      <c r="I270" s="6" t="s">
        <v>90</v>
      </c>
      <c r="J270" s="6" t="s">
        <v>91</v>
      </c>
      <c r="K270" s="6" t="s">
        <v>92</v>
      </c>
      <c r="L270" s="6" t="s">
        <v>90</v>
      </c>
      <c r="M270" s="6" t="s">
        <v>103</v>
      </c>
      <c r="N270" s="6" t="s">
        <v>122</v>
      </c>
      <c r="O270" s="6" t="s">
        <v>184</v>
      </c>
      <c r="P270" s="6" t="s">
        <v>104</v>
      </c>
      <c r="Q270" s="6" t="s">
        <v>418</v>
      </c>
      <c r="R270" s="6" t="s">
        <v>300</v>
      </c>
      <c r="S270" s="6" t="str">
        <f>VLOOKUP(R270,Customer_Mapping!A:B,2,FALSE)</f>
        <v>Customer_003</v>
      </c>
      <c r="T270" s="6" t="s">
        <v>283</v>
      </c>
      <c r="U270" s="6" t="s">
        <v>298</v>
      </c>
      <c r="V270" s="6" t="s">
        <v>298</v>
      </c>
      <c r="W270" s="6" t="str">
        <f>IF(U270="","",IFERROR(_xlfn.XLOOKUP(U270,Mapping!$A:$A,Mapping!$B:$B),""))</f>
        <v>Project_003</v>
      </c>
      <c r="X270" s="6" t="str">
        <f>IF(V270="","",IFERROR(_xlfn.XLOOKUP(V270,Mapping!$A:$A,Mapping!$B:$B),""))</f>
        <v>Project_003</v>
      </c>
      <c r="Y270" s="6" t="s">
        <v>286</v>
      </c>
      <c r="Z270" s="6" t="s">
        <v>103</v>
      </c>
    </row>
    <row r="271" spans="1:26">
      <c r="A271" s="12">
        <v>270</v>
      </c>
      <c r="B271" s="6" t="s">
        <v>1129</v>
      </c>
      <c r="C271" s="6" t="s">
        <v>1130</v>
      </c>
      <c r="D271" s="6" t="s">
        <v>86</v>
      </c>
      <c r="E271" s="7">
        <v>45885</v>
      </c>
      <c r="F271" s="6" t="s">
        <v>111</v>
      </c>
      <c r="G271" s="6" t="s">
        <v>175</v>
      </c>
      <c r="H271" s="6" t="s">
        <v>176</v>
      </c>
      <c r="I271" s="6" t="s">
        <v>90</v>
      </c>
      <c r="J271" s="6" t="s">
        <v>91</v>
      </c>
      <c r="K271" s="6" t="s">
        <v>92</v>
      </c>
      <c r="L271" s="6" t="s">
        <v>90</v>
      </c>
      <c r="M271" s="6" t="s">
        <v>103</v>
      </c>
      <c r="N271" s="6" t="s">
        <v>94</v>
      </c>
      <c r="O271" s="6" t="s">
        <v>103</v>
      </c>
      <c r="P271" s="6" t="s">
        <v>95</v>
      </c>
      <c r="Q271" s="6" t="s">
        <v>281</v>
      </c>
      <c r="R271" s="6" t="s">
        <v>300</v>
      </c>
      <c r="S271" s="6" t="str">
        <f>VLOOKUP(R271,Customer_Mapping!A:B,2,FALSE)</f>
        <v>Customer_003</v>
      </c>
      <c r="T271" s="6" t="s">
        <v>283</v>
      </c>
      <c r="U271" s="6" t="s">
        <v>648</v>
      </c>
      <c r="V271" s="6" t="s">
        <v>298</v>
      </c>
      <c r="W271" s="6" t="str">
        <f>IF(U271="","",IFERROR(_xlfn.XLOOKUP(U271,Mapping!$A:$A,Mapping!$B:$B),""))</f>
        <v>Project_035</v>
      </c>
      <c r="X271" s="6" t="str">
        <f>IF(V271="","",IFERROR(_xlfn.XLOOKUP(V271,Mapping!$A:$A,Mapping!$B:$B),""))</f>
        <v>Project_003</v>
      </c>
      <c r="Y271" s="6" t="s">
        <v>286</v>
      </c>
      <c r="Z271" s="6" t="s">
        <v>103</v>
      </c>
    </row>
    <row r="272" spans="1:26">
      <c r="A272" s="12">
        <v>271</v>
      </c>
      <c r="B272" s="6" t="s">
        <v>1131</v>
      </c>
      <c r="C272" s="6" t="s">
        <v>1132</v>
      </c>
      <c r="D272" s="6" t="s">
        <v>86</v>
      </c>
      <c r="E272" s="7">
        <v>44713</v>
      </c>
      <c r="F272" s="6" t="s">
        <v>111</v>
      </c>
      <c r="G272" s="6" t="s">
        <v>526</v>
      </c>
      <c r="H272" s="6" t="s">
        <v>533</v>
      </c>
      <c r="I272" s="6" t="s">
        <v>90</v>
      </c>
      <c r="J272" s="6" t="s">
        <v>91</v>
      </c>
      <c r="K272" s="6" t="s">
        <v>92</v>
      </c>
      <c r="L272" s="6" t="s">
        <v>90</v>
      </c>
      <c r="M272" s="6" t="s">
        <v>103</v>
      </c>
      <c r="N272" s="6" t="s">
        <v>104</v>
      </c>
      <c r="O272" s="6" t="s">
        <v>103</v>
      </c>
      <c r="P272" s="6" t="s">
        <v>95</v>
      </c>
      <c r="Q272" s="6" t="s">
        <v>281</v>
      </c>
      <c r="R272" s="6" t="s">
        <v>652</v>
      </c>
      <c r="S272" s="6" t="str">
        <f>VLOOKUP(R272,Customer_Mapping!A:B,2,FALSE)</f>
        <v>Customer_018</v>
      </c>
      <c r="T272" s="6" t="s">
        <v>283</v>
      </c>
      <c r="U272" s="6" t="s">
        <v>396</v>
      </c>
      <c r="V272" s="6" t="s">
        <v>648</v>
      </c>
      <c r="W272" s="6" t="str">
        <f>IF(U272="","",IFERROR(_xlfn.XLOOKUP(U272,Mapping!$A:$A,Mapping!$B:$B),""))</f>
        <v>Project_022</v>
      </c>
      <c r="X272" s="6" t="str">
        <f>IF(V272="","",IFERROR(_xlfn.XLOOKUP(V272,Mapping!$A:$A,Mapping!$B:$B),""))</f>
        <v>Project_035</v>
      </c>
      <c r="Y272" s="6" t="s">
        <v>286</v>
      </c>
      <c r="Z272" s="6" t="s">
        <v>103</v>
      </c>
    </row>
    <row r="273" spans="1:26">
      <c r="A273" s="12">
        <v>272</v>
      </c>
      <c r="B273" s="6" t="s">
        <v>1133</v>
      </c>
      <c r="C273" s="6" t="s">
        <v>1134</v>
      </c>
      <c r="D273" s="6" t="s">
        <v>86</v>
      </c>
      <c r="E273" s="7">
        <v>46135</v>
      </c>
      <c r="F273" s="6" t="s">
        <v>4</v>
      </c>
      <c r="G273" s="6" t="s">
        <v>94</v>
      </c>
      <c r="H273" s="6" t="s">
        <v>94</v>
      </c>
      <c r="I273" s="6" t="s">
        <v>90</v>
      </c>
      <c r="J273" s="6" t="s">
        <v>91</v>
      </c>
      <c r="K273" s="6" t="s">
        <v>92</v>
      </c>
      <c r="L273" s="6" t="s">
        <v>90</v>
      </c>
      <c r="M273" s="6" t="s">
        <v>94</v>
      </c>
      <c r="N273" s="6" t="s">
        <v>94</v>
      </c>
      <c r="O273" s="6" t="s">
        <v>93</v>
      </c>
      <c r="P273" s="6" t="s">
        <v>104</v>
      </c>
      <c r="Q273" s="6" t="s">
        <v>399</v>
      </c>
      <c r="R273" s="6" t="s">
        <v>282</v>
      </c>
      <c r="S273" s="6" t="str">
        <f>VLOOKUP(R273,Customer_Mapping!A:B,2,FALSE)</f>
        <v>Customer_001</v>
      </c>
      <c r="T273" s="6" t="s">
        <v>283</v>
      </c>
      <c r="U273" s="6" t="s">
        <v>1135</v>
      </c>
      <c r="V273" s="6" t="s">
        <v>396</v>
      </c>
      <c r="W273" s="6" t="str">
        <f>IF(U273="","",IFERROR(_xlfn.XLOOKUP(U273,Mapping!$A:$A,Mapping!$B:$B),""))</f>
        <v>Project_046</v>
      </c>
      <c r="X273" s="6" t="str">
        <f>IF(V273="","",IFERROR(_xlfn.XLOOKUP(V273,Mapping!$A:$A,Mapping!$B:$B),""))</f>
        <v>Project_022</v>
      </c>
      <c r="Y273" s="6" t="s">
        <v>286</v>
      </c>
      <c r="Z273" s="6" t="s">
        <v>94</v>
      </c>
    </row>
    <row r="274" spans="1:26">
      <c r="A274" s="12">
        <v>273</v>
      </c>
      <c r="B274" s="6" t="s">
        <v>1136</v>
      </c>
      <c r="C274" s="6" t="s">
        <v>1137</v>
      </c>
      <c r="D274" s="6" t="s">
        <v>86</v>
      </c>
      <c r="E274" s="7">
        <v>44455</v>
      </c>
      <c r="F274" s="6" t="s">
        <v>430</v>
      </c>
      <c r="G274" s="6" t="s">
        <v>294</v>
      </c>
      <c r="H274" s="6" t="s">
        <v>1138</v>
      </c>
      <c r="I274" s="6" t="s">
        <v>90</v>
      </c>
      <c r="J274" s="6" t="s">
        <v>91</v>
      </c>
      <c r="K274" s="6" t="s">
        <v>92</v>
      </c>
      <c r="L274" s="6" t="s">
        <v>90</v>
      </c>
      <c r="M274" s="6" t="s">
        <v>1139</v>
      </c>
      <c r="N274" s="6" t="s">
        <v>122</v>
      </c>
      <c r="O274" s="6" t="s">
        <v>412</v>
      </c>
      <c r="P274" s="6" t="s">
        <v>122</v>
      </c>
      <c r="Q274" s="6" t="s">
        <v>433</v>
      </c>
      <c r="R274" s="6" t="s">
        <v>1140</v>
      </c>
      <c r="S274" s="6" t="str">
        <f>VLOOKUP(R274,Customer_Mapping!A:B,2,FALSE)</f>
        <v>Customer_022</v>
      </c>
      <c r="T274" s="6" t="s">
        <v>1141</v>
      </c>
      <c r="U274" s="6" t="s">
        <v>301</v>
      </c>
      <c r="V274" s="6" t="s">
        <v>1135</v>
      </c>
      <c r="W274" s="6" t="str">
        <f>IF(U274="","",IFERROR(_xlfn.XLOOKUP(U274,Mapping!$A:$A,Mapping!$B:$B),""))</f>
        <v>Project_004</v>
      </c>
      <c r="X274" s="6" t="str">
        <f>IF(V274="","",IFERROR(_xlfn.XLOOKUP(V274,Mapping!$A:$A,Mapping!$B:$B),""))</f>
        <v>Project_046</v>
      </c>
      <c r="Y274" s="6" t="s">
        <v>286</v>
      </c>
      <c r="Z274" s="6" t="s">
        <v>1139</v>
      </c>
    </row>
    <row r="275" spans="1:26">
      <c r="A275" s="12">
        <v>274</v>
      </c>
      <c r="B275" s="6" t="s">
        <v>1142</v>
      </c>
      <c r="C275" s="6" t="s">
        <v>1143</v>
      </c>
      <c r="D275" s="6" t="s">
        <v>86</v>
      </c>
      <c r="E275" s="7">
        <v>45923</v>
      </c>
      <c r="F275" s="6" t="s">
        <v>111</v>
      </c>
      <c r="G275" s="6" t="s">
        <v>94</v>
      </c>
      <c r="H275" s="6" t="s">
        <v>333</v>
      </c>
      <c r="I275" s="6" t="s">
        <v>90</v>
      </c>
      <c r="J275" s="6" t="s">
        <v>91</v>
      </c>
      <c r="K275" s="6" t="s">
        <v>92</v>
      </c>
      <c r="L275" s="6" t="s">
        <v>90</v>
      </c>
      <c r="M275" s="6" t="s">
        <v>94</v>
      </c>
      <c r="N275" s="6" t="s">
        <v>94</v>
      </c>
      <c r="O275" s="6" t="s">
        <v>131</v>
      </c>
      <c r="P275" s="6" t="s">
        <v>95</v>
      </c>
      <c r="Q275" s="6" t="s">
        <v>281</v>
      </c>
      <c r="R275" s="6" t="s">
        <v>282</v>
      </c>
      <c r="S275" s="6" t="str">
        <f>VLOOKUP(R275,Customer_Mapping!A:B,2,FALSE)</f>
        <v>Customer_001</v>
      </c>
      <c r="T275" s="6" t="s">
        <v>283</v>
      </c>
      <c r="U275" s="6" t="s">
        <v>501</v>
      </c>
      <c r="V275" s="6" t="s">
        <v>301</v>
      </c>
      <c r="W275" s="6" t="str">
        <f>IF(U275="","",IFERROR(_xlfn.XLOOKUP(U275,Mapping!$A:$A,Mapping!$B:$B),""))</f>
        <v>Project_029</v>
      </c>
      <c r="X275" s="6" t="str">
        <f>IF(V275="","",IFERROR(_xlfn.XLOOKUP(V275,Mapping!$A:$A,Mapping!$B:$B),""))</f>
        <v>Project_004</v>
      </c>
      <c r="Y275" s="6" t="s">
        <v>286</v>
      </c>
      <c r="Z275" s="6" t="s">
        <v>94</v>
      </c>
    </row>
    <row r="276" spans="1:26">
      <c r="A276" s="12">
        <v>275</v>
      </c>
      <c r="B276" s="6" t="s">
        <v>1144</v>
      </c>
      <c r="C276" s="6" t="s">
        <v>1145</v>
      </c>
      <c r="D276" s="6" t="s">
        <v>86</v>
      </c>
      <c r="E276" s="7">
        <v>44577</v>
      </c>
      <c r="F276" s="6" t="s">
        <v>111</v>
      </c>
      <c r="G276" s="6" t="s">
        <v>359</v>
      </c>
      <c r="H276" s="6" t="s">
        <v>1146</v>
      </c>
      <c r="I276" s="6" t="s">
        <v>90</v>
      </c>
      <c r="J276" s="6" t="s">
        <v>91</v>
      </c>
      <c r="K276" s="6" t="s">
        <v>92</v>
      </c>
      <c r="L276" s="6" t="s">
        <v>90</v>
      </c>
      <c r="M276" s="6" t="s">
        <v>136</v>
      </c>
      <c r="N276" s="6" t="s">
        <v>94</v>
      </c>
      <c r="O276" s="6" t="s">
        <v>136</v>
      </c>
      <c r="P276" s="6" t="s">
        <v>95</v>
      </c>
      <c r="Q276" s="6" t="s">
        <v>281</v>
      </c>
      <c r="R276" s="6" t="s">
        <v>334</v>
      </c>
      <c r="S276" s="6" t="str">
        <f>VLOOKUP(R276,Customer_Mapping!A:B,2,FALSE)</f>
        <v>Customer_009</v>
      </c>
      <c r="T276" s="6" t="s">
        <v>335</v>
      </c>
      <c r="U276" s="6" t="s">
        <v>323</v>
      </c>
      <c r="V276" s="6" t="s">
        <v>501</v>
      </c>
      <c r="W276" s="6" t="str">
        <f>IF(U276="","",IFERROR(_xlfn.XLOOKUP(U276,Mapping!$A:$A,Mapping!$B:$B),""))</f>
        <v>Project_009</v>
      </c>
      <c r="X276" s="6" t="str">
        <f>IF(V276="","",IFERROR(_xlfn.XLOOKUP(V276,Mapping!$A:$A,Mapping!$B:$B),""))</f>
        <v>Project_029</v>
      </c>
      <c r="Y276" s="6" t="s">
        <v>286</v>
      </c>
      <c r="Z276" s="6" t="s">
        <v>136</v>
      </c>
    </row>
    <row r="277" spans="1:26">
      <c r="A277" s="12">
        <v>276</v>
      </c>
      <c r="B277" s="6" t="s">
        <v>1147</v>
      </c>
      <c r="C277" s="6" t="s">
        <v>1148</v>
      </c>
      <c r="D277" s="6" t="s">
        <v>86</v>
      </c>
      <c r="E277" s="7">
        <v>45998</v>
      </c>
      <c r="F277" s="6" t="s">
        <v>100</v>
      </c>
      <c r="G277" s="6" t="s">
        <v>94</v>
      </c>
      <c r="H277" s="6" t="s">
        <v>1149</v>
      </c>
      <c r="I277" s="6" t="s">
        <v>90</v>
      </c>
      <c r="J277" s="6" t="s">
        <v>91</v>
      </c>
      <c r="K277" s="6" t="s">
        <v>92</v>
      </c>
      <c r="L277" s="6" t="s">
        <v>90</v>
      </c>
      <c r="M277" s="6" t="s">
        <v>94</v>
      </c>
      <c r="N277" s="6" t="s">
        <v>94</v>
      </c>
      <c r="O277" s="6" t="s">
        <v>93</v>
      </c>
      <c r="P277" s="6" t="s">
        <v>104</v>
      </c>
      <c r="Q277" s="6" t="s">
        <v>304</v>
      </c>
      <c r="R277" s="6" t="s">
        <v>326</v>
      </c>
      <c r="S277" s="6" t="str">
        <f>VLOOKUP(R277,Customer_Mapping!A:B,2,FALSE)</f>
        <v>Customer_007</v>
      </c>
      <c r="T277" s="6" t="s">
        <v>283</v>
      </c>
      <c r="U277" s="6" t="s">
        <v>298</v>
      </c>
      <c r="V277" s="6" t="s">
        <v>323</v>
      </c>
      <c r="W277" s="6" t="str">
        <f>IF(U277="","",IFERROR(_xlfn.XLOOKUP(U277,Mapping!$A:$A,Mapping!$B:$B),""))</f>
        <v>Project_003</v>
      </c>
      <c r="X277" s="6" t="str">
        <f>IF(V277="","",IFERROR(_xlfn.XLOOKUP(V277,Mapping!$A:$A,Mapping!$B:$B),""))</f>
        <v>Project_009</v>
      </c>
      <c r="Y277" s="6" t="s">
        <v>286</v>
      </c>
      <c r="Z277" s="6" t="s">
        <v>94</v>
      </c>
    </row>
    <row r="278" spans="1:26">
      <c r="A278" s="12">
        <v>277</v>
      </c>
      <c r="B278" s="6" t="s">
        <v>1150</v>
      </c>
      <c r="C278" s="6" t="s">
        <v>1151</v>
      </c>
      <c r="D278" s="6" t="s">
        <v>86</v>
      </c>
      <c r="E278" s="7">
        <v>45084</v>
      </c>
      <c r="F278" s="6" t="s">
        <v>111</v>
      </c>
      <c r="G278" s="6" t="s">
        <v>134</v>
      </c>
      <c r="H278" s="6" t="s">
        <v>135</v>
      </c>
      <c r="I278" s="6" t="s">
        <v>90</v>
      </c>
      <c r="J278" s="6" t="s">
        <v>91</v>
      </c>
      <c r="K278" s="6" t="s">
        <v>92</v>
      </c>
      <c r="L278" s="6" t="s">
        <v>90</v>
      </c>
      <c r="M278" s="6" t="s">
        <v>136</v>
      </c>
      <c r="N278" s="6" t="s">
        <v>122</v>
      </c>
      <c r="O278" s="6" t="s">
        <v>136</v>
      </c>
      <c r="P278" s="6" t="s">
        <v>122</v>
      </c>
      <c r="Q278" s="6" t="s">
        <v>418</v>
      </c>
      <c r="R278" s="6" t="s">
        <v>300</v>
      </c>
      <c r="S278" s="6" t="str">
        <f>VLOOKUP(R278,Customer_Mapping!A:B,2,FALSE)</f>
        <v>Customer_003</v>
      </c>
      <c r="T278" s="6" t="s">
        <v>283</v>
      </c>
      <c r="U278" s="6" t="s">
        <v>284</v>
      </c>
      <c r="V278" s="6" t="s">
        <v>298</v>
      </c>
      <c r="W278" s="6" t="str">
        <f>IF(U278="","",IFERROR(_xlfn.XLOOKUP(U278,Mapping!$A:$A,Mapping!$B:$B),""))</f>
        <v>Project_001</v>
      </c>
      <c r="X278" s="6" t="str">
        <f>IF(V278="","",IFERROR(_xlfn.XLOOKUP(V278,Mapping!$A:$A,Mapping!$B:$B),""))</f>
        <v>Project_003</v>
      </c>
      <c r="Y278" s="6" t="s">
        <v>286</v>
      </c>
      <c r="Z278" s="6" t="s">
        <v>136</v>
      </c>
    </row>
    <row r="279" spans="1:26">
      <c r="A279" s="12">
        <v>278</v>
      </c>
      <c r="B279" s="6" t="s">
        <v>1152</v>
      </c>
      <c r="C279" s="6" t="s">
        <v>1153</v>
      </c>
      <c r="D279" s="6" t="s">
        <v>86</v>
      </c>
      <c r="E279" s="7">
        <v>43350</v>
      </c>
      <c r="F279" s="6" t="s">
        <v>4</v>
      </c>
      <c r="G279" s="6" t="s">
        <v>187</v>
      </c>
      <c r="H279" s="6" t="s">
        <v>1154</v>
      </c>
      <c r="I279" s="6" t="s">
        <v>90</v>
      </c>
      <c r="J279" s="6" t="s">
        <v>91</v>
      </c>
      <c r="K279" s="6" t="s">
        <v>92</v>
      </c>
      <c r="L279" s="6" t="s">
        <v>90</v>
      </c>
      <c r="M279" s="6" t="s">
        <v>103</v>
      </c>
      <c r="N279" s="6" t="s">
        <v>94</v>
      </c>
      <c r="O279" s="6" t="s">
        <v>93</v>
      </c>
      <c r="P279" s="6" t="s">
        <v>122</v>
      </c>
      <c r="Q279" s="6" t="s">
        <v>399</v>
      </c>
      <c r="R279" s="6" t="s">
        <v>282</v>
      </c>
      <c r="S279" s="6" t="str">
        <f>VLOOKUP(R279,Customer_Mapping!A:B,2,FALSE)</f>
        <v>Customer_001</v>
      </c>
      <c r="T279" s="6" t="s">
        <v>283</v>
      </c>
      <c r="U279" s="6" t="s">
        <v>301</v>
      </c>
      <c r="V279" s="6" t="s">
        <v>284</v>
      </c>
      <c r="W279" s="6" t="str">
        <f>IF(U279="","",IFERROR(_xlfn.XLOOKUP(U279,Mapping!$A:$A,Mapping!$B:$B),""))</f>
        <v>Project_004</v>
      </c>
      <c r="X279" s="6" t="str">
        <f>IF(V279="","",IFERROR(_xlfn.XLOOKUP(V279,Mapping!$A:$A,Mapping!$B:$B),""))</f>
        <v>Project_001</v>
      </c>
      <c r="Y279" s="6" t="s">
        <v>286</v>
      </c>
      <c r="Z279" s="6" t="s">
        <v>103</v>
      </c>
    </row>
    <row r="280" spans="1:26">
      <c r="A280" s="12">
        <v>279</v>
      </c>
      <c r="B280" s="6" t="s">
        <v>1155</v>
      </c>
      <c r="C280" s="6" t="s">
        <v>1156</v>
      </c>
      <c r="D280" s="6" t="s">
        <v>86</v>
      </c>
      <c r="E280" s="7">
        <v>46158</v>
      </c>
      <c r="F280" s="6" t="s">
        <v>337</v>
      </c>
      <c r="G280" s="6" t="s">
        <v>94</v>
      </c>
      <c r="H280" s="6" t="s">
        <v>94</v>
      </c>
      <c r="I280" s="6" t="s">
        <v>90</v>
      </c>
      <c r="J280" s="6" t="s">
        <v>91</v>
      </c>
      <c r="K280" s="6" t="s">
        <v>92</v>
      </c>
      <c r="L280" s="6" t="s">
        <v>90</v>
      </c>
      <c r="M280" s="6" t="s">
        <v>94</v>
      </c>
      <c r="N280" s="6" t="s">
        <v>94</v>
      </c>
      <c r="O280" s="6" t="s">
        <v>131</v>
      </c>
      <c r="P280" s="6" t="s">
        <v>104</v>
      </c>
      <c r="Q280" s="6" t="s">
        <v>338</v>
      </c>
      <c r="R280" s="6" t="s">
        <v>282</v>
      </c>
      <c r="S280" s="6" t="str">
        <f>VLOOKUP(R280,Customer_Mapping!A:B,2,FALSE)</f>
        <v>Customer_001</v>
      </c>
      <c r="T280" s="6" t="s">
        <v>283</v>
      </c>
      <c r="U280" s="6" t="s">
        <v>648</v>
      </c>
      <c r="V280" s="6" t="s">
        <v>301</v>
      </c>
      <c r="W280" s="6" t="str">
        <f>IF(U280="","",IFERROR(_xlfn.XLOOKUP(U280,Mapping!$A:$A,Mapping!$B:$B),""))</f>
        <v>Project_035</v>
      </c>
      <c r="X280" s="6" t="str">
        <f>IF(V280="","",IFERROR(_xlfn.XLOOKUP(V280,Mapping!$A:$A,Mapping!$B:$B),""))</f>
        <v>Project_004</v>
      </c>
      <c r="Y280" s="6" t="s">
        <v>286</v>
      </c>
      <c r="Z280" s="6" t="s">
        <v>94</v>
      </c>
    </row>
    <row r="281" spans="1:26">
      <c r="A281" s="12">
        <v>280</v>
      </c>
      <c r="B281" s="6" t="s">
        <v>1157</v>
      </c>
      <c r="C281" s="6" t="s">
        <v>1158</v>
      </c>
      <c r="D281" s="6" t="s">
        <v>86</v>
      </c>
      <c r="E281" s="7">
        <v>43335</v>
      </c>
      <c r="F281" s="6" t="s">
        <v>111</v>
      </c>
      <c r="G281" s="6" t="s">
        <v>107</v>
      </c>
      <c r="H281" s="6" t="s">
        <v>1159</v>
      </c>
      <c r="I281" s="6" t="s">
        <v>90</v>
      </c>
      <c r="J281" s="6" t="s">
        <v>91</v>
      </c>
      <c r="K281" s="6" t="s">
        <v>92</v>
      </c>
      <c r="L281" s="6" t="s">
        <v>90</v>
      </c>
      <c r="M281" s="6" t="s">
        <v>103</v>
      </c>
      <c r="N281" s="6" t="s">
        <v>122</v>
      </c>
      <c r="O281" s="6" t="s">
        <v>103</v>
      </c>
      <c r="P281" s="6" t="s">
        <v>95</v>
      </c>
      <c r="Q281" s="6" t="s">
        <v>418</v>
      </c>
      <c r="R281" s="6" t="s">
        <v>652</v>
      </c>
      <c r="S281" s="6" t="str">
        <f>VLOOKUP(R281,Customer_Mapping!A:B,2,FALSE)</f>
        <v>Customer_018</v>
      </c>
      <c r="T281" s="6" t="s">
        <v>283</v>
      </c>
      <c r="U281" s="6" t="s">
        <v>339</v>
      </c>
      <c r="V281" s="6" t="s">
        <v>648</v>
      </c>
      <c r="W281" s="6" t="str">
        <f>IF(U281="","",IFERROR(_xlfn.XLOOKUP(U281,Mapping!$A:$A,Mapping!$B:$B),""))</f>
        <v>Project_012</v>
      </c>
      <c r="X281" s="6" t="str">
        <f>IF(V281="","",IFERROR(_xlfn.XLOOKUP(V281,Mapping!$A:$A,Mapping!$B:$B),""))</f>
        <v>Project_035</v>
      </c>
      <c r="Y281" s="6" t="s">
        <v>286</v>
      </c>
      <c r="Z281" s="6" t="s">
        <v>103</v>
      </c>
    </row>
    <row r="282" spans="1:26">
      <c r="A282" s="12">
        <v>281</v>
      </c>
      <c r="B282" s="6" t="s">
        <v>1160</v>
      </c>
      <c r="C282" s="6" t="s">
        <v>1161</v>
      </c>
      <c r="D282" s="6" t="s">
        <v>86</v>
      </c>
      <c r="E282" s="7">
        <v>42963</v>
      </c>
      <c r="F282" s="6" t="s">
        <v>111</v>
      </c>
      <c r="G282" s="6" t="s">
        <v>146</v>
      </c>
      <c r="H282" s="6" t="s">
        <v>1162</v>
      </c>
      <c r="I282" s="6" t="s">
        <v>90</v>
      </c>
      <c r="J282" s="6" t="s">
        <v>91</v>
      </c>
      <c r="K282" s="6" t="s">
        <v>92</v>
      </c>
      <c r="L282" s="6" t="s">
        <v>90</v>
      </c>
      <c r="M282" s="6" t="s">
        <v>103</v>
      </c>
      <c r="N282" s="6" t="s">
        <v>122</v>
      </c>
      <c r="O282" s="6" t="s">
        <v>184</v>
      </c>
      <c r="P282" s="6" t="s">
        <v>104</v>
      </c>
      <c r="Q282" s="6" t="s">
        <v>418</v>
      </c>
      <c r="R282" s="6" t="s">
        <v>334</v>
      </c>
      <c r="S282" s="6" t="str">
        <f>VLOOKUP(R282,Customer_Mapping!A:B,2,FALSE)</f>
        <v>Customer_009</v>
      </c>
      <c r="T282" s="6" t="s">
        <v>335</v>
      </c>
      <c r="U282" s="6" t="s">
        <v>301</v>
      </c>
      <c r="V282" s="6" t="s">
        <v>339</v>
      </c>
      <c r="W282" s="6" t="str">
        <f>IF(U282="","",IFERROR(_xlfn.XLOOKUP(U282,Mapping!$A:$A,Mapping!$B:$B),""))</f>
        <v>Project_004</v>
      </c>
      <c r="X282" s="6" t="str">
        <f>IF(V282="","",IFERROR(_xlfn.XLOOKUP(V282,Mapping!$A:$A,Mapping!$B:$B),""))</f>
        <v>Project_012</v>
      </c>
      <c r="Y282" s="6" t="s">
        <v>286</v>
      </c>
      <c r="Z282" s="6" t="s">
        <v>103</v>
      </c>
    </row>
    <row r="283" spans="1:26">
      <c r="A283" s="12">
        <v>282</v>
      </c>
      <c r="B283" s="6" t="s">
        <v>1163</v>
      </c>
      <c r="C283" s="6" t="s">
        <v>1164</v>
      </c>
      <c r="D283" s="6" t="s">
        <v>86</v>
      </c>
      <c r="E283" s="7">
        <v>46158</v>
      </c>
      <c r="F283" s="6" t="s">
        <v>337</v>
      </c>
      <c r="G283" s="6" t="s">
        <v>94</v>
      </c>
      <c r="H283" s="6" t="s">
        <v>94</v>
      </c>
      <c r="I283" s="6" t="s">
        <v>90</v>
      </c>
      <c r="J283" s="6" t="s">
        <v>91</v>
      </c>
      <c r="K283" s="6" t="s">
        <v>92</v>
      </c>
      <c r="L283" s="6" t="s">
        <v>90</v>
      </c>
      <c r="M283" s="6" t="s">
        <v>94</v>
      </c>
      <c r="N283" s="6" t="s">
        <v>94</v>
      </c>
      <c r="O283" s="6" t="s">
        <v>131</v>
      </c>
      <c r="P283" s="6" t="s">
        <v>104</v>
      </c>
      <c r="Q283" s="6" t="s">
        <v>338</v>
      </c>
      <c r="R283" s="6" t="s">
        <v>282</v>
      </c>
      <c r="S283" s="6" t="str">
        <f>VLOOKUP(R283,Customer_Mapping!A:B,2,FALSE)</f>
        <v>Customer_001</v>
      </c>
      <c r="T283" s="6" t="s">
        <v>283</v>
      </c>
      <c r="U283" s="6" t="s">
        <v>348</v>
      </c>
      <c r="V283" s="6" t="s">
        <v>301</v>
      </c>
      <c r="W283" s="6" t="str">
        <f>IF(U283="","",IFERROR(_xlfn.XLOOKUP(U283,Mapping!$A:$A,Mapping!$B:$B),""))</f>
        <v>Project_014</v>
      </c>
      <c r="X283" s="6" t="str">
        <f>IF(V283="","",IFERROR(_xlfn.XLOOKUP(V283,Mapping!$A:$A,Mapping!$B:$B),""))</f>
        <v>Project_004</v>
      </c>
      <c r="Y283" s="6" t="s">
        <v>286</v>
      </c>
      <c r="Z283" s="6" t="s">
        <v>94</v>
      </c>
    </row>
    <row r="284" spans="1:26">
      <c r="A284" s="12">
        <v>283</v>
      </c>
      <c r="B284" s="6" t="s">
        <v>1165</v>
      </c>
      <c r="C284" s="6" t="s">
        <v>1166</v>
      </c>
      <c r="D284" s="6" t="s">
        <v>86</v>
      </c>
      <c r="E284" s="7">
        <v>43359</v>
      </c>
      <c r="F284" s="6" t="s">
        <v>14</v>
      </c>
      <c r="G284" s="6" t="s">
        <v>120</v>
      </c>
      <c r="H284" s="6" t="s">
        <v>1167</v>
      </c>
      <c r="I284" s="6" t="s">
        <v>90</v>
      </c>
      <c r="J284" s="6" t="s">
        <v>91</v>
      </c>
      <c r="K284" s="6" t="s">
        <v>92</v>
      </c>
      <c r="L284" s="6" t="s">
        <v>90</v>
      </c>
      <c r="M284" s="6" t="s">
        <v>117</v>
      </c>
      <c r="N284" s="6" t="s">
        <v>94</v>
      </c>
      <c r="O284" s="6" t="s">
        <v>184</v>
      </c>
      <c r="P284" s="6" t="s">
        <v>104</v>
      </c>
      <c r="Q284" s="6" t="s">
        <v>422</v>
      </c>
      <c r="R284" s="6" t="s">
        <v>351</v>
      </c>
      <c r="S284" s="6" t="str">
        <f>VLOOKUP(R284,Customer_Mapping!A:B,2,FALSE)</f>
        <v>Customer_010</v>
      </c>
      <c r="T284" s="6" t="s">
        <v>283</v>
      </c>
      <c r="U284" s="6" t="s">
        <v>348</v>
      </c>
      <c r="V284" s="6" t="s">
        <v>348</v>
      </c>
      <c r="W284" s="6" t="str">
        <f>IF(U284="","",IFERROR(_xlfn.XLOOKUP(U284,Mapping!$A:$A,Mapping!$B:$B),""))</f>
        <v>Project_014</v>
      </c>
      <c r="X284" s="6" t="str">
        <f>IF(V284="","",IFERROR(_xlfn.XLOOKUP(V284,Mapping!$A:$A,Mapping!$B:$B),""))</f>
        <v>Project_014</v>
      </c>
      <c r="Y284" s="6" t="s">
        <v>286</v>
      </c>
      <c r="Z284" s="6" t="s">
        <v>117</v>
      </c>
    </row>
    <row r="285" spans="1:26">
      <c r="A285" s="12">
        <v>284</v>
      </c>
      <c r="B285" s="6" t="s">
        <v>1168</v>
      </c>
      <c r="C285" s="6" t="s">
        <v>1169</v>
      </c>
      <c r="D285" s="6" t="s">
        <v>86</v>
      </c>
      <c r="E285" s="7">
        <v>45558</v>
      </c>
      <c r="F285" s="6" t="s">
        <v>288</v>
      </c>
      <c r="G285" s="6" t="s">
        <v>94</v>
      </c>
      <c r="H285" s="6" t="s">
        <v>1170</v>
      </c>
      <c r="I285" s="6" t="s">
        <v>90</v>
      </c>
      <c r="J285" s="6" t="s">
        <v>91</v>
      </c>
      <c r="K285" s="6" t="s">
        <v>92</v>
      </c>
      <c r="L285" s="6" t="s">
        <v>90</v>
      </c>
      <c r="M285" s="6" t="s">
        <v>94</v>
      </c>
      <c r="N285" s="6" t="s">
        <v>94</v>
      </c>
      <c r="O285" s="6" t="s">
        <v>550</v>
      </c>
      <c r="P285" s="6" t="s">
        <v>95</v>
      </c>
      <c r="Q285" s="6" t="s">
        <v>291</v>
      </c>
      <c r="R285" s="6" t="s">
        <v>351</v>
      </c>
      <c r="S285" s="6" t="str">
        <f>VLOOKUP(R285,Customer_Mapping!A:B,2,FALSE)</f>
        <v>Customer_010</v>
      </c>
      <c r="T285" s="6" t="s">
        <v>283</v>
      </c>
      <c r="U285" s="6" t="s">
        <v>1171</v>
      </c>
      <c r="V285" s="6" t="s">
        <v>348</v>
      </c>
      <c r="W285" s="6" t="str">
        <f>IF(U285="","",IFERROR(_xlfn.XLOOKUP(U285,Mapping!$A:$A,Mapping!$B:$B),""))</f>
        <v>Project_047</v>
      </c>
      <c r="X285" s="6" t="str">
        <f>IF(V285="","",IFERROR(_xlfn.XLOOKUP(V285,Mapping!$A:$A,Mapping!$B:$B),""))</f>
        <v>Project_014</v>
      </c>
      <c r="Y285" s="6" t="s">
        <v>286</v>
      </c>
      <c r="Z285" s="6" t="s">
        <v>94</v>
      </c>
    </row>
    <row r="286" spans="1:26">
      <c r="A286" s="12">
        <v>285</v>
      </c>
      <c r="B286" s="6" t="s">
        <v>1172</v>
      </c>
      <c r="C286" s="6" t="s">
        <v>1173</v>
      </c>
      <c r="D286" s="6" t="s">
        <v>86</v>
      </c>
      <c r="E286" s="7">
        <v>41919</v>
      </c>
      <c r="F286" s="6" t="s">
        <v>1174</v>
      </c>
      <c r="G286" s="6" t="s">
        <v>182</v>
      </c>
      <c r="H286" s="6" t="s">
        <v>1175</v>
      </c>
      <c r="I286" s="6" t="s">
        <v>90</v>
      </c>
      <c r="J286" s="6" t="s">
        <v>91</v>
      </c>
      <c r="K286" s="6" t="s">
        <v>92</v>
      </c>
      <c r="L286" s="6" t="s">
        <v>90</v>
      </c>
      <c r="M286" s="6" t="s">
        <v>93</v>
      </c>
      <c r="N286" s="6" t="s">
        <v>122</v>
      </c>
      <c r="O286" s="6" t="s">
        <v>93</v>
      </c>
      <c r="P286" s="6" t="s">
        <v>122</v>
      </c>
      <c r="Q286" s="6" t="s">
        <v>1176</v>
      </c>
      <c r="R286" s="6" t="s">
        <v>446</v>
      </c>
      <c r="S286" s="6" t="e">
        <f>VLOOKUP(R286,Customer_Mapping!A:B,2,FALSE)</f>
        <v>#N/A</v>
      </c>
      <c r="T286" s="6" t="s">
        <v>774</v>
      </c>
      <c r="U286" s="6" t="s">
        <v>1177</v>
      </c>
      <c r="V286" s="6" t="s">
        <v>1171</v>
      </c>
      <c r="W286" s="6" t="str">
        <f>IF(U286="","",IFERROR(_xlfn.XLOOKUP(U286,Mapping!$A:$A,Mapping!$B:$B),""))</f>
        <v>Project_048</v>
      </c>
      <c r="X286" s="6" t="str">
        <f>IF(V286="","",IFERROR(_xlfn.XLOOKUP(V286,Mapping!$A:$A,Mapping!$B:$B),""))</f>
        <v>Project_047</v>
      </c>
      <c r="Y286" s="6" t="s">
        <v>448</v>
      </c>
      <c r="Z286" s="6" t="s">
        <v>93</v>
      </c>
    </row>
    <row r="287" spans="1:26">
      <c r="A287" s="12">
        <v>286</v>
      </c>
      <c r="B287" s="6" t="s">
        <v>1178</v>
      </c>
      <c r="C287" s="6" t="s">
        <v>1179</v>
      </c>
      <c r="D287" s="6" t="s">
        <v>86</v>
      </c>
      <c r="E287" s="7">
        <v>43497</v>
      </c>
      <c r="F287" s="6" t="s">
        <v>406</v>
      </c>
      <c r="G287" s="6" t="s">
        <v>420</v>
      </c>
      <c r="H287" s="6" t="s">
        <v>1180</v>
      </c>
      <c r="I287" s="6" t="s">
        <v>213</v>
      </c>
      <c r="J287" s="6" t="s">
        <v>91</v>
      </c>
      <c r="K287" s="6" t="s">
        <v>92</v>
      </c>
      <c r="L287" s="6" t="s">
        <v>213</v>
      </c>
      <c r="M287" s="6" t="s">
        <v>346</v>
      </c>
      <c r="N287" s="6" t="s">
        <v>94</v>
      </c>
      <c r="O287" s="6" t="s">
        <v>346</v>
      </c>
      <c r="P287" s="6" t="s">
        <v>417</v>
      </c>
      <c r="Q287" s="6" t="s">
        <v>409</v>
      </c>
      <c r="R287" s="6" t="s">
        <v>446</v>
      </c>
      <c r="S287" s="6" t="e">
        <f>VLOOKUP(R287,Customer_Mapping!A:B,2,FALSE)</f>
        <v>#N/A</v>
      </c>
      <c r="T287" s="6" t="s">
        <v>1181</v>
      </c>
      <c r="U287" s="6" t="s">
        <v>305</v>
      </c>
      <c r="V287" s="6" t="s">
        <v>1177</v>
      </c>
      <c r="W287" s="6" t="str">
        <f>IF(U287="","",IFERROR(_xlfn.XLOOKUP(U287,Mapping!$A:$A,Mapping!$B:$B),""))</f>
        <v>Project_005</v>
      </c>
      <c r="X287" s="6" t="str">
        <f>IF(V287="","",IFERROR(_xlfn.XLOOKUP(V287,Mapping!$A:$A,Mapping!$B:$B),""))</f>
        <v>Project_048</v>
      </c>
      <c r="Y287" s="6" t="s">
        <v>448</v>
      </c>
      <c r="Z287" s="6" t="s">
        <v>346</v>
      </c>
    </row>
    <row r="288" spans="1:26">
      <c r="A288" s="12">
        <v>287</v>
      </c>
      <c r="B288" s="6" t="s">
        <v>1182</v>
      </c>
      <c r="C288" s="6" t="s">
        <v>1183</v>
      </c>
      <c r="D288" s="6" t="s">
        <v>86</v>
      </c>
      <c r="E288" s="7">
        <v>45246</v>
      </c>
      <c r="F288" s="6" t="s">
        <v>204</v>
      </c>
      <c r="G288" s="6" t="s">
        <v>134</v>
      </c>
      <c r="H288" s="6" t="s">
        <v>1184</v>
      </c>
      <c r="I288" s="6" t="s">
        <v>90</v>
      </c>
      <c r="J288" s="6" t="s">
        <v>91</v>
      </c>
      <c r="K288" s="6" t="s">
        <v>92</v>
      </c>
      <c r="L288" s="6" t="s">
        <v>90</v>
      </c>
      <c r="M288" s="6" t="s">
        <v>94</v>
      </c>
      <c r="N288" s="6" t="s">
        <v>94</v>
      </c>
      <c r="O288" s="6" t="s">
        <v>43</v>
      </c>
      <c r="P288" s="6" t="s">
        <v>104</v>
      </c>
      <c r="Q288" s="6" t="s">
        <v>403</v>
      </c>
      <c r="R288" s="6" t="s">
        <v>308</v>
      </c>
      <c r="S288" s="6" t="str">
        <f>VLOOKUP(R288,Customer_Mapping!A:B,2,FALSE)</f>
        <v>Customer_004</v>
      </c>
      <c r="T288" s="6" t="s">
        <v>283</v>
      </c>
      <c r="U288" s="6" t="s">
        <v>387</v>
      </c>
      <c r="V288" s="6" t="s">
        <v>305</v>
      </c>
      <c r="W288" s="6" t="str">
        <f>IF(U288="","",IFERROR(_xlfn.XLOOKUP(U288,Mapping!$A:$A,Mapping!$B:$B),""))</f>
        <v>Project_020</v>
      </c>
      <c r="X288" s="6" t="str">
        <f>IF(V288="","",IFERROR(_xlfn.XLOOKUP(V288,Mapping!$A:$A,Mapping!$B:$B),""))</f>
        <v>Project_005</v>
      </c>
      <c r="Y288" s="6" t="s">
        <v>286</v>
      </c>
      <c r="Z288" s="6" t="s">
        <v>94</v>
      </c>
    </row>
    <row r="289" spans="1:26">
      <c r="A289" s="12">
        <v>288</v>
      </c>
      <c r="B289" s="6" t="s">
        <v>1185</v>
      </c>
      <c r="C289" s="6" t="s">
        <v>1186</v>
      </c>
      <c r="D289" s="6" t="s">
        <v>86</v>
      </c>
      <c r="E289" s="7">
        <v>44271</v>
      </c>
      <c r="F289" s="6" t="s">
        <v>732</v>
      </c>
      <c r="G289" s="6" t="s">
        <v>120</v>
      </c>
      <c r="H289" s="6" t="s">
        <v>1187</v>
      </c>
      <c r="I289" s="6" t="s">
        <v>90</v>
      </c>
      <c r="J289" s="6" t="s">
        <v>91</v>
      </c>
      <c r="K289" s="6" t="s">
        <v>92</v>
      </c>
      <c r="L289" s="6" t="s">
        <v>90</v>
      </c>
      <c r="M289" s="6" t="s">
        <v>43</v>
      </c>
      <c r="N289" s="6" t="s">
        <v>104</v>
      </c>
      <c r="O289" s="6" t="s">
        <v>43</v>
      </c>
      <c r="P289" s="6" t="s">
        <v>104</v>
      </c>
      <c r="Q289" s="6" t="s">
        <v>734</v>
      </c>
      <c r="R289" s="6" t="s">
        <v>391</v>
      </c>
      <c r="S289" s="6" t="str">
        <f>VLOOKUP(R289,Customer_Mapping!A:B,2,FALSE)</f>
        <v>Customer_014</v>
      </c>
      <c r="T289" s="6" t="s">
        <v>386</v>
      </c>
      <c r="U289" s="6" t="s">
        <v>285</v>
      </c>
      <c r="V289" s="6" t="s">
        <v>387</v>
      </c>
      <c r="W289" s="6" t="str">
        <f>IF(U289="","",IFERROR(_xlfn.XLOOKUP(U289,Mapping!$A:$A,Mapping!$B:$B),""))</f>
        <v>Project_017</v>
      </c>
      <c r="X289" s="6" t="str">
        <f>IF(V289="","",IFERROR(_xlfn.XLOOKUP(V289,Mapping!$A:$A,Mapping!$B:$B),""))</f>
        <v>Project_020</v>
      </c>
      <c r="Y289" s="6" t="s">
        <v>286</v>
      </c>
      <c r="Z289" s="6" t="s">
        <v>43</v>
      </c>
    </row>
    <row r="290" spans="1:26">
      <c r="A290" s="12">
        <v>289</v>
      </c>
      <c r="B290" s="6" t="s">
        <v>1188</v>
      </c>
      <c r="C290" s="6" t="s">
        <v>1189</v>
      </c>
      <c r="D290" s="6" t="s">
        <v>86</v>
      </c>
      <c r="E290" s="7">
        <v>45711</v>
      </c>
      <c r="F290" s="6" t="s">
        <v>4</v>
      </c>
      <c r="G290" s="6" t="s">
        <v>182</v>
      </c>
      <c r="H290" s="6" t="s">
        <v>1190</v>
      </c>
      <c r="I290" s="6" t="s">
        <v>90</v>
      </c>
      <c r="J290" s="6" t="s">
        <v>91</v>
      </c>
      <c r="K290" s="6" t="s">
        <v>92</v>
      </c>
      <c r="L290" s="6" t="s">
        <v>90</v>
      </c>
      <c r="M290" s="6" t="s">
        <v>93</v>
      </c>
      <c r="N290" s="6" t="s">
        <v>94</v>
      </c>
      <c r="O290" s="6" t="s">
        <v>93</v>
      </c>
      <c r="P290" s="6" t="s">
        <v>122</v>
      </c>
      <c r="Q290" s="6" t="s">
        <v>399</v>
      </c>
      <c r="R290" s="6" t="s">
        <v>282</v>
      </c>
      <c r="S290" s="6" t="str">
        <f>VLOOKUP(R290,Customer_Mapping!A:B,2,FALSE)</f>
        <v>Customer_001</v>
      </c>
      <c r="T290" s="6" t="s">
        <v>283</v>
      </c>
      <c r="U290" s="6" t="s">
        <v>387</v>
      </c>
      <c r="V290" s="6" t="s">
        <v>285</v>
      </c>
      <c r="W290" s="6" t="str">
        <f>IF(U290="","",IFERROR(_xlfn.XLOOKUP(U290,Mapping!$A:$A,Mapping!$B:$B),""))</f>
        <v>Project_020</v>
      </c>
      <c r="X290" s="6" t="str">
        <f>IF(V290="","",IFERROR(_xlfn.XLOOKUP(V290,Mapping!$A:$A,Mapping!$B:$B),""))</f>
        <v>Project_017</v>
      </c>
      <c r="Y290" s="6" t="s">
        <v>286</v>
      </c>
      <c r="Z290" s="6" t="s">
        <v>93</v>
      </c>
    </row>
    <row r="291" spans="1:26">
      <c r="A291" s="12">
        <v>290</v>
      </c>
      <c r="B291" s="6" t="s">
        <v>1191</v>
      </c>
      <c r="C291" s="6" t="s">
        <v>1192</v>
      </c>
      <c r="D291" s="6" t="s">
        <v>86</v>
      </c>
      <c r="E291" s="7">
        <v>45123</v>
      </c>
      <c r="F291" s="6" t="s">
        <v>111</v>
      </c>
      <c r="G291" s="6" t="s">
        <v>389</v>
      </c>
      <c r="H291" s="6" t="s">
        <v>1193</v>
      </c>
      <c r="I291" s="6" t="s">
        <v>90</v>
      </c>
      <c r="J291" s="6" t="s">
        <v>91</v>
      </c>
      <c r="K291" s="6" t="s">
        <v>92</v>
      </c>
      <c r="L291" s="6" t="s">
        <v>90</v>
      </c>
      <c r="M291" s="6" t="s">
        <v>131</v>
      </c>
      <c r="N291" s="6" t="s">
        <v>95</v>
      </c>
      <c r="O291" s="6" t="s">
        <v>131</v>
      </c>
      <c r="P291" s="6" t="s">
        <v>95</v>
      </c>
      <c r="Q291" s="6" t="s">
        <v>281</v>
      </c>
      <c r="R291" s="6" t="s">
        <v>391</v>
      </c>
      <c r="S291" s="6" t="str">
        <f>VLOOKUP(R291,Customer_Mapping!A:B,2,FALSE)</f>
        <v>Customer_014</v>
      </c>
      <c r="T291" s="6" t="s">
        <v>386</v>
      </c>
      <c r="U291" s="6" t="s">
        <v>348</v>
      </c>
      <c r="V291" s="6" t="s">
        <v>387</v>
      </c>
      <c r="W291" s="6" t="str">
        <f>IF(U291="","",IFERROR(_xlfn.XLOOKUP(U291,Mapping!$A:$A,Mapping!$B:$B),""))</f>
        <v>Project_014</v>
      </c>
      <c r="X291" s="6" t="str">
        <f>IF(V291="","",IFERROR(_xlfn.XLOOKUP(V291,Mapping!$A:$A,Mapping!$B:$B),""))</f>
        <v>Project_020</v>
      </c>
      <c r="Y291" s="6" t="s">
        <v>286</v>
      </c>
      <c r="Z291" s="6" t="s">
        <v>131</v>
      </c>
    </row>
    <row r="292" spans="1:26">
      <c r="A292" s="12">
        <v>291</v>
      </c>
      <c r="B292" s="6" t="s">
        <v>1194</v>
      </c>
      <c r="C292" s="6" t="s">
        <v>1195</v>
      </c>
      <c r="D292" s="6" t="s">
        <v>86</v>
      </c>
      <c r="E292" s="7">
        <v>44332</v>
      </c>
      <c r="F292" s="6" t="s">
        <v>204</v>
      </c>
      <c r="G292" s="6" t="s">
        <v>252</v>
      </c>
      <c r="H292" s="6" t="s">
        <v>1196</v>
      </c>
      <c r="I292" s="6" t="s">
        <v>90</v>
      </c>
      <c r="J292" s="6" t="s">
        <v>91</v>
      </c>
      <c r="K292" s="6" t="s">
        <v>92</v>
      </c>
      <c r="L292" s="6" t="s">
        <v>90</v>
      </c>
      <c r="M292" s="6" t="s">
        <v>43</v>
      </c>
      <c r="N292" s="6" t="s">
        <v>122</v>
      </c>
      <c r="O292" s="6" t="s">
        <v>43</v>
      </c>
      <c r="P292" s="6" t="s">
        <v>104</v>
      </c>
      <c r="Q292" s="6" t="s">
        <v>403</v>
      </c>
      <c r="R292" s="6" t="s">
        <v>351</v>
      </c>
      <c r="S292" s="6" t="str">
        <f>VLOOKUP(R292,Customer_Mapping!A:B,2,FALSE)</f>
        <v>Customer_010</v>
      </c>
      <c r="T292" s="6" t="s">
        <v>283</v>
      </c>
      <c r="U292" s="6" t="s">
        <v>305</v>
      </c>
      <c r="V292" s="6" t="s">
        <v>348</v>
      </c>
      <c r="W292" s="6" t="str">
        <f>IF(U292="","",IFERROR(_xlfn.XLOOKUP(U292,Mapping!$A:$A,Mapping!$B:$B),""))</f>
        <v>Project_005</v>
      </c>
      <c r="X292" s="6" t="str">
        <f>IF(V292="","",IFERROR(_xlfn.XLOOKUP(V292,Mapping!$A:$A,Mapping!$B:$B),""))</f>
        <v>Project_014</v>
      </c>
      <c r="Y292" s="6" t="s">
        <v>286</v>
      </c>
      <c r="Z292" s="6" t="s">
        <v>43</v>
      </c>
    </row>
    <row r="293" spans="1:26">
      <c r="A293" s="12">
        <v>292</v>
      </c>
      <c r="B293" s="6" t="s">
        <v>1197</v>
      </c>
      <c r="C293" s="6" t="s">
        <v>1198</v>
      </c>
      <c r="D293" s="6" t="s">
        <v>86</v>
      </c>
      <c r="E293" s="7">
        <v>43297</v>
      </c>
      <c r="F293" s="6" t="s">
        <v>889</v>
      </c>
      <c r="G293" s="6" t="s">
        <v>151</v>
      </c>
      <c r="H293" s="6" t="s">
        <v>1199</v>
      </c>
      <c r="I293" s="6" t="s">
        <v>90</v>
      </c>
      <c r="J293" s="6" t="s">
        <v>91</v>
      </c>
      <c r="K293" s="6" t="s">
        <v>92</v>
      </c>
      <c r="L293" s="6" t="s">
        <v>90</v>
      </c>
      <c r="M293" s="6" t="s">
        <v>131</v>
      </c>
      <c r="N293" s="6" t="s">
        <v>94</v>
      </c>
      <c r="O293" s="6" t="s">
        <v>313</v>
      </c>
      <c r="P293" s="6" t="s">
        <v>122</v>
      </c>
      <c r="Q293" s="6" t="s">
        <v>891</v>
      </c>
      <c r="R293" s="6" t="s">
        <v>308</v>
      </c>
      <c r="S293" s="6" t="str">
        <f>VLOOKUP(R293,Customer_Mapping!A:B,2,FALSE)</f>
        <v>Customer_004</v>
      </c>
      <c r="T293" s="6" t="s">
        <v>283</v>
      </c>
      <c r="U293" s="6" t="s">
        <v>348</v>
      </c>
      <c r="V293" s="6" t="s">
        <v>305</v>
      </c>
      <c r="W293" s="6" t="str">
        <f>IF(U293="","",IFERROR(_xlfn.XLOOKUP(U293,Mapping!$A:$A,Mapping!$B:$B),""))</f>
        <v>Project_014</v>
      </c>
      <c r="X293" s="6" t="str">
        <f>IF(V293="","",IFERROR(_xlfn.XLOOKUP(V293,Mapping!$A:$A,Mapping!$B:$B),""))</f>
        <v>Project_005</v>
      </c>
      <c r="Y293" s="6" t="s">
        <v>286</v>
      </c>
      <c r="Z293" s="6" t="s">
        <v>131</v>
      </c>
    </row>
    <row r="294" spans="1:26">
      <c r="A294" s="12">
        <v>293</v>
      </c>
      <c r="B294" s="6" t="s">
        <v>1200</v>
      </c>
      <c r="C294" s="6" t="s">
        <v>1201</v>
      </c>
      <c r="D294" s="6" t="s">
        <v>86</v>
      </c>
      <c r="E294" s="7">
        <v>46014</v>
      </c>
      <c r="F294" s="6" t="s">
        <v>100</v>
      </c>
      <c r="G294" s="6" t="s">
        <v>94</v>
      </c>
      <c r="H294" s="6" t="s">
        <v>94</v>
      </c>
      <c r="I294" s="6" t="s">
        <v>90</v>
      </c>
      <c r="J294" s="6" t="s">
        <v>91</v>
      </c>
      <c r="K294" s="6" t="s">
        <v>92</v>
      </c>
      <c r="L294" s="6" t="s">
        <v>90</v>
      </c>
      <c r="M294" s="6" t="s">
        <v>94</v>
      </c>
      <c r="N294" s="6" t="s">
        <v>94</v>
      </c>
      <c r="O294" s="6" t="s">
        <v>93</v>
      </c>
      <c r="P294" s="6" t="s">
        <v>95</v>
      </c>
      <c r="Q294" s="6" t="s">
        <v>304</v>
      </c>
      <c r="R294" s="6" t="s">
        <v>351</v>
      </c>
      <c r="S294" s="6" t="str">
        <f>VLOOKUP(R294,Customer_Mapping!A:B,2,FALSE)</f>
        <v>Customer_010</v>
      </c>
      <c r="T294" s="6" t="s">
        <v>283</v>
      </c>
      <c r="U294" s="6" t="s">
        <v>298</v>
      </c>
      <c r="V294" s="6" t="s">
        <v>348</v>
      </c>
      <c r="W294" s="6" t="str">
        <f>IF(U294="","",IFERROR(_xlfn.XLOOKUP(U294,Mapping!$A:$A,Mapping!$B:$B),""))</f>
        <v>Project_003</v>
      </c>
      <c r="X294" s="6" t="str">
        <f>IF(V294="","",IFERROR(_xlfn.XLOOKUP(V294,Mapping!$A:$A,Mapping!$B:$B),""))</f>
        <v>Project_014</v>
      </c>
      <c r="Y294" s="6" t="s">
        <v>286</v>
      </c>
      <c r="Z294" s="6" t="s">
        <v>94</v>
      </c>
    </row>
    <row r="295" spans="1:26">
      <c r="A295" s="12">
        <v>294</v>
      </c>
      <c r="B295" s="6" t="s">
        <v>1202</v>
      </c>
      <c r="C295" s="6" t="s">
        <v>1203</v>
      </c>
      <c r="D295" s="6" t="s">
        <v>86</v>
      </c>
      <c r="E295" s="7">
        <v>44958</v>
      </c>
      <c r="F295" s="6" t="s">
        <v>87</v>
      </c>
      <c r="G295" s="6" t="s">
        <v>88</v>
      </c>
      <c r="H295" s="6" t="s">
        <v>89</v>
      </c>
      <c r="I295" s="6" t="s">
        <v>90</v>
      </c>
      <c r="J295" s="6" t="s">
        <v>91</v>
      </c>
      <c r="K295" s="6" t="s">
        <v>92</v>
      </c>
      <c r="L295" s="6" t="s">
        <v>90</v>
      </c>
      <c r="M295" s="6" t="s">
        <v>93</v>
      </c>
      <c r="N295" s="6" t="s">
        <v>94</v>
      </c>
      <c r="O295" s="6" t="s">
        <v>93</v>
      </c>
      <c r="P295" s="6" t="s">
        <v>95</v>
      </c>
      <c r="Q295" s="6" t="s">
        <v>490</v>
      </c>
      <c r="R295" s="6" t="s">
        <v>300</v>
      </c>
      <c r="S295" s="6" t="str">
        <f>VLOOKUP(R295,Customer_Mapping!A:B,2,FALSE)</f>
        <v>Customer_003</v>
      </c>
      <c r="T295" s="6" t="s">
        <v>283</v>
      </c>
      <c r="U295" s="6" t="s">
        <v>653</v>
      </c>
      <c r="V295" s="6" t="s">
        <v>298</v>
      </c>
      <c r="W295" s="6" t="str">
        <f>IF(U295="","",IFERROR(_xlfn.XLOOKUP(U295,Mapping!$A:$A,Mapping!$B:$B),""))</f>
        <v>Project_036</v>
      </c>
      <c r="X295" s="6" t="str">
        <f>IF(V295="","",IFERROR(_xlfn.XLOOKUP(V295,Mapping!$A:$A,Mapping!$B:$B),""))</f>
        <v>Project_003</v>
      </c>
      <c r="Y295" s="6" t="s">
        <v>286</v>
      </c>
      <c r="Z295" s="6" t="s">
        <v>93</v>
      </c>
    </row>
    <row r="296" spans="1:26">
      <c r="A296" s="12">
        <v>295</v>
      </c>
      <c r="B296" s="6" t="s">
        <v>1204</v>
      </c>
      <c r="C296" s="6" t="s">
        <v>1205</v>
      </c>
      <c r="D296" s="6" t="s">
        <v>86</v>
      </c>
      <c r="E296" s="7">
        <v>45001</v>
      </c>
      <c r="F296" s="6" t="s">
        <v>4</v>
      </c>
      <c r="G296" s="6" t="s">
        <v>311</v>
      </c>
      <c r="H296" s="6" t="s">
        <v>1206</v>
      </c>
      <c r="I296" s="6" t="s">
        <v>90</v>
      </c>
      <c r="J296" s="6" t="s">
        <v>91</v>
      </c>
      <c r="K296" s="6" t="s">
        <v>92</v>
      </c>
      <c r="L296" s="6" t="s">
        <v>90</v>
      </c>
      <c r="M296" s="6" t="s">
        <v>93</v>
      </c>
      <c r="N296" s="6" t="s">
        <v>94</v>
      </c>
      <c r="O296" s="6" t="s">
        <v>93</v>
      </c>
      <c r="P296" s="6" t="s">
        <v>122</v>
      </c>
      <c r="Q296" s="6" t="s">
        <v>399</v>
      </c>
      <c r="R296" s="6" t="s">
        <v>334</v>
      </c>
      <c r="S296" s="6" t="str">
        <f>VLOOKUP(R296,Customer_Mapping!A:B,2,FALSE)</f>
        <v>Customer_009</v>
      </c>
      <c r="T296" s="6" t="s">
        <v>335</v>
      </c>
      <c r="U296" s="6" t="s">
        <v>94</v>
      </c>
      <c r="V296" s="6" t="s">
        <v>653</v>
      </c>
      <c r="W296" s="6" t="str">
        <f>IF(U296="","",IFERROR(_xlfn.XLOOKUP(U296,Mapping!$A:$A,Mapping!$B:$B),""))</f>
        <v/>
      </c>
      <c r="X296" s="6" t="str">
        <f>IF(V296="","",IFERROR(_xlfn.XLOOKUP(V296,Mapping!$A:$A,Mapping!$B:$B),""))</f>
        <v>Project_036</v>
      </c>
      <c r="Y296" s="6" t="s">
        <v>286</v>
      </c>
      <c r="Z296" s="6" t="s">
        <v>93</v>
      </c>
    </row>
    <row r="297" spans="1:26">
      <c r="A297" s="12">
        <v>296</v>
      </c>
      <c r="B297" s="6" t="s">
        <v>1207</v>
      </c>
      <c r="C297" s="6" t="s">
        <v>1208</v>
      </c>
      <c r="D297" s="6" t="s">
        <v>86</v>
      </c>
      <c r="E297" s="7">
        <v>40288</v>
      </c>
      <c r="F297" s="6" t="s">
        <v>87</v>
      </c>
      <c r="G297" s="6" t="s">
        <v>182</v>
      </c>
      <c r="H297" s="6" t="s">
        <v>1209</v>
      </c>
      <c r="I297" s="6" t="s">
        <v>90</v>
      </c>
      <c r="J297" s="6" t="s">
        <v>91</v>
      </c>
      <c r="K297" s="6" t="s">
        <v>92</v>
      </c>
      <c r="L297" s="6" t="s">
        <v>90</v>
      </c>
      <c r="M297" s="6" t="s">
        <v>93</v>
      </c>
      <c r="N297" s="6" t="s">
        <v>94</v>
      </c>
      <c r="O297" s="6" t="s">
        <v>93</v>
      </c>
      <c r="P297" s="6" t="s">
        <v>104</v>
      </c>
      <c r="Q297" s="6" t="s">
        <v>490</v>
      </c>
      <c r="R297" s="6" t="s">
        <v>94</v>
      </c>
      <c r="S297" s="6" t="e">
        <f>VLOOKUP(R297,Customer_Mapping!A:B,2,FALSE)</f>
        <v>#N/A</v>
      </c>
      <c r="T297" s="6" t="s">
        <v>94</v>
      </c>
      <c r="U297" s="6" t="s">
        <v>387</v>
      </c>
      <c r="V297" s="6" t="s">
        <v>94</v>
      </c>
      <c r="W297" s="6" t="str">
        <f>IF(U297="","",IFERROR(_xlfn.XLOOKUP(U297,Mapping!$A:$A,Mapping!$B:$B),""))</f>
        <v>Project_020</v>
      </c>
      <c r="X297" s="6" t="str">
        <f>IF(V297="","",IFERROR(_xlfn.XLOOKUP(V297,Mapping!$A:$A,Mapping!$B:$B),""))</f>
        <v/>
      </c>
      <c r="Y297" s="6" t="s">
        <v>94</v>
      </c>
      <c r="Z297" s="6" t="s">
        <v>93</v>
      </c>
    </row>
    <row r="298" spans="1:26">
      <c r="A298" s="12">
        <v>297</v>
      </c>
      <c r="B298" s="6" t="s">
        <v>1210</v>
      </c>
      <c r="C298" s="6" t="s">
        <v>1211</v>
      </c>
      <c r="D298" s="6" t="s">
        <v>86</v>
      </c>
      <c r="E298" s="7">
        <v>45307</v>
      </c>
      <c r="F298" s="6" t="s">
        <v>1212</v>
      </c>
      <c r="G298" s="6" t="s">
        <v>622</v>
      </c>
      <c r="H298" s="6" t="s">
        <v>1213</v>
      </c>
      <c r="I298" s="6" t="s">
        <v>90</v>
      </c>
      <c r="J298" s="6" t="s">
        <v>91</v>
      </c>
      <c r="K298" s="6" t="s">
        <v>92</v>
      </c>
      <c r="L298" s="6" t="s">
        <v>90</v>
      </c>
      <c r="M298" s="6" t="s">
        <v>94</v>
      </c>
      <c r="N298" s="6" t="s">
        <v>94</v>
      </c>
      <c r="O298" s="6" t="s">
        <v>43</v>
      </c>
      <c r="P298" s="6" t="s">
        <v>104</v>
      </c>
      <c r="Q298" s="6" t="s">
        <v>1214</v>
      </c>
      <c r="R298" s="6" t="s">
        <v>391</v>
      </c>
      <c r="S298" s="6" t="str">
        <f>VLOOKUP(R298,Customer_Mapping!A:B,2,FALSE)</f>
        <v>Customer_014</v>
      </c>
      <c r="T298" s="6" t="s">
        <v>386</v>
      </c>
      <c r="U298" s="6" t="s">
        <v>387</v>
      </c>
      <c r="V298" s="6" t="s">
        <v>387</v>
      </c>
      <c r="W298" s="6" t="str">
        <f>IF(U298="","",IFERROR(_xlfn.XLOOKUP(U298,Mapping!$A:$A,Mapping!$B:$B),""))</f>
        <v>Project_020</v>
      </c>
      <c r="X298" s="6" t="str">
        <f>IF(V298="","",IFERROR(_xlfn.XLOOKUP(V298,Mapping!$A:$A,Mapping!$B:$B),""))</f>
        <v>Project_020</v>
      </c>
      <c r="Y298" s="6" t="s">
        <v>286</v>
      </c>
      <c r="Z298" s="6" t="s">
        <v>94</v>
      </c>
    </row>
    <row r="299" spans="1:26">
      <c r="A299" s="12">
        <v>298</v>
      </c>
      <c r="B299" s="6" t="s">
        <v>1215</v>
      </c>
      <c r="C299" s="6" t="s">
        <v>1216</v>
      </c>
      <c r="D299" s="6" t="s">
        <v>86</v>
      </c>
      <c r="E299" s="7">
        <v>45093</v>
      </c>
      <c r="F299" s="6" t="s">
        <v>26</v>
      </c>
      <c r="G299" s="6" t="s">
        <v>344</v>
      </c>
      <c r="H299" s="6" t="s">
        <v>1217</v>
      </c>
      <c r="I299" s="6" t="s">
        <v>90</v>
      </c>
      <c r="J299" s="6" t="s">
        <v>91</v>
      </c>
      <c r="K299" s="6" t="s">
        <v>92</v>
      </c>
      <c r="L299" s="6" t="s">
        <v>90</v>
      </c>
      <c r="M299" s="6" t="s">
        <v>27</v>
      </c>
      <c r="N299" s="6" t="s">
        <v>104</v>
      </c>
      <c r="O299" s="6" t="s">
        <v>27</v>
      </c>
      <c r="P299" s="6" t="s">
        <v>95</v>
      </c>
      <c r="Q299" s="6" t="s">
        <v>296</v>
      </c>
      <c r="R299" s="6" t="s">
        <v>391</v>
      </c>
      <c r="S299" s="6" t="str">
        <f>VLOOKUP(R299,Customer_Mapping!A:B,2,FALSE)</f>
        <v>Customer_014</v>
      </c>
      <c r="T299" s="6" t="s">
        <v>386</v>
      </c>
      <c r="U299" s="6" t="s">
        <v>341</v>
      </c>
      <c r="V299" s="6" t="s">
        <v>387</v>
      </c>
      <c r="W299" s="6" t="str">
        <f>IF(U299="","",IFERROR(_xlfn.XLOOKUP(U299,Mapping!$A:$A,Mapping!$B:$B),""))</f>
        <v>Project_013</v>
      </c>
      <c r="X299" s="6" t="str">
        <f>IF(V299="","",IFERROR(_xlfn.XLOOKUP(V299,Mapping!$A:$A,Mapping!$B:$B),""))</f>
        <v>Project_020</v>
      </c>
      <c r="Y299" s="6" t="s">
        <v>286</v>
      </c>
      <c r="Z299" s="6" t="s">
        <v>27</v>
      </c>
    </row>
    <row r="300" spans="1:26">
      <c r="A300" s="12">
        <v>299</v>
      </c>
      <c r="B300" s="6" t="s">
        <v>1218</v>
      </c>
      <c r="C300" s="6" t="s">
        <v>1219</v>
      </c>
      <c r="D300" s="6" t="s">
        <v>86</v>
      </c>
      <c r="E300" s="7">
        <v>45876</v>
      </c>
      <c r="F300" s="6" t="s">
        <v>337</v>
      </c>
      <c r="G300" s="6" t="s">
        <v>94</v>
      </c>
      <c r="H300" s="6" t="s">
        <v>1220</v>
      </c>
      <c r="I300" s="6" t="s">
        <v>90</v>
      </c>
      <c r="J300" s="6" t="s">
        <v>91</v>
      </c>
      <c r="K300" s="6" t="s">
        <v>92</v>
      </c>
      <c r="L300" s="6" t="s">
        <v>90</v>
      </c>
      <c r="M300" s="6" t="s">
        <v>94</v>
      </c>
      <c r="N300" s="6" t="s">
        <v>94</v>
      </c>
      <c r="O300" s="6" t="s">
        <v>131</v>
      </c>
      <c r="P300" s="6" t="s">
        <v>104</v>
      </c>
      <c r="Q300" s="6" t="s">
        <v>338</v>
      </c>
      <c r="R300" s="6" t="s">
        <v>282</v>
      </c>
      <c r="S300" s="6" t="str">
        <f>VLOOKUP(R300,Customer_Mapping!A:B,2,FALSE)</f>
        <v>Customer_001</v>
      </c>
      <c r="T300" s="6" t="s">
        <v>283</v>
      </c>
      <c r="U300" s="6" t="s">
        <v>679</v>
      </c>
      <c r="V300" s="6" t="s">
        <v>341</v>
      </c>
      <c r="W300" s="6" t="str">
        <f>IF(U300="","",IFERROR(_xlfn.XLOOKUP(U300,Mapping!$A:$A,Mapping!$B:$B),""))</f>
        <v>Project_038</v>
      </c>
      <c r="X300" s="6" t="str">
        <f>IF(V300="","",IFERROR(_xlfn.XLOOKUP(V300,Mapping!$A:$A,Mapping!$B:$B),""))</f>
        <v>Project_013</v>
      </c>
      <c r="Y300" s="6" t="s">
        <v>286</v>
      </c>
      <c r="Z300" s="6" t="s">
        <v>94</v>
      </c>
    </row>
    <row r="301" spans="1:26">
      <c r="A301" s="12">
        <v>300</v>
      </c>
      <c r="B301" s="6" t="s">
        <v>1221</v>
      </c>
      <c r="C301" s="6" t="s">
        <v>1222</v>
      </c>
      <c r="D301" s="6" t="s">
        <v>86</v>
      </c>
      <c r="E301" s="7">
        <v>44568</v>
      </c>
      <c r="F301" s="6" t="s">
        <v>111</v>
      </c>
      <c r="G301" s="6" t="s">
        <v>1223</v>
      </c>
      <c r="H301" s="6" t="s">
        <v>1224</v>
      </c>
      <c r="I301" s="6" t="s">
        <v>90</v>
      </c>
      <c r="J301" s="6" t="s">
        <v>91</v>
      </c>
      <c r="K301" s="6" t="s">
        <v>92</v>
      </c>
      <c r="L301" s="6" t="s">
        <v>90</v>
      </c>
      <c r="M301" s="6" t="s">
        <v>103</v>
      </c>
      <c r="N301" s="6" t="s">
        <v>94</v>
      </c>
      <c r="O301" s="6" t="s">
        <v>584</v>
      </c>
      <c r="P301" s="6" t="s">
        <v>95</v>
      </c>
      <c r="Q301" s="6" t="s">
        <v>281</v>
      </c>
      <c r="R301" s="6" t="s">
        <v>282</v>
      </c>
      <c r="S301" s="6" t="str">
        <f>VLOOKUP(R301,Customer_Mapping!A:B,2,FALSE)</f>
        <v>Customer_001</v>
      </c>
      <c r="T301" s="6" t="s">
        <v>283</v>
      </c>
      <c r="U301" s="6" t="s">
        <v>348</v>
      </c>
      <c r="V301" s="6" t="s">
        <v>679</v>
      </c>
      <c r="W301" s="6" t="str">
        <f>IF(U301="","",IFERROR(_xlfn.XLOOKUP(U301,Mapping!$A:$A,Mapping!$B:$B),""))</f>
        <v>Project_014</v>
      </c>
      <c r="X301" s="6" t="str">
        <f>IF(V301="","",IFERROR(_xlfn.XLOOKUP(V301,Mapping!$A:$A,Mapping!$B:$B),""))</f>
        <v>Project_038</v>
      </c>
      <c r="Y301" s="6" t="s">
        <v>286</v>
      </c>
      <c r="Z301" s="6" t="s">
        <v>103</v>
      </c>
    </row>
    <row r="302" spans="1:26">
      <c r="A302" s="12">
        <v>301</v>
      </c>
      <c r="B302" s="6" t="s">
        <v>1225</v>
      </c>
      <c r="C302" s="6" t="s">
        <v>1226</v>
      </c>
      <c r="D302" s="6" t="s">
        <v>86</v>
      </c>
      <c r="E302" s="7">
        <v>42589</v>
      </c>
      <c r="F302" s="6" t="s">
        <v>204</v>
      </c>
      <c r="G302" s="6" t="s">
        <v>1227</v>
      </c>
      <c r="H302" s="6" t="s">
        <v>1228</v>
      </c>
      <c r="I302" s="6" t="s">
        <v>90</v>
      </c>
      <c r="J302" s="6" t="s">
        <v>91</v>
      </c>
      <c r="K302" s="6" t="s">
        <v>92</v>
      </c>
      <c r="L302" s="6" t="s">
        <v>90</v>
      </c>
      <c r="M302" s="6" t="s">
        <v>43</v>
      </c>
      <c r="N302" s="6" t="s">
        <v>122</v>
      </c>
      <c r="O302" s="6" t="s">
        <v>43</v>
      </c>
      <c r="P302" s="6" t="s">
        <v>104</v>
      </c>
      <c r="Q302" s="6" t="s">
        <v>321</v>
      </c>
      <c r="R302" s="6" t="s">
        <v>351</v>
      </c>
      <c r="S302" s="6" t="str">
        <f>VLOOKUP(R302,Customer_Mapping!A:B,2,FALSE)</f>
        <v>Customer_010</v>
      </c>
      <c r="T302" s="6" t="s">
        <v>283</v>
      </c>
      <c r="U302" s="6" t="s">
        <v>771</v>
      </c>
      <c r="V302" s="6" t="s">
        <v>348</v>
      </c>
      <c r="W302" s="6" t="str">
        <f>IF(U302="","",IFERROR(_xlfn.XLOOKUP(U302,Mapping!$A:$A,Mapping!$B:$B),""))</f>
        <v>Project_041</v>
      </c>
      <c r="X302" s="6" t="str">
        <f>IF(V302="","",IFERROR(_xlfn.XLOOKUP(V302,Mapping!$A:$A,Mapping!$B:$B),""))</f>
        <v>Project_014</v>
      </c>
      <c r="Y302" s="6" t="s">
        <v>286</v>
      </c>
      <c r="Z302" s="6" t="s">
        <v>43</v>
      </c>
    </row>
    <row r="303" spans="1:26">
      <c r="A303" s="12">
        <v>302</v>
      </c>
      <c r="B303" s="6" t="s">
        <v>1229</v>
      </c>
      <c r="C303" s="6" t="s">
        <v>1230</v>
      </c>
      <c r="D303" s="6" t="s">
        <v>86</v>
      </c>
      <c r="E303" s="7">
        <v>46029</v>
      </c>
      <c r="F303" s="6" t="s">
        <v>155</v>
      </c>
      <c r="G303" s="6" t="s">
        <v>94</v>
      </c>
      <c r="H303" s="6" t="s">
        <v>1231</v>
      </c>
      <c r="I303" s="6" t="s">
        <v>213</v>
      </c>
      <c r="J303" s="6" t="s">
        <v>91</v>
      </c>
      <c r="K303" s="6" t="s">
        <v>92</v>
      </c>
      <c r="L303" s="6" t="s">
        <v>213</v>
      </c>
      <c r="M303" s="6" t="s">
        <v>94</v>
      </c>
      <c r="N303" s="6" t="s">
        <v>94</v>
      </c>
      <c r="O303" s="6" t="s">
        <v>27</v>
      </c>
      <c r="P303" s="6" t="s">
        <v>104</v>
      </c>
      <c r="Q303" s="6" t="s">
        <v>369</v>
      </c>
      <c r="R303" s="6" t="s">
        <v>446</v>
      </c>
      <c r="S303" s="6" t="e">
        <f>VLOOKUP(R303,Customer_Mapping!A:B,2,FALSE)</f>
        <v>#N/A</v>
      </c>
      <c r="T303" s="6" t="s">
        <v>774</v>
      </c>
      <c r="U303" s="6" t="s">
        <v>284</v>
      </c>
      <c r="V303" s="6" t="s">
        <v>771</v>
      </c>
      <c r="W303" s="6" t="str">
        <f>IF(U303="","",IFERROR(_xlfn.XLOOKUP(U303,Mapping!$A:$A,Mapping!$B:$B),""))</f>
        <v>Project_001</v>
      </c>
      <c r="X303" s="6" t="str">
        <f>IF(V303="","",IFERROR(_xlfn.XLOOKUP(V303,Mapping!$A:$A,Mapping!$B:$B),""))</f>
        <v>Project_041</v>
      </c>
      <c r="Y303" s="6" t="s">
        <v>448</v>
      </c>
      <c r="Z303" s="6" t="s">
        <v>94</v>
      </c>
    </row>
    <row r="304" spans="1:26">
      <c r="A304" s="12">
        <v>303</v>
      </c>
      <c r="B304" s="6" t="s">
        <v>1232</v>
      </c>
      <c r="C304" s="6" t="s">
        <v>1233</v>
      </c>
      <c r="D304" s="6" t="s">
        <v>86</v>
      </c>
      <c r="E304" s="7">
        <v>46069</v>
      </c>
      <c r="F304" s="6" t="s">
        <v>337</v>
      </c>
      <c r="G304" s="6" t="s">
        <v>94</v>
      </c>
      <c r="H304" s="6" t="s">
        <v>1234</v>
      </c>
      <c r="I304" s="6" t="s">
        <v>90</v>
      </c>
      <c r="J304" s="6" t="s">
        <v>91</v>
      </c>
      <c r="K304" s="6" t="s">
        <v>92</v>
      </c>
      <c r="L304" s="6" t="s">
        <v>90</v>
      </c>
      <c r="M304" s="6" t="s">
        <v>94</v>
      </c>
      <c r="N304" s="6" t="s">
        <v>94</v>
      </c>
      <c r="O304" s="6" t="s">
        <v>131</v>
      </c>
      <c r="P304" s="6" t="s">
        <v>104</v>
      </c>
      <c r="Q304" s="6" t="s">
        <v>338</v>
      </c>
      <c r="R304" s="6" t="s">
        <v>282</v>
      </c>
      <c r="S304" s="6" t="str">
        <f>VLOOKUP(R304,Customer_Mapping!A:B,2,FALSE)</f>
        <v>Customer_001</v>
      </c>
      <c r="T304" s="6" t="s">
        <v>283</v>
      </c>
      <c r="U304" s="6" t="s">
        <v>501</v>
      </c>
      <c r="V304" s="6" t="s">
        <v>284</v>
      </c>
      <c r="W304" s="6" t="str">
        <f>IF(U304="","",IFERROR(_xlfn.XLOOKUP(U304,Mapping!$A:$A,Mapping!$B:$B),""))</f>
        <v>Project_029</v>
      </c>
      <c r="X304" s="6" t="str">
        <f>IF(V304="","",IFERROR(_xlfn.XLOOKUP(V304,Mapping!$A:$A,Mapping!$B:$B),""))</f>
        <v>Project_001</v>
      </c>
      <c r="Y304" s="6" t="s">
        <v>286</v>
      </c>
      <c r="Z304" s="6" t="s">
        <v>94</v>
      </c>
    </row>
    <row r="305" spans="1:26">
      <c r="A305" s="12">
        <v>304</v>
      </c>
      <c r="B305" s="6" t="s">
        <v>1235</v>
      </c>
      <c r="C305" s="6" t="s">
        <v>1236</v>
      </c>
      <c r="D305" s="6" t="s">
        <v>86</v>
      </c>
      <c r="E305" s="7">
        <v>45489</v>
      </c>
      <c r="F305" s="6" t="s">
        <v>288</v>
      </c>
      <c r="G305" s="6" t="s">
        <v>94</v>
      </c>
      <c r="H305" s="6" t="s">
        <v>1237</v>
      </c>
      <c r="I305" s="6" t="s">
        <v>90</v>
      </c>
      <c r="J305" s="6" t="s">
        <v>91</v>
      </c>
      <c r="K305" s="6" t="s">
        <v>92</v>
      </c>
      <c r="L305" s="6" t="s">
        <v>90</v>
      </c>
      <c r="M305" s="6" t="s">
        <v>94</v>
      </c>
      <c r="N305" s="6" t="s">
        <v>94</v>
      </c>
      <c r="O305" s="6" t="s">
        <v>136</v>
      </c>
      <c r="P305" s="6" t="s">
        <v>104</v>
      </c>
      <c r="Q305" s="6" t="s">
        <v>291</v>
      </c>
      <c r="R305" s="6" t="s">
        <v>334</v>
      </c>
      <c r="S305" s="6" t="str">
        <f>VLOOKUP(R305,Customer_Mapping!A:B,2,FALSE)</f>
        <v>Customer_009</v>
      </c>
      <c r="T305" s="6" t="s">
        <v>335</v>
      </c>
      <c r="U305" s="6" t="s">
        <v>392</v>
      </c>
      <c r="V305" s="6" t="s">
        <v>501</v>
      </c>
      <c r="W305" s="6" t="str">
        <f>IF(U305="","",IFERROR(_xlfn.XLOOKUP(U305,Mapping!$A:$A,Mapping!$B:$B),""))</f>
        <v>Project_021</v>
      </c>
      <c r="X305" s="6" t="str">
        <f>IF(V305="","",IFERROR(_xlfn.XLOOKUP(V305,Mapping!$A:$A,Mapping!$B:$B),""))</f>
        <v>Project_029</v>
      </c>
      <c r="Y305" s="6" t="s">
        <v>286</v>
      </c>
      <c r="Z305" s="6" t="s">
        <v>94</v>
      </c>
    </row>
    <row r="306" spans="1:26">
      <c r="A306" s="12">
        <v>305</v>
      </c>
      <c r="B306" s="6" t="s">
        <v>1238</v>
      </c>
      <c r="C306" s="6" t="s">
        <v>1239</v>
      </c>
      <c r="D306" s="6" t="s">
        <v>86</v>
      </c>
      <c r="E306" s="7">
        <v>45267</v>
      </c>
      <c r="F306" s="6" t="s">
        <v>204</v>
      </c>
      <c r="G306" s="6" t="s">
        <v>134</v>
      </c>
      <c r="H306" s="6" t="s">
        <v>135</v>
      </c>
      <c r="I306" s="6" t="s">
        <v>90</v>
      </c>
      <c r="J306" s="6" t="s">
        <v>91</v>
      </c>
      <c r="K306" s="6" t="s">
        <v>92</v>
      </c>
      <c r="L306" s="6" t="s">
        <v>90</v>
      </c>
      <c r="M306" s="6" t="s">
        <v>94</v>
      </c>
      <c r="N306" s="6" t="s">
        <v>94</v>
      </c>
      <c r="O306" s="6" t="s">
        <v>43</v>
      </c>
      <c r="P306" s="6" t="s">
        <v>95</v>
      </c>
      <c r="Q306" s="6" t="s">
        <v>403</v>
      </c>
      <c r="R306" s="6" t="s">
        <v>282</v>
      </c>
      <c r="S306" s="6" t="str">
        <f>VLOOKUP(R306,Customer_Mapping!A:B,2,FALSE)</f>
        <v>Customer_001</v>
      </c>
      <c r="T306" s="6" t="s">
        <v>283</v>
      </c>
      <c r="U306" s="6" t="s">
        <v>373</v>
      </c>
      <c r="V306" s="6" t="s">
        <v>392</v>
      </c>
      <c r="W306" s="6" t="str">
        <f>IF(U306="","",IFERROR(_xlfn.XLOOKUP(U306,Mapping!$A:$A,Mapping!$B:$B),""))</f>
        <v>Project_016</v>
      </c>
      <c r="X306" s="6" t="str">
        <f>IF(V306="","",IFERROR(_xlfn.XLOOKUP(V306,Mapping!$A:$A,Mapping!$B:$B),""))</f>
        <v>Project_021</v>
      </c>
      <c r="Y306" s="6" t="s">
        <v>286</v>
      </c>
      <c r="Z306" s="6" t="s">
        <v>94</v>
      </c>
    </row>
    <row r="307" spans="1:26">
      <c r="A307" s="12">
        <v>306</v>
      </c>
      <c r="B307" s="6" t="s">
        <v>1240</v>
      </c>
      <c r="C307" s="6" t="s">
        <v>1241</v>
      </c>
      <c r="D307" s="6" t="s">
        <v>86</v>
      </c>
      <c r="E307" s="7">
        <v>45222</v>
      </c>
      <c r="F307" s="6" t="s">
        <v>111</v>
      </c>
      <c r="G307" s="6" t="s">
        <v>175</v>
      </c>
      <c r="H307" s="6" t="s">
        <v>1242</v>
      </c>
      <c r="I307" s="6" t="s">
        <v>90</v>
      </c>
      <c r="J307" s="6" t="s">
        <v>91</v>
      </c>
      <c r="K307" s="6" t="s">
        <v>92</v>
      </c>
      <c r="L307" s="6" t="s">
        <v>90</v>
      </c>
      <c r="M307" s="6" t="s">
        <v>131</v>
      </c>
      <c r="N307" s="6" t="s">
        <v>95</v>
      </c>
      <c r="O307" s="6" t="s">
        <v>131</v>
      </c>
      <c r="P307" s="6" t="s">
        <v>122</v>
      </c>
      <c r="Q307" s="6" t="s">
        <v>281</v>
      </c>
      <c r="R307" s="6" t="s">
        <v>334</v>
      </c>
      <c r="S307" s="6" t="str">
        <f>VLOOKUP(R307,Customer_Mapping!A:B,2,FALSE)</f>
        <v>Customer_009</v>
      </c>
      <c r="T307" s="6" t="s">
        <v>335</v>
      </c>
      <c r="U307" s="6" t="s">
        <v>373</v>
      </c>
      <c r="V307" s="6" t="s">
        <v>373</v>
      </c>
      <c r="W307" s="6" t="str">
        <f>IF(U307="","",IFERROR(_xlfn.XLOOKUP(U307,Mapping!$A:$A,Mapping!$B:$B),""))</f>
        <v>Project_016</v>
      </c>
      <c r="X307" s="6" t="str">
        <f>IF(V307="","",IFERROR(_xlfn.XLOOKUP(V307,Mapping!$A:$A,Mapping!$B:$B),""))</f>
        <v>Project_016</v>
      </c>
      <c r="Y307" s="6" t="s">
        <v>286</v>
      </c>
      <c r="Z307" s="6" t="s">
        <v>131</v>
      </c>
    </row>
    <row r="308" spans="1:26">
      <c r="A308" s="12">
        <v>307</v>
      </c>
      <c r="B308" s="6" t="s">
        <v>1243</v>
      </c>
      <c r="C308" s="6" t="s">
        <v>1244</v>
      </c>
      <c r="D308" s="6" t="s">
        <v>86</v>
      </c>
      <c r="E308" s="7">
        <v>45084</v>
      </c>
      <c r="F308" s="6" t="s">
        <v>111</v>
      </c>
      <c r="G308" s="6" t="s">
        <v>107</v>
      </c>
      <c r="H308" s="6" t="s">
        <v>1245</v>
      </c>
      <c r="I308" s="6" t="s">
        <v>90</v>
      </c>
      <c r="J308" s="6" t="s">
        <v>91</v>
      </c>
      <c r="K308" s="6" t="s">
        <v>92</v>
      </c>
      <c r="L308" s="6" t="s">
        <v>90</v>
      </c>
      <c r="M308" s="6" t="s">
        <v>136</v>
      </c>
      <c r="N308" s="6" t="s">
        <v>95</v>
      </c>
      <c r="O308" s="6" t="s">
        <v>131</v>
      </c>
      <c r="P308" s="6" t="s">
        <v>122</v>
      </c>
      <c r="Q308" s="6" t="s">
        <v>281</v>
      </c>
      <c r="R308" s="6" t="s">
        <v>334</v>
      </c>
      <c r="S308" s="6" t="str">
        <f>VLOOKUP(R308,Customer_Mapping!A:B,2,FALSE)</f>
        <v>Customer_009</v>
      </c>
      <c r="T308" s="6" t="s">
        <v>335</v>
      </c>
      <c r="U308" s="6" t="s">
        <v>468</v>
      </c>
      <c r="V308" s="6" t="s">
        <v>373</v>
      </c>
      <c r="W308" s="6" t="str">
        <f>IF(U308="","",IFERROR(_xlfn.XLOOKUP(U308,Mapping!$A:$A,Mapping!$B:$B),""))</f>
        <v>Project_027</v>
      </c>
      <c r="X308" s="6" t="str">
        <f>IF(V308="","",IFERROR(_xlfn.XLOOKUP(V308,Mapping!$A:$A,Mapping!$B:$B),""))</f>
        <v>Project_016</v>
      </c>
      <c r="Y308" s="6" t="s">
        <v>286</v>
      </c>
      <c r="Z308" s="6" t="s">
        <v>136</v>
      </c>
    </row>
    <row r="309" spans="1:26">
      <c r="A309" s="12">
        <v>308</v>
      </c>
      <c r="B309" s="6" t="s">
        <v>1246</v>
      </c>
      <c r="C309" s="6" t="s">
        <v>1247</v>
      </c>
      <c r="D309" s="6" t="s">
        <v>86</v>
      </c>
      <c r="E309" s="7">
        <v>45861</v>
      </c>
      <c r="F309" s="6" t="s">
        <v>111</v>
      </c>
      <c r="G309" s="6" t="s">
        <v>94</v>
      </c>
      <c r="H309" s="6" t="s">
        <v>94</v>
      </c>
      <c r="I309" s="6" t="s">
        <v>90</v>
      </c>
      <c r="J309" s="6" t="s">
        <v>91</v>
      </c>
      <c r="K309" s="6" t="s">
        <v>92</v>
      </c>
      <c r="L309" s="6" t="s">
        <v>90</v>
      </c>
      <c r="M309" s="6" t="s">
        <v>94</v>
      </c>
      <c r="N309" s="6" t="s">
        <v>94</v>
      </c>
      <c r="O309" s="6" t="s">
        <v>131</v>
      </c>
      <c r="P309" s="6" t="s">
        <v>104</v>
      </c>
      <c r="Q309" s="6" t="s">
        <v>281</v>
      </c>
      <c r="R309" s="6" t="s">
        <v>282</v>
      </c>
      <c r="S309" s="6" t="str">
        <f>VLOOKUP(R309,Customer_Mapping!A:B,2,FALSE)</f>
        <v>Customer_001</v>
      </c>
      <c r="T309" s="6" t="s">
        <v>283</v>
      </c>
      <c r="U309" s="6" t="s">
        <v>387</v>
      </c>
      <c r="V309" s="6" t="s">
        <v>468</v>
      </c>
      <c r="W309" s="6" t="str">
        <f>IF(U309="","",IFERROR(_xlfn.XLOOKUP(U309,Mapping!$A:$A,Mapping!$B:$B),""))</f>
        <v>Project_020</v>
      </c>
      <c r="X309" s="6" t="str">
        <f>IF(V309="","",IFERROR(_xlfn.XLOOKUP(V309,Mapping!$A:$A,Mapping!$B:$B),""))</f>
        <v>Project_027</v>
      </c>
      <c r="Y309" s="6" t="s">
        <v>286</v>
      </c>
      <c r="Z309" s="6" t="s">
        <v>94</v>
      </c>
    </row>
    <row r="310" spans="1:26">
      <c r="A310" s="12">
        <v>309</v>
      </c>
      <c r="B310" s="6" t="s">
        <v>1248</v>
      </c>
      <c r="C310" s="6" t="s">
        <v>1249</v>
      </c>
      <c r="D310" s="6" t="s">
        <v>86</v>
      </c>
      <c r="E310" s="7">
        <v>41898</v>
      </c>
      <c r="F310" s="6" t="s">
        <v>4</v>
      </c>
      <c r="G310" s="6" t="s">
        <v>107</v>
      </c>
      <c r="H310" s="6" t="s">
        <v>1250</v>
      </c>
      <c r="I310" s="6" t="s">
        <v>90</v>
      </c>
      <c r="J310" s="6" t="s">
        <v>91</v>
      </c>
      <c r="K310" s="6" t="s">
        <v>92</v>
      </c>
      <c r="L310" s="6" t="s">
        <v>90</v>
      </c>
      <c r="M310" s="6" t="s">
        <v>131</v>
      </c>
      <c r="N310" s="6" t="s">
        <v>94</v>
      </c>
      <c r="O310" s="6" t="s">
        <v>93</v>
      </c>
      <c r="P310" s="6" t="s">
        <v>95</v>
      </c>
      <c r="Q310" s="6" t="s">
        <v>399</v>
      </c>
      <c r="R310" s="6" t="s">
        <v>391</v>
      </c>
      <c r="S310" s="6" t="str">
        <f>VLOOKUP(R310,Customer_Mapping!A:B,2,FALSE)</f>
        <v>Customer_014</v>
      </c>
      <c r="T310" s="6" t="s">
        <v>386</v>
      </c>
      <c r="U310" s="6" t="s">
        <v>323</v>
      </c>
      <c r="V310" s="6" t="s">
        <v>387</v>
      </c>
      <c r="W310" s="6" t="str">
        <f>IF(U310="","",IFERROR(_xlfn.XLOOKUP(U310,Mapping!$A:$A,Mapping!$B:$B),""))</f>
        <v>Project_009</v>
      </c>
      <c r="X310" s="6" t="str">
        <f>IF(V310="","",IFERROR(_xlfn.XLOOKUP(V310,Mapping!$A:$A,Mapping!$B:$B),""))</f>
        <v>Project_020</v>
      </c>
      <c r="Y310" s="6" t="s">
        <v>286</v>
      </c>
      <c r="Z310" s="6" t="s">
        <v>131</v>
      </c>
    </row>
    <row r="311" spans="1:26">
      <c r="A311" s="12">
        <v>310</v>
      </c>
      <c r="B311" s="6" t="s">
        <v>1251</v>
      </c>
      <c r="C311" s="6" t="s">
        <v>1252</v>
      </c>
      <c r="D311" s="6" t="s">
        <v>86</v>
      </c>
      <c r="E311" s="7">
        <v>44287</v>
      </c>
      <c r="F311" s="6" t="s">
        <v>204</v>
      </c>
      <c r="G311" s="6" t="s">
        <v>120</v>
      </c>
      <c r="H311" s="6" t="s">
        <v>1253</v>
      </c>
      <c r="I311" s="6" t="s">
        <v>90</v>
      </c>
      <c r="J311" s="6" t="s">
        <v>91</v>
      </c>
      <c r="K311" s="6" t="s">
        <v>92</v>
      </c>
      <c r="L311" s="6" t="s">
        <v>90</v>
      </c>
      <c r="M311" s="6" t="s">
        <v>43</v>
      </c>
      <c r="N311" s="6" t="s">
        <v>122</v>
      </c>
      <c r="O311" s="6" t="s">
        <v>43</v>
      </c>
      <c r="P311" s="6" t="s">
        <v>95</v>
      </c>
      <c r="Q311" s="6" t="s">
        <v>321</v>
      </c>
      <c r="R311" s="6" t="s">
        <v>326</v>
      </c>
      <c r="S311" s="6" t="str">
        <f>VLOOKUP(R311,Customer_Mapping!A:B,2,FALSE)</f>
        <v>Customer_007</v>
      </c>
      <c r="T311" s="6" t="s">
        <v>283</v>
      </c>
      <c r="U311" s="6" t="s">
        <v>763</v>
      </c>
      <c r="V311" s="6" t="s">
        <v>323</v>
      </c>
      <c r="W311" s="6" t="str">
        <f>IF(U311="","",IFERROR(_xlfn.XLOOKUP(U311,Mapping!$A:$A,Mapping!$B:$B),""))</f>
        <v>Project_040</v>
      </c>
      <c r="X311" s="6" t="str">
        <f>IF(V311="","",IFERROR(_xlfn.XLOOKUP(V311,Mapping!$A:$A,Mapping!$B:$B),""))</f>
        <v>Project_009</v>
      </c>
      <c r="Y311" s="6" t="s">
        <v>286</v>
      </c>
      <c r="Z311" s="6" t="s">
        <v>43</v>
      </c>
    </row>
    <row r="312" spans="1:26">
      <c r="A312" s="12">
        <v>311</v>
      </c>
      <c r="B312" s="6" t="s">
        <v>1254</v>
      </c>
      <c r="C312" s="6" t="s">
        <v>1255</v>
      </c>
      <c r="D312" s="6" t="s">
        <v>86</v>
      </c>
      <c r="E312" s="7">
        <v>44523</v>
      </c>
      <c r="F312" s="6" t="s">
        <v>425</v>
      </c>
      <c r="G312" s="6" t="s">
        <v>420</v>
      </c>
      <c r="H312" s="6" t="s">
        <v>1256</v>
      </c>
      <c r="I312" s="6" t="s">
        <v>90</v>
      </c>
      <c r="J312" s="6" t="s">
        <v>91</v>
      </c>
      <c r="K312" s="6" t="s">
        <v>92</v>
      </c>
      <c r="L312" s="6" t="s">
        <v>90</v>
      </c>
      <c r="M312" s="6" t="s">
        <v>43</v>
      </c>
      <c r="N312" s="6" t="s">
        <v>94</v>
      </c>
      <c r="O312" s="6" t="s">
        <v>438</v>
      </c>
      <c r="P312" s="6" t="s">
        <v>95</v>
      </c>
      <c r="Q312" s="6" t="s">
        <v>426</v>
      </c>
      <c r="R312" s="6" t="s">
        <v>334</v>
      </c>
      <c r="S312" s="6" t="str">
        <f>VLOOKUP(R312,Customer_Mapping!A:B,2,FALSE)</f>
        <v>Customer_009</v>
      </c>
      <c r="T312" s="6" t="s">
        <v>335</v>
      </c>
      <c r="U312" s="6" t="s">
        <v>575</v>
      </c>
      <c r="V312" s="6" t="s">
        <v>763</v>
      </c>
      <c r="W312" s="6" t="str">
        <f>IF(U312="","",IFERROR(_xlfn.XLOOKUP(U312,Mapping!$A:$A,Mapping!$B:$B),""))</f>
        <v>Project_033</v>
      </c>
      <c r="X312" s="6" t="str">
        <f>IF(V312="","",IFERROR(_xlfn.XLOOKUP(V312,Mapping!$A:$A,Mapping!$B:$B),""))</f>
        <v>Project_040</v>
      </c>
      <c r="Y312" s="6" t="s">
        <v>286</v>
      </c>
      <c r="Z312" s="6" t="s">
        <v>43</v>
      </c>
    </row>
    <row r="313" spans="1:26">
      <c r="A313" s="12">
        <v>312</v>
      </c>
      <c r="B313" s="6" t="s">
        <v>1257</v>
      </c>
      <c r="C313" s="6" t="s">
        <v>1258</v>
      </c>
      <c r="D313" s="6" t="s">
        <v>86</v>
      </c>
      <c r="E313" s="7">
        <v>45108</v>
      </c>
      <c r="F313" s="6" t="s">
        <v>111</v>
      </c>
      <c r="G313" s="6" t="s">
        <v>420</v>
      </c>
      <c r="H313" s="6" t="s">
        <v>1259</v>
      </c>
      <c r="I313" s="6" t="s">
        <v>90</v>
      </c>
      <c r="J313" s="6" t="s">
        <v>91</v>
      </c>
      <c r="K313" s="6" t="s">
        <v>92</v>
      </c>
      <c r="L313" s="6" t="s">
        <v>90</v>
      </c>
      <c r="M313" s="6" t="s">
        <v>136</v>
      </c>
      <c r="N313" s="6" t="s">
        <v>95</v>
      </c>
      <c r="O313" s="6" t="s">
        <v>136</v>
      </c>
      <c r="P313" s="6" t="s">
        <v>122</v>
      </c>
      <c r="Q313" s="6" t="s">
        <v>281</v>
      </c>
      <c r="R313" s="6" t="s">
        <v>282</v>
      </c>
      <c r="S313" s="6" t="str">
        <f>VLOOKUP(R313,Customer_Mapping!A:B,2,FALSE)</f>
        <v>Customer_001</v>
      </c>
      <c r="T313" s="6" t="s">
        <v>283</v>
      </c>
      <c r="U313" s="6" t="s">
        <v>387</v>
      </c>
      <c r="V313" s="6" t="s">
        <v>575</v>
      </c>
      <c r="W313" s="6" t="str">
        <f>IF(U313="","",IFERROR(_xlfn.XLOOKUP(U313,Mapping!$A:$A,Mapping!$B:$B),""))</f>
        <v>Project_020</v>
      </c>
      <c r="X313" s="6" t="str">
        <f>IF(V313="","",IFERROR(_xlfn.XLOOKUP(V313,Mapping!$A:$A,Mapping!$B:$B),""))</f>
        <v>Project_033</v>
      </c>
      <c r="Y313" s="6" t="s">
        <v>286</v>
      </c>
      <c r="Z313" s="6" t="s">
        <v>136</v>
      </c>
    </row>
    <row r="314" spans="1:26">
      <c r="A314" s="12">
        <v>313</v>
      </c>
      <c r="B314" s="6" t="s">
        <v>1260</v>
      </c>
      <c r="C314" s="6" t="s">
        <v>1261</v>
      </c>
      <c r="D314" s="6" t="s">
        <v>86</v>
      </c>
      <c r="E314" s="7">
        <v>46113</v>
      </c>
      <c r="F314" s="6" t="s">
        <v>288</v>
      </c>
      <c r="G314" s="6" t="s">
        <v>94</v>
      </c>
      <c r="H314" s="6" t="s">
        <v>536</v>
      </c>
      <c r="I314" s="6" t="s">
        <v>90</v>
      </c>
      <c r="J314" s="6" t="s">
        <v>91</v>
      </c>
      <c r="K314" s="6" t="s">
        <v>92</v>
      </c>
      <c r="L314" s="6" t="s">
        <v>90</v>
      </c>
      <c r="M314" s="6" t="s">
        <v>94</v>
      </c>
      <c r="N314" s="6" t="s">
        <v>94</v>
      </c>
      <c r="O314" s="6" t="s">
        <v>131</v>
      </c>
      <c r="P314" s="6" t="s">
        <v>95</v>
      </c>
      <c r="Q314" s="6" t="s">
        <v>291</v>
      </c>
      <c r="R314" s="6" t="s">
        <v>391</v>
      </c>
      <c r="S314" s="6" t="str">
        <f>VLOOKUP(R314,Customer_Mapping!A:B,2,FALSE)</f>
        <v>Customer_014</v>
      </c>
      <c r="T314" s="6" t="s">
        <v>386</v>
      </c>
      <c r="U314" s="6" t="s">
        <v>315</v>
      </c>
      <c r="V314" s="6" t="s">
        <v>387</v>
      </c>
      <c r="W314" s="6" t="str">
        <f>IF(U314="","",IFERROR(_xlfn.XLOOKUP(U314,Mapping!$A:$A,Mapping!$B:$B),""))</f>
        <v>Project_007</v>
      </c>
      <c r="X314" s="6" t="str">
        <f>IF(V314="","",IFERROR(_xlfn.XLOOKUP(V314,Mapping!$A:$A,Mapping!$B:$B),""))</f>
        <v>Project_020</v>
      </c>
      <c r="Y314" s="6" t="s">
        <v>286</v>
      </c>
      <c r="Z314" s="6" t="s">
        <v>94</v>
      </c>
    </row>
    <row r="315" spans="1:26">
      <c r="A315" s="12">
        <v>314</v>
      </c>
      <c r="B315" s="6" t="s">
        <v>1262</v>
      </c>
      <c r="C315" s="6" t="s">
        <v>1263</v>
      </c>
      <c r="D315" s="6" t="s">
        <v>86</v>
      </c>
      <c r="E315" s="7">
        <v>43678</v>
      </c>
      <c r="F315" s="6" t="s">
        <v>26</v>
      </c>
      <c r="G315" s="6" t="s">
        <v>151</v>
      </c>
      <c r="H315" s="6" t="s">
        <v>1264</v>
      </c>
      <c r="I315" s="6" t="s">
        <v>90</v>
      </c>
      <c r="J315" s="6" t="s">
        <v>91</v>
      </c>
      <c r="K315" s="6" t="s">
        <v>92</v>
      </c>
      <c r="L315" s="6" t="s">
        <v>90</v>
      </c>
      <c r="M315" s="6" t="s">
        <v>1139</v>
      </c>
      <c r="N315" s="6" t="s">
        <v>95</v>
      </c>
      <c r="O315" s="6" t="s">
        <v>27</v>
      </c>
      <c r="P315" s="6" t="s">
        <v>104</v>
      </c>
      <c r="Q315" s="6" t="s">
        <v>296</v>
      </c>
      <c r="R315" s="6" t="s">
        <v>317</v>
      </c>
      <c r="S315" s="6" t="str">
        <f>VLOOKUP(R315,Customer_Mapping!A:B,2,FALSE)</f>
        <v>Customer_006</v>
      </c>
      <c r="T315" s="6" t="s">
        <v>283</v>
      </c>
      <c r="U315" s="6" t="s">
        <v>486</v>
      </c>
      <c r="V315" s="6" t="s">
        <v>315</v>
      </c>
      <c r="W315" s="6" t="str">
        <f>IF(U315="","",IFERROR(_xlfn.XLOOKUP(U315,Mapping!$A:$A,Mapping!$B:$B),""))</f>
        <v>Project_028</v>
      </c>
      <c r="X315" s="6" t="str">
        <f>IF(V315="","",IFERROR(_xlfn.XLOOKUP(V315,Mapping!$A:$A,Mapping!$B:$B),""))</f>
        <v>Project_007</v>
      </c>
      <c r="Y315" s="6" t="s">
        <v>286</v>
      </c>
      <c r="Z315" s="6" t="s">
        <v>1139</v>
      </c>
    </row>
    <row r="316" spans="1:26">
      <c r="A316" s="12">
        <v>315</v>
      </c>
      <c r="B316" s="6" t="s">
        <v>1265</v>
      </c>
      <c r="C316" s="6" t="s">
        <v>1266</v>
      </c>
      <c r="D316" s="6" t="s">
        <v>86</v>
      </c>
      <c r="E316" s="7">
        <v>45176</v>
      </c>
      <c r="F316" s="6" t="s">
        <v>288</v>
      </c>
      <c r="G316" s="6" t="s">
        <v>389</v>
      </c>
      <c r="H316" s="6" t="s">
        <v>1267</v>
      </c>
      <c r="I316" s="6" t="s">
        <v>90</v>
      </c>
      <c r="J316" s="6" t="s">
        <v>91</v>
      </c>
      <c r="K316" s="6" t="s">
        <v>92</v>
      </c>
      <c r="L316" s="6" t="s">
        <v>90</v>
      </c>
      <c r="M316" s="6" t="s">
        <v>103</v>
      </c>
      <c r="N316" s="6" t="s">
        <v>94</v>
      </c>
      <c r="O316" s="6" t="s">
        <v>103</v>
      </c>
      <c r="P316" s="6" t="s">
        <v>104</v>
      </c>
      <c r="Q316" s="6" t="s">
        <v>291</v>
      </c>
      <c r="R316" s="6" t="s">
        <v>491</v>
      </c>
      <c r="S316" s="6" t="str">
        <f>VLOOKUP(R316,Customer_Mapping!A:B,2,FALSE)</f>
        <v>Customer_015</v>
      </c>
      <c r="T316" s="6" t="s">
        <v>492</v>
      </c>
      <c r="U316" s="6" t="s">
        <v>387</v>
      </c>
      <c r="V316" s="6" t="s">
        <v>486</v>
      </c>
      <c r="W316" s="6" t="str">
        <f>IF(U316="","",IFERROR(_xlfn.XLOOKUP(U316,Mapping!$A:$A,Mapping!$B:$B),""))</f>
        <v>Project_020</v>
      </c>
      <c r="X316" s="6" t="str">
        <f>IF(V316="","",IFERROR(_xlfn.XLOOKUP(V316,Mapping!$A:$A,Mapping!$B:$B),""))</f>
        <v>Project_028</v>
      </c>
      <c r="Y316" s="6" t="s">
        <v>286</v>
      </c>
      <c r="Z316" s="6" t="s">
        <v>103</v>
      </c>
    </row>
    <row r="317" spans="1:26">
      <c r="A317" s="12">
        <v>316</v>
      </c>
      <c r="B317" s="6" t="s">
        <v>1268</v>
      </c>
      <c r="C317" s="6" t="s">
        <v>1269</v>
      </c>
      <c r="D317" s="6" t="s">
        <v>86</v>
      </c>
      <c r="E317" s="7">
        <v>42445</v>
      </c>
      <c r="F317" s="6" t="s">
        <v>4</v>
      </c>
      <c r="G317" s="6" t="s">
        <v>134</v>
      </c>
      <c r="H317" s="6" t="s">
        <v>1270</v>
      </c>
      <c r="I317" s="6" t="s">
        <v>90</v>
      </c>
      <c r="J317" s="6" t="s">
        <v>91</v>
      </c>
      <c r="K317" s="6" t="s">
        <v>92</v>
      </c>
      <c r="L317" s="6" t="s">
        <v>90</v>
      </c>
      <c r="M317" s="6" t="s">
        <v>93</v>
      </c>
      <c r="N317" s="6" t="s">
        <v>104</v>
      </c>
      <c r="O317" s="6" t="s">
        <v>93</v>
      </c>
      <c r="P317" s="6" t="s">
        <v>95</v>
      </c>
      <c r="Q317" s="6" t="s">
        <v>399</v>
      </c>
      <c r="R317" s="6" t="s">
        <v>391</v>
      </c>
      <c r="S317" s="6" t="str">
        <f>VLOOKUP(R317,Customer_Mapping!A:B,2,FALSE)</f>
        <v>Customer_014</v>
      </c>
      <c r="T317" s="6" t="s">
        <v>386</v>
      </c>
      <c r="U317" s="6" t="s">
        <v>318</v>
      </c>
      <c r="V317" s="6" t="s">
        <v>387</v>
      </c>
      <c r="W317" s="6" t="str">
        <f>IF(U317="","",IFERROR(_xlfn.XLOOKUP(U317,Mapping!$A:$A,Mapping!$B:$B),""))</f>
        <v>Project_008</v>
      </c>
      <c r="X317" s="6" t="str">
        <f>IF(V317="","",IFERROR(_xlfn.XLOOKUP(V317,Mapping!$A:$A,Mapping!$B:$B),""))</f>
        <v>Project_020</v>
      </c>
      <c r="Y317" s="6" t="s">
        <v>286</v>
      </c>
      <c r="Z317" s="6" t="s">
        <v>93</v>
      </c>
    </row>
    <row r="318" spans="1:26">
      <c r="A318" s="12">
        <v>317</v>
      </c>
      <c r="B318" s="6" t="s">
        <v>1271</v>
      </c>
      <c r="C318" s="6" t="s">
        <v>1272</v>
      </c>
      <c r="D318" s="6" t="s">
        <v>86</v>
      </c>
      <c r="E318" s="7">
        <v>43359</v>
      </c>
      <c r="F318" s="6" t="s">
        <v>204</v>
      </c>
      <c r="G318" s="6" t="s">
        <v>182</v>
      </c>
      <c r="H318" s="6" t="s">
        <v>1273</v>
      </c>
      <c r="I318" s="6" t="s">
        <v>90</v>
      </c>
      <c r="J318" s="6" t="s">
        <v>91</v>
      </c>
      <c r="K318" s="6" t="s">
        <v>92</v>
      </c>
      <c r="L318" s="6" t="s">
        <v>90</v>
      </c>
      <c r="M318" s="6" t="s">
        <v>43</v>
      </c>
      <c r="N318" s="6" t="s">
        <v>122</v>
      </c>
      <c r="O318" s="6" t="s">
        <v>43</v>
      </c>
      <c r="P318" s="6" t="s">
        <v>104</v>
      </c>
      <c r="Q318" s="6" t="s">
        <v>403</v>
      </c>
      <c r="R318" s="6" t="s">
        <v>308</v>
      </c>
      <c r="S318" s="6" t="str">
        <f>VLOOKUP(R318,Customer_Mapping!A:B,2,FALSE)</f>
        <v>Customer_004</v>
      </c>
      <c r="T318" s="6" t="s">
        <v>283</v>
      </c>
      <c r="U318" s="6" t="s">
        <v>94</v>
      </c>
      <c r="V318" s="6" t="s">
        <v>318</v>
      </c>
      <c r="W318" s="6" t="str">
        <f>IF(U318="","",IFERROR(_xlfn.XLOOKUP(U318,Mapping!$A:$A,Mapping!$B:$B),""))</f>
        <v/>
      </c>
      <c r="X318" s="6" t="str">
        <f>IF(V318="","",IFERROR(_xlfn.XLOOKUP(V318,Mapping!$A:$A,Mapping!$B:$B),""))</f>
        <v>Project_008</v>
      </c>
      <c r="Y318" s="6" t="s">
        <v>286</v>
      </c>
      <c r="Z318" s="6" t="s">
        <v>43</v>
      </c>
    </row>
    <row r="319" spans="1:26">
      <c r="A319" s="12">
        <v>318</v>
      </c>
      <c r="B319" s="6" t="s">
        <v>1274</v>
      </c>
      <c r="C319" s="6" t="s">
        <v>1275</v>
      </c>
      <c r="D319" s="6" t="s">
        <v>86</v>
      </c>
      <c r="E319" s="7">
        <v>44621</v>
      </c>
      <c r="F319" s="6" t="s">
        <v>204</v>
      </c>
      <c r="G319" s="6" t="s">
        <v>101</v>
      </c>
      <c r="H319" s="6" t="s">
        <v>1276</v>
      </c>
      <c r="I319" s="6" t="s">
        <v>90</v>
      </c>
      <c r="J319" s="6" t="s">
        <v>91</v>
      </c>
      <c r="K319" s="6" t="s">
        <v>92</v>
      </c>
      <c r="L319" s="6" t="s">
        <v>90</v>
      </c>
      <c r="M319" s="6" t="s">
        <v>43</v>
      </c>
      <c r="N319" s="6" t="s">
        <v>122</v>
      </c>
      <c r="O319" s="6" t="s">
        <v>43</v>
      </c>
      <c r="P319" s="6" t="s">
        <v>122</v>
      </c>
      <c r="Q319" s="6" t="s">
        <v>403</v>
      </c>
      <c r="R319" s="6" t="s">
        <v>94</v>
      </c>
      <c r="S319" s="6" t="e">
        <f>VLOOKUP(R319,Customer_Mapping!A:B,2,FALSE)</f>
        <v>#N/A</v>
      </c>
      <c r="T319" s="6" t="s">
        <v>94</v>
      </c>
      <c r="U319" s="6" t="s">
        <v>387</v>
      </c>
      <c r="V319" s="6" t="s">
        <v>94</v>
      </c>
      <c r="W319" s="6" t="str">
        <f>IF(U319="","",IFERROR(_xlfn.XLOOKUP(U319,Mapping!$A:$A,Mapping!$B:$B),""))</f>
        <v>Project_020</v>
      </c>
      <c r="X319" s="6" t="str">
        <f>IF(V319="","",IFERROR(_xlfn.XLOOKUP(V319,Mapping!$A:$A,Mapping!$B:$B),""))</f>
        <v/>
      </c>
      <c r="Y319" s="6" t="s">
        <v>94</v>
      </c>
      <c r="Z319" s="6" t="s">
        <v>43</v>
      </c>
    </row>
    <row r="320" spans="1:26">
      <c r="A320" s="12">
        <v>319</v>
      </c>
      <c r="B320" s="6" t="s">
        <v>1277</v>
      </c>
      <c r="C320" s="6" t="s">
        <v>1278</v>
      </c>
      <c r="D320" s="6" t="s">
        <v>86</v>
      </c>
      <c r="E320" s="7">
        <v>43366</v>
      </c>
      <c r="F320" s="6" t="s">
        <v>204</v>
      </c>
      <c r="G320" s="6" t="s">
        <v>126</v>
      </c>
      <c r="H320" s="6" t="s">
        <v>1279</v>
      </c>
      <c r="I320" s="6" t="s">
        <v>90</v>
      </c>
      <c r="J320" s="6" t="s">
        <v>91</v>
      </c>
      <c r="K320" s="6" t="s">
        <v>92</v>
      </c>
      <c r="L320" s="6" t="s">
        <v>90</v>
      </c>
      <c r="M320" s="6" t="s">
        <v>43</v>
      </c>
      <c r="N320" s="6" t="s">
        <v>122</v>
      </c>
      <c r="O320" s="6" t="s">
        <v>43</v>
      </c>
      <c r="P320" s="6" t="s">
        <v>95</v>
      </c>
      <c r="Q320" s="6" t="s">
        <v>403</v>
      </c>
      <c r="R320" s="6" t="s">
        <v>391</v>
      </c>
      <c r="S320" s="6" t="str">
        <f>VLOOKUP(R320,Customer_Mapping!A:B,2,FALSE)</f>
        <v>Customer_014</v>
      </c>
      <c r="T320" s="6" t="s">
        <v>386</v>
      </c>
      <c r="U320" s="6" t="s">
        <v>327</v>
      </c>
      <c r="V320" s="6" t="s">
        <v>387</v>
      </c>
      <c r="W320" s="6" t="str">
        <f>IF(U320="","",IFERROR(_xlfn.XLOOKUP(U320,Mapping!$A:$A,Mapping!$B:$B),""))</f>
        <v>Project_010</v>
      </c>
      <c r="X320" s="6" t="str">
        <f>IF(V320="","",IFERROR(_xlfn.XLOOKUP(V320,Mapping!$A:$A,Mapping!$B:$B),""))</f>
        <v>Project_020</v>
      </c>
      <c r="Y320" s="6" t="s">
        <v>286</v>
      </c>
      <c r="Z320" s="6" t="s">
        <v>43</v>
      </c>
    </row>
    <row r="321" spans="1:26">
      <c r="A321" s="12">
        <v>320</v>
      </c>
      <c r="B321" s="6" t="s">
        <v>1280</v>
      </c>
      <c r="C321" s="6" t="s">
        <v>1281</v>
      </c>
      <c r="D321" s="6" t="s">
        <v>86</v>
      </c>
      <c r="E321" s="7">
        <v>44363</v>
      </c>
      <c r="F321" s="6" t="s">
        <v>111</v>
      </c>
      <c r="G321" s="6" t="s">
        <v>182</v>
      </c>
      <c r="H321" s="6" t="s">
        <v>1282</v>
      </c>
      <c r="I321" s="6" t="s">
        <v>90</v>
      </c>
      <c r="J321" s="6" t="s">
        <v>91</v>
      </c>
      <c r="K321" s="6" t="s">
        <v>92</v>
      </c>
      <c r="L321" s="6" t="s">
        <v>90</v>
      </c>
      <c r="M321" s="6" t="s">
        <v>313</v>
      </c>
      <c r="N321" s="6" t="s">
        <v>94</v>
      </c>
      <c r="O321" s="6" t="s">
        <v>117</v>
      </c>
      <c r="P321" s="6" t="s">
        <v>122</v>
      </c>
      <c r="Q321" s="6" t="s">
        <v>281</v>
      </c>
      <c r="R321" s="6" t="s">
        <v>330</v>
      </c>
      <c r="S321" s="6" t="str">
        <f>VLOOKUP(R321,Customer_Mapping!A:B,2,FALSE)</f>
        <v>Customer_008</v>
      </c>
      <c r="T321" s="6" t="s">
        <v>283</v>
      </c>
      <c r="U321" s="6" t="s">
        <v>318</v>
      </c>
      <c r="V321" s="6" t="s">
        <v>327</v>
      </c>
      <c r="W321" s="6" t="str">
        <f>IF(U321="","",IFERROR(_xlfn.XLOOKUP(U321,Mapping!$A:$A,Mapping!$B:$B),""))</f>
        <v>Project_008</v>
      </c>
      <c r="X321" s="6" t="str">
        <f>IF(V321="","",IFERROR(_xlfn.XLOOKUP(V321,Mapping!$A:$A,Mapping!$B:$B),""))</f>
        <v>Project_010</v>
      </c>
      <c r="Y321" s="6" t="s">
        <v>286</v>
      </c>
      <c r="Z321" s="6" t="s">
        <v>313</v>
      </c>
    </row>
    <row r="322" spans="1:26">
      <c r="A322" s="12">
        <v>321</v>
      </c>
      <c r="B322" s="6" t="s">
        <v>1283</v>
      </c>
      <c r="C322" s="6" t="s">
        <v>1284</v>
      </c>
      <c r="D322" s="6" t="s">
        <v>86</v>
      </c>
      <c r="E322" s="7">
        <v>43319</v>
      </c>
      <c r="F322" s="6" t="s">
        <v>784</v>
      </c>
      <c r="G322" s="6" t="s">
        <v>311</v>
      </c>
      <c r="H322" s="6" t="s">
        <v>1285</v>
      </c>
      <c r="I322" s="6" t="s">
        <v>90</v>
      </c>
      <c r="J322" s="6" t="s">
        <v>91</v>
      </c>
      <c r="K322" s="6" t="s">
        <v>92</v>
      </c>
      <c r="L322" s="6" t="s">
        <v>90</v>
      </c>
      <c r="M322" s="6" t="s">
        <v>784</v>
      </c>
      <c r="N322" s="6" t="s">
        <v>95</v>
      </c>
      <c r="O322" s="6" t="s">
        <v>93</v>
      </c>
      <c r="P322" s="6" t="s">
        <v>104</v>
      </c>
      <c r="Q322" s="6" t="s">
        <v>1286</v>
      </c>
      <c r="R322" s="6" t="s">
        <v>308</v>
      </c>
      <c r="S322" s="6" t="str">
        <f>VLOOKUP(R322,Customer_Mapping!A:B,2,FALSE)</f>
        <v>Customer_004</v>
      </c>
      <c r="T322" s="6" t="s">
        <v>283</v>
      </c>
      <c r="U322" s="6" t="s">
        <v>373</v>
      </c>
      <c r="V322" s="6" t="s">
        <v>318</v>
      </c>
      <c r="W322" s="6" t="str">
        <f>IF(U322="","",IFERROR(_xlfn.XLOOKUP(U322,Mapping!$A:$A,Mapping!$B:$B),""))</f>
        <v>Project_016</v>
      </c>
      <c r="X322" s="6" t="str">
        <f>IF(V322="","",IFERROR(_xlfn.XLOOKUP(V322,Mapping!$A:$A,Mapping!$B:$B),""))</f>
        <v>Project_008</v>
      </c>
      <c r="Y322" s="6" t="s">
        <v>286</v>
      </c>
      <c r="Z322" s="6" t="s">
        <v>784</v>
      </c>
    </row>
    <row r="323" spans="1:26">
      <c r="A323" s="12">
        <v>322</v>
      </c>
      <c r="B323" s="6" t="s">
        <v>1287</v>
      </c>
      <c r="C323" s="6" t="s">
        <v>1288</v>
      </c>
      <c r="D323" s="6" t="s">
        <v>86</v>
      </c>
      <c r="E323" s="7">
        <v>45800</v>
      </c>
      <c r="F323" s="6" t="s">
        <v>337</v>
      </c>
      <c r="G323" s="6" t="s">
        <v>94</v>
      </c>
      <c r="H323" s="6" t="s">
        <v>1289</v>
      </c>
      <c r="I323" s="6" t="s">
        <v>90</v>
      </c>
      <c r="J323" s="6" t="s">
        <v>91</v>
      </c>
      <c r="K323" s="6" t="s">
        <v>92</v>
      </c>
      <c r="L323" s="6" t="s">
        <v>90</v>
      </c>
      <c r="M323" s="6" t="s">
        <v>94</v>
      </c>
      <c r="N323" s="6" t="s">
        <v>94</v>
      </c>
      <c r="O323" s="6" t="s">
        <v>131</v>
      </c>
      <c r="P323" s="6" t="s">
        <v>104</v>
      </c>
      <c r="Q323" s="6" t="s">
        <v>338</v>
      </c>
      <c r="R323" s="6" t="s">
        <v>334</v>
      </c>
      <c r="S323" s="6" t="str">
        <f>VLOOKUP(R323,Customer_Mapping!A:B,2,FALSE)</f>
        <v>Customer_009</v>
      </c>
      <c r="T323" s="6" t="s">
        <v>335</v>
      </c>
      <c r="U323" s="6" t="s">
        <v>305</v>
      </c>
      <c r="V323" s="6" t="s">
        <v>373</v>
      </c>
      <c r="W323" s="6" t="str">
        <f>IF(U323="","",IFERROR(_xlfn.XLOOKUP(U323,Mapping!$A:$A,Mapping!$B:$B),""))</f>
        <v>Project_005</v>
      </c>
      <c r="X323" s="6" t="str">
        <f>IF(V323="","",IFERROR(_xlfn.XLOOKUP(V323,Mapping!$A:$A,Mapping!$B:$B),""))</f>
        <v>Project_016</v>
      </c>
      <c r="Y323" s="6" t="s">
        <v>286</v>
      </c>
      <c r="Z323" s="6" t="s">
        <v>94</v>
      </c>
    </row>
    <row r="324" spans="1:26">
      <c r="A324" s="12">
        <v>323</v>
      </c>
      <c r="B324" s="6" t="s">
        <v>1290</v>
      </c>
      <c r="C324" s="6" t="s">
        <v>1291</v>
      </c>
      <c r="D324" s="6" t="s">
        <v>86</v>
      </c>
      <c r="E324" s="7">
        <v>44516</v>
      </c>
      <c r="F324" s="6" t="s">
        <v>111</v>
      </c>
      <c r="G324" s="6" t="s">
        <v>603</v>
      </c>
      <c r="H324" s="6" t="s">
        <v>1292</v>
      </c>
      <c r="I324" s="6" t="s">
        <v>90</v>
      </c>
      <c r="J324" s="6" t="s">
        <v>91</v>
      </c>
      <c r="K324" s="6" t="s">
        <v>92</v>
      </c>
      <c r="L324" s="6" t="s">
        <v>90</v>
      </c>
      <c r="M324" s="6" t="s">
        <v>519</v>
      </c>
      <c r="N324" s="6" t="s">
        <v>94</v>
      </c>
      <c r="O324" s="6" t="s">
        <v>438</v>
      </c>
      <c r="P324" s="6" t="s">
        <v>95</v>
      </c>
      <c r="Q324" s="6" t="s">
        <v>281</v>
      </c>
      <c r="R324" s="6" t="s">
        <v>308</v>
      </c>
      <c r="S324" s="6" t="str">
        <f>VLOOKUP(R324,Customer_Mapping!A:B,2,FALSE)</f>
        <v>Customer_004</v>
      </c>
      <c r="T324" s="6" t="s">
        <v>283</v>
      </c>
      <c r="U324" s="6" t="s">
        <v>339</v>
      </c>
      <c r="V324" s="6" t="s">
        <v>305</v>
      </c>
      <c r="W324" s="6" t="str">
        <f>IF(U324="","",IFERROR(_xlfn.XLOOKUP(U324,Mapping!$A:$A,Mapping!$B:$B),""))</f>
        <v>Project_012</v>
      </c>
      <c r="X324" s="6" t="str">
        <f>IF(V324="","",IFERROR(_xlfn.XLOOKUP(V324,Mapping!$A:$A,Mapping!$B:$B),""))</f>
        <v>Project_005</v>
      </c>
      <c r="Y324" s="6" t="s">
        <v>286</v>
      </c>
      <c r="Z324" s="6" t="s">
        <v>519</v>
      </c>
    </row>
    <row r="325" spans="1:26">
      <c r="A325" s="12">
        <v>324</v>
      </c>
      <c r="B325" s="6" t="s">
        <v>1293</v>
      </c>
      <c r="C325" s="6" t="s">
        <v>1294</v>
      </c>
      <c r="D325" s="6" t="s">
        <v>86</v>
      </c>
      <c r="E325" s="7">
        <v>41836</v>
      </c>
      <c r="F325" s="6" t="s">
        <v>87</v>
      </c>
      <c r="G325" s="6" t="s">
        <v>371</v>
      </c>
      <c r="H325" s="6" t="s">
        <v>1295</v>
      </c>
      <c r="I325" s="6" t="s">
        <v>90</v>
      </c>
      <c r="J325" s="6" t="s">
        <v>91</v>
      </c>
      <c r="K325" s="6" t="s">
        <v>92</v>
      </c>
      <c r="L325" s="6" t="s">
        <v>90</v>
      </c>
      <c r="M325" s="6" t="s">
        <v>93</v>
      </c>
      <c r="N325" s="6" t="s">
        <v>122</v>
      </c>
      <c r="O325" s="6" t="s">
        <v>93</v>
      </c>
      <c r="P325" s="6" t="s">
        <v>122</v>
      </c>
      <c r="Q325" s="6" t="s">
        <v>490</v>
      </c>
      <c r="R325" s="6" t="s">
        <v>334</v>
      </c>
      <c r="S325" s="6" t="str">
        <f>VLOOKUP(R325,Customer_Mapping!A:B,2,FALSE)</f>
        <v>Customer_009</v>
      </c>
      <c r="T325" s="6" t="s">
        <v>335</v>
      </c>
      <c r="U325" s="6" t="s">
        <v>298</v>
      </c>
      <c r="V325" s="6" t="s">
        <v>339</v>
      </c>
      <c r="W325" s="6" t="str">
        <f>IF(U325="","",IFERROR(_xlfn.XLOOKUP(U325,Mapping!$A:$A,Mapping!$B:$B),""))</f>
        <v>Project_003</v>
      </c>
      <c r="X325" s="6" t="str">
        <f>IF(V325="","",IFERROR(_xlfn.XLOOKUP(V325,Mapping!$A:$A,Mapping!$B:$B),""))</f>
        <v>Project_012</v>
      </c>
      <c r="Y325" s="6" t="s">
        <v>286</v>
      </c>
      <c r="Z325" s="6" t="s">
        <v>93</v>
      </c>
    </row>
    <row r="326" spans="1:26">
      <c r="A326" s="12">
        <v>325</v>
      </c>
      <c r="B326" s="6" t="s">
        <v>1296</v>
      </c>
      <c r="C326" s="6" t="s">
        <v>1297</v>
      </c>
      <c r="D326" s="6" t="s">
        <v>86</v>
      </c>
      <c r="E326" s="7">
        <v>40929</v>
      </c>
      <c r="F326" s="6" t="s">
        <v>150</v>
      </c>
      <c r="G326" s="6" t="s">
        <v>182</v>
      </c>
      <c r="H326" s="6" t="s">
        <v>183</v>
      </c>
      <c r="I326" s="6" t="s">
        <v>90</v>
      </c>
      <c r="J326" s="6" t="s">
        <v>91</v>
      </c>
      <c r="K326" s="6" t="s">
        <v>92</v>
      </c>
      <c r="L326" s="6" t="s">
        <v>90</v>
      </c>
      <c r="M326" s="6" t="s">
        <v>27</v>
      </c>
      <c r="N326" s="6" t="s">
        <v>122</v>
      </c>
      <c r="O326" s="6" t="s">
        <v>184</v>
      </c>
      <c r="P326" s="6" t="s">
        <v>104</v>
      </c>
      <c r="Q326" s="6" t="s">
        <v>445</v>
      </c>
      <c r="R326" s="6" t="s">
        <v>300</v>
      </c>
      <c r="S326" s="6" t="str">
        <f>VLOOKUP(R326,Customer_Mapping!A:B,2,FALSE)</f>
        <v>Customer_003</v>
      </c>
      <c r="T326" s="6" t="s">
        <v>283</v>
      </c>
      <c r="U326" s="6" t="s">
        <v>298</v>
      </c>
      <c r="V326" s="6" t="s">
        <v>298</v>
      </c>
      <c r="W326" s="6" t="str">
        <f>IF(U326="","",IFERROR(_xlfn.XLOOKUP(U326,Mapping!$A:$A,Mapping!$B:$B),""))</f>
        <v>Project_003</v>
      </c>
      <c r="X326" s="6" t="str">
        <f>IF(V326="","",IFERROR(_xlfn.XLOOKUP(V326,Mapping!$A:$A,Mapping!$B:$B),""))</f>
        <v>Project_003</v>
      </c>
      <c r="Y326" s="6" t="s">
        <v>286</v>
      </c>
      <c r="Z326" s="6" t="s">
        <v>27</v>
      </c>
    </row>
    <row r="327" spans="1:26">
      <c r="A327" s="12">
        <v>326</v>
      </c>
      <c r="B327" s="6" t="s">
        <v>1298</v>
      </c>
      <c r="C327" s="6" t="s">
        <v>1299</v>
      </c>
      <c r="D327" s="6" t="s">
        <v>86</v>
      </c>
      <c r="E327" s="7">
        <v>45283</v>
      </c>
      <c r="F327" s="6" t="s">
        <v>26</v>
      </c>
      <c r="G327" s="6" t="s">
        <v>94</v>
      </c>
      <c r="H327" s="6" t="s">
        <v>168</v>
      </c>
      <c r="I327" s="6" t="s">
        <v>90</v>
      </c>
      <c r="J327" s="6" t="s">
        <v>91</v>
      </c>
      <c r="K327" s="6" t="s">
        <v>92</v>
      </c>
      <c r="L327" s="6" t="s">
        <v>90</v>
      </c>
      <c r="M327" s="6" t="s">
        <v>27</v>
      </c>
      <c r="N327" s="6" t="s">
        <v>104</v>
      </c>
      <c r="O327" s="6" t="s">
        <v>27</v>
      </c>
      <c r="P327" s="6" t="s">
        <v>104</v>
      </c>
      <c r="Q327" s="6" t="s">
        <v>296</v>
      </c>
      <c r="R327" s="6" t="s">
        <v>300</v>
      </c>
      <c r="S327" s="6" t="str">
        <f>VLOOKUP(R327,Customer_Mapping!A:B,2,FALSE)</f>
        <v>Customer_003</v>
      </c>
      <c r="T327" s="6" t="s">
        <v>283</v>
      </c>
      <c r="U327" s="6" t="s">
        <v>341</v>
      </c>
      <c r="V327" s="6" t="s">
        <v>298</v>
      </c>
      <c r="W327" s="6" t="str">
        <f>IF(U327="","",IFERROR(_xlfn.XLOOKUP(U327,Mapping!$A:$A,Mapping!$B:$B),""))</f>
        <v>Project_013</v>
      </c>
      <c r="X327" s="6" t="str">
        <f>IF(V327="","",IFERROR(_xlfn.XLOOKUP(V327,Mapping!$A:$A,Mapping!$B:$B),""))</f>
        <v>Project_003</v>
      </c>
      <c r="Y327" s="6" t="s">
        <v>286</v>
      </c>
      <c r="Z327" s="6" t="s">
        <v>27</v>
      </c>
    </row>
    <row r="328" spans="1:26">
      <c r="A328" s="12">
        <v>327</v>
      </c>
      <c r="B328" s="6" t="s">
        <v>1300</v>
      </c>
      <c r="C328" s="6" t="s">
        <v>1301</v>
      </c>
      <c r="D328" s="6" t="s">
        <v>86</v>
      </c>
      <c r="E328" s="7">
        <v>44568</v>
      </c>
      <c r="F328" s="6" t="s">
        <v>111</v>
      </c>
      <c r="G328" s="6" t="s">
        <v>344</v>
      </c>
      <c r="H328" s="6" t="s">
        <v>1302</v>
      </c>
      <c r="I328" s="6" t="s">
        <v>90</v>
      </c>
      <c r="J328" s="6" t="s">
        <v>91</v>
      </c>
      <c r="K328" s="6" t="s">
        <v>92</v>
      </c>
      <c r="L328" s="6" t="s">
        <v>90</v>
      </c>
      <c r="M328" s="6" t="s">
        <v>103</v>
      </c>
      <c r="N328" s="6" t="s">
        <v>95</v>
      </c>
      <c r="O328" s="6" t="s">
        <v>131</v>
      </c>
      <c r="P328" s="6" t="s">
        <v>122</v>
      </c>
      <c r="Q328" s="6" t="s">
        <v>418</v>
      </c>
      <c r="R328" s="6" t="s">
        <v>282</v>
      </c>
      <c r="S328" s="6" t="str">
        <f>VLOOKUP(R328,Customer_Mapping!A:B,2,FALSE)</f>
        <v>Customer_001</v>
      </c>
      <c r="T328" s="6" t="s">
        <v>283</v>
      </c>
      <c r="U328" s="6" t="s">
        <v>301</v>
      </c>
      <c r="V328" s="6" t="s">
        <v>341</v>
      </c>
      <c r="W328" s="6" t="str">
        <f>IF(U328="","",IFERROR(_xlfn.XLOOKUP(U328,Mapping!$A:$A,Mapping!$B:$B),""))</f>
        <v>Project_004</v>
      </c>
      <c r="X328" s="6" t="str">
        <f>IF(V328="","",IFERROR(_xlfn.XLOOKUP(V328,Mapping!$A:$A,Mapping!$B:$B),""))</f>
        <v>Project_013</v>
      </c>
      <c r="Y328" s="6" t="s">
        <v>286</v>
      </c>
      <c r="Z328" s="6" t="s">
        <v>103</v>
      </c>
    </row>
    <row r="329" spans="1:26">
      <c r="A329" s="12">
        <v>328</v>
      </c>
      <c r="B329" s="6" t="s">
        <v>1303</v>
      </c>
      <c r="C329" s="6" t="s">
        <v>1304</v>
      </c>
      <c r="D329" s="6" t="s">
        <v>86</v>
      </c>
      <c r="E329" s="7">
        <v>45916</v>
      </c>
      <c r="F329" s="6" t="s">
        <v>337</v>
      </c>
      <c r="G329" s="6" t="s">
        <v>94</v>
      </c>
      <c r="H329" s="6" t="s">
        <v>94</v>
      </c>
      <c r="I329" s="6" t="s">
        <v>90</v>
      </c>
      <c r="J329" s="6" t="s">
        <v>91</v>
      </c>
      <c r="K329" s="6" t="s">
        <v>92</v>
      </c>
      <c r="L329" s="6" t="s">
        <v>90</v>
      </c>
      <c r="M329" s="6" t="s">
        <v>94</v>
      </c>
      <c r="N329" s="6" t="s">
        <v>94</v>
      </c>
      <c r="O329" s="6" t="s">
        <v>131</v>
      </c>
      <c r="P329" s="6" t="s">
        <v>95</v>
      </c>
      <c r="Q329" s="6" t="s">
        <v>338</v>
      </c>
      <c r="R329" s="6" t="s">
        <v>282</v>
      </c>
      <c r="S329" s="6" t="str">
        <f>VLOOKUP(R329,Customer_Mapping!A:B,2,FALSE)</f>
        <v>Customer_001</v>
      </c>
      <c r="T329" s="6" t="s">
        <v>283</v>
      </c>
      <c r="U329" s="6" t="s">
        <v>323</v>
      </c>
      <c r="V329" s="6" t="s">
        <v>301</v>
      </c>
      <c r="W329" s="6" t="str">
        <f>IF(U329="","",IFERROR(_xlfn.XLOOKUP(U329,Mapping!$A:$A,Mapping!$B:$B),""))</f>
        <v>Project_009</v>
      </c>
      <c r="X329" s="6" t="str">
        <f>IF(V329="","",IFERROR(_xlfn.XLOOKUP(V329,Mapping!$A:$A,Mapping!$B:$B),""))</f>
        <v>Project_004</v>
      </c>
      <c r="Y329" s="6" t="s">
        <v>286</v>
      </c>
      <c r="Z329" s="6" t="s">
        <v>94</v>
      </c>
    </row>
    <row r="330" spans="1:26">
      <c r="A330" s="12">
        <v>329</v>
      </c>
      <c r="B330" s="6" t="s">
        <v>1305</v>
      </c>
      <c r="C330" s="6" t="s">
        <v>1306</v>
      </c>
      <c r="D330" s="6" t="s">
        <v>86</v>
      </c>
      <c r="E330" s="7">
        <v>45283</v>
      </c>
      <c r="F330" s="6" t="s">
        <v>100</v>
      </c>
      <c r="G330" s="6" t="s">
        <v>94</v>
      </c>
      <c r="H330" s="6" t="s">
        <v>1307</v>
      </c>
      <c r="I330" s="6" t="s">
        <v>90</v>
      </c>
      <c r="J330" s="6" t="s">
        <v>91</v>
      </c>
      <c r="K330" s="6" t="s">
        <v>92</v>
      </c>
      <c r="L330" s="6" t="s">
        <v>90</v>
      </c>
      <c r="M330" s="6" t="s">
        <v>94</v>
      </c>
      <c r="N330" s="6" t="s">
        <v>94</v>
      </c>
      <c r="O330" s="6" t="s">
        <v>93</v>
      </c>
      <c r="P330" s="6" t="s">
        <v>104</v>
      </c>
      <c r="Q330" s="6" t="s">
        <v>304</v>
      </c>
      <c r="R330" s="6" t="s">
        <v>326</v>
      </c>
      <c r="S330" s="6" t="str">
        <f>VLOOKUP(R330,Customer_Mapping!A:B,2,FALSE)</f>
        <v>Customer_007</v>
      </c>
      <c r="T330" s="6" t="s">
        <v>283</v>
      </c>
      <c r="U330" s="6" t="s">
        <v>348</v>
      </c>
      <c r="V330" s="6" t="s">
        <v>323</v>
      </c>
      <c r="W330" s="6" t="str">
        <f>IF(U330="","",IFERROR(_xlfn.XLOOKUP(U330,Mapping!$A:$A,Mapping!$B:$B),""))</f>
        <v>Project_014</v>
      </c>
      <c r="X330" s="6" t="str">
        <f>IF(V330="","",IFERROR(_xlfn.XLOOKUP(V330,Mapping!$A:$A,Mapping!$B:$B),""))</f>
        <v>Project_009</v>
      </c>
      <c r="Y330" s="6" t="s">
        <v>286</v>
      </c>
      <c r="Z330" s="6" t="s">
        <v>94</v>
      </c>
    </row>
    <row r="331" spans="1:26">
      <c r="A331" s="12">
        <v>330</v>
      </c>
      <c r="B331" s="6" t="s">
        <v>1308</v>
      </c>
      <c r="C331" s="6" t="s">
        <v>1309</v>
      </c>
      <c r="D331" s="6" t="s">
        <v>86</v>
      </c>
      <c r="E331" s="7">
        <v>44682</v>
      </c>
      <c r="F331" s="6" t="s">
        <v>288</v>
      </c>
      <c r="G331" s="6" t="s">
        <v>311</v>
      </c>
      <c r="H331" s="6" t="s">
        <v>1310</v>
      </c>
      <c r="I331" s="6" t="s">
        <v>90</v>
      </c>
      <c r="J331" s="6" t="s">
        <v>91</v>
      </c>
      <c r="K331" s="6" t="s">
        <v>92</v>
      </c>
      <c r="L331" s="6" t="s">
        <v>90</v>
      </c>
      <c r="M331" s="6" t="s">
        <v>103</v>
      </c>
      <c r="N331" s="6" t="s">
        <v>104</v>
      </c>
      <c r="O331" s="6" t="s">
        <v>103</v>
      </c>
      <c r="P331" s="6" t="s">
        <v>95</v>
      </c>
      <c r="Q331" s="6" t="s">
        <v>291</v>
      </c>
      <c r="R331" s="6" t="s">
        <v>351</v>
      </c>
      <c r="S331" s="6" t="str">
        <f>VLOOKUP(R331,Customer_Mapping!A:B,2,FALSE)</f>
        <v>Customer_010</v>
      </c>
      <c r="T331" s="6" t="s">
        <v>283</v>
      </c>
      <c r="U331" s="6" t="s">
        <v>305</v>
      </c>
      <c r="V331" s="6" t="s">
        <v>348</v>
      </c>
      <c r="W331" s="6" t="str">
        <f>IF(U331="","",IFERROR(_xlfn.XLOOKUP(U331,Mapping!$A:$A,Mapping!$B:$B),""))</f>
        <v>Project_005</v>
      </c>
      <c r="X331" s="6" t="str">
        <f>IF(V331="","",IFERROR(_xlfn.XLOOKUP(V331,Mapping!$A:$A,Mapping!$B:$B),""))</f>
        <v>Project_014</v>
      </c>
      <c r="Y331" s="6" t="s">
        <v>286</v>
      </c>
      <c r="Z331" s="6" t="s">
        <v>103</v>
      </c>
    </row>
    <row r="332" spans="1:26">
      <c r="A332" s="12">
        <v>331</v>
      </c>
      <c r="B332" s="6" t="s">
        <v>1311</v>
      </c>
      <c r="C332" s="6" t="s">
        <v>1312</v>
      </c>
      <c r="D332" s="6" t="s">
        <v>86</v>
      </c>
      <c r="E332" s="7">
        <v>45558</v>
      </c>
      <c r="F332" s="6" t="s">
        <v>155</v>
      </c>
      <c r="G332" s="6" t="s">
        <v>94</v>
      </c>
      <c r="H332" s="6" t="s">
        <v>1313</v>
      </c>
      <c r="I332" s="6" t="s">
        <v>90</v>
      </c>
      <c r="J332" s="6" t="s">
        <v>91</v>
      </c>
      <c r="K332" s="6" t="s">
        <v>92</v>
      </c>
      <c r="L332" s="6" t="s">
        <v>90</v>
      </c>
      <c r="M332" s="6" t="s">
        <v>94</v>
      </c>
      <c r="N332" s="6" t="s">
        <v>94</v>
      </c>
      <c r="O332" s="6" t="s">
        <v>27</v>
      </c>
      <c r="P332" s="6" t="s">
        <v>95</v>
      </c>
      <c r="Q332" s="6" t="s">
        <v>369</v>
      </c>
      <c r="R332" s="6" t="s">
        <v>308</v>
      </c>
      <c r="S332" s="6" t="str">
        <f>VLOOKUP(R332,Customer_Mapping!A:B,2,FALSE)</f>
        <v>Customer_004</v>
      </c>
      <c r="T332" s="6" t="s">
        <v>283</v>
      </c>
      <c r="U332" s="6" t="s">
        <v>387</v>
      </c>
      <c r="V332" s="6" t="s">
        <v>305</v>
      </c>
      <c r="W332" s="6" t="str">
        <f>IF(U332="","",IFERROR(_xlfn.XLOOKUP(U332,Mapping!$A:$A,Mapping!$B:$B),""))</f>
        <v>Project_020</v>
      </c>
      <c r="X332" s="6" t="str">
        <f>IF(V332="","",IFERROR(_xlfn.XLOOKUP(V332,Mapping!$A:$A,Mapping!$B:$B),""))</f>
        <v>Project_005</v>
      </c>
      <c r="Y332" s="6" t="s">
        <v>286</v>
      </c>
      <c r="Z332" s="6" t="s">
        <v>94</v>
      </c>
    </row>
    <row r="333" spans="1:26">
      <c r="A333" s="12">
        <v>332</v>
      </c>
      <c r="B333" s="6" t="s">
        <v>1314</v>
      </c>
      <c r="C333" s="6" t="s">
        <v>1315</v>
      </c>
      <c r="D333" s="6" t="s">
        <v>86</v>
      </c>
      <c r="E333" s="7">
        <v>46180</v>
      </c>
      <c r="F333" s="6" t="s">
        <v>337</v>
      </c>
      <c r="G333" s="6" t="s">
        <v>94</v>
      </c>
      <c r="H333" s="6" t="s">
        <v>94</v>
      </c>
      <c r="I333" s="6" t="s">
        <v>90</v>
      </c>
      <c r="J333" s="6" t="s">
        <v>91</v>
      </c>
      <c r="K333" s="6" t="s">
        <v>92</v>
      </c>
      <c r="L333" s="6" t="s">
        <v>90</v>
      </c>
      <c r="M333" s="6" t="s">
        <v>94</v>
      </c>
      <c r="N333" s="6" t="s">
        <v>94</v>
      </c>
      <c r="O333" s="6" t="s">
        <v>131</v>
      </c>
      <c r="P333" s="6" t="s">
        <v>95</v>
      </c>
      <c r="Q333" s="6" t="s">
        <v>338</v>
      </c>
      <c r="R333" s="6" t="s">
        <v>391</v>
      </c>
      <c r="S333" s="6" t="str">
        <f>VLOOKUP(R333,Customer_Mapping!A:B,2,FALSE)</f>
        <v>Customer_014</v>
      </c>
      <c r="T333" s="6" t="s">
        <v>386</v>
      </c>
      <c r="U333" s="6" t="s">
        <v>94</v>
      </c>
      <c r="V333" s="6" t="s">
        <v>387</v>
      </c>
      <c r="W333" s="6" t="str">
        <f>IF(U333="","",IFERROR(_xlfn.XLOOKUP(U333,Mapping!$A:$A,Mapping!$B:$B),""))</f>
        <v/>
      </c>
      <c r="X333" s="6" t="str">
        <f>IF(V333="","",IFERROR(_xlfn.XLOOKUP(V333,Mapping!$A:$A,Mapping!$B:$B),""))</f>
        <v>Project_020</v>
      </c>
      <c r="Y333" s="6" t="s">
        <v>286</v>
      </c>
      <c r="Z333" s="6" t="s">
        <v>94</v>
      </c>
    </row>
    <row r="334" spans="1:26">
      <c r="A334" s="12">
        <v>333</v>
      </c>
      <c r="B334" s="6" t="s">
        <v>1316</v>
      </c>
      <c r="C334" s="6" t="s">
        <v>1317</v>
      </c>
      <c r="D334" s="6" t="s">
        <v>86</v>
      </c>
      <c r="E334" s="7">
        <v>45078</v>
      </c>
      <c r="F334" s="6" t="s">
        <v>288</v>
      </c>
      <c r="G334" s="6" t="s">
        <v>1318</v>
      </c>
      <c r="H334" s="6" t="s">
        <v>135</v>
      </c>
      <c r="I334" s="6" t="s">
        <v>90</v>
      </c>
      <c r="J334" s="6" t="s">
        <v>91</v>
      </c>
      <c r="K334" s="6" t="s">
        <v>92</v>
      </c>
      <c r="L334" s="6" t="s">
        <v>90</v>
      </c>
      <c r="M334" s="6" t="s">
        <v>675</v>
      </c>
      <c r="N334" s="6" t="s">
        <v>104</v>
      </c>
      <c r="O334" s="6" t="s">
        <v>103</v>
      </c>
      <c r="P334" s="6" t="s">
        <v>104</v>
      </c>
      <c r="Q334" s="6" t="s">
        <v>291</v>
      </c>
      <c r="R334" s="6" t="s">
        <v>94</v>
      </c>
      <c r="S334" s="6" t="e">
        <f>VLOOKUP(R334,Customer_Mapping!A:B,2,FALSE)</f>
        <v>#N/A</v>
      </c>
      <c r="T334" s="6" t="s">
        <v>94</v>
      </c>
      <c r="U334" s="6" t="s">
        <v>348</v>
      </c>
      <c r="V334" s="6" t="s">
        <v>94</v>
      </c>
      <c r="W334" s="6" t="str">
        <f>IF(U334="","",IFERROR(_xlfn.XLOOKUP(U334,Mapping!$A:$A,Mapping!$B:$B),""))</f>
        <v>Project_014</v>
      </c>
      <c r="X334" s="6" t="str">
        <f>IF(V334="","",IFERROR(_xlfn.XLOOKUP(V334,Mapping!$A:$A,Mapping!$B:$B),""))</f>
        <v/>
      </c>
      <c r="Y334" s="6" t="s">
        <v>94</v>
      </c>
      <c r="Z334" s="6" t="s">
        <v>675</v>
      </c>
    </row>
    <row r="335" spans="1:26">
      <c r="A335" s="12">
        <v>334</v>
      </c>
      <c r="B335" s="6" t="s">
        <v>1319</v>
      </c>
      <c r="C335" s="6" t="s">
        <v>1320</v>
      </c>
      <c r="D335" s="6" t="s">
        <v>86</v>
      </c>
      <c r="E335" s="7">
        <v>43335</v>
      </c>
      <c r="F335" s="6" t="s">
        <v>204</v>
      </c>
      <c r="G335" s="6" t="s">
        <v>187</v>
      </c>
      <c r="H335" s="6" t="s">
        <v>1321</v>
      </c>
      <c r="I335" s="6" t="s">
        <v>90</v>
      </c>
      <c r="J335" s="6" t="s">
        <v>91</v>
      </c>
      <c r="K335" s="6" t="s">
        <v>92</v>
      </c>
      <c r="L335" s="6" t="s">
        <v>90</v>
      </c>
      <c r="M335" s="6" t="s">
        <v>43</v>
      </c>
      <c r="N335" s="6" t="s">
        <v>122</v>
      </c>
      <c r="O335" s="6" t="s">
        <v>43</v>
      </c>
      <c r="P335" s="6" t="s">
        <v>104</v>
      </c>
      <c r="Q335" s="6" t="s">
        <v>403</v>
      </c>
      <c r="R335" s="6" t="s">
        <v>351</v>
      </c>
      <c r="S335" s="6" t="str">
        <f>VLOOKUP(R335,Customer_Mapping!A:B,2,FALSE)</f>
        <v>Customer_010</v>
      </c>
      <c r="T335" s="6" t="s">
        <v>283</v>
      </c>
      <c r="U335" s="6" t="s">
        <v>305</v>
      </c>
      <c r="V335" s="6" t="s">
        <v>348</v>
      </c>
      <c r="W335" s="6" t="str">
        <f>IF(U335="","",IFERROR(_xlfn.XLOOKUP(U335,Mapping!$A:$A,Mapping!$B:$B),""))</f>
        <v>Project_005</v>
      </c>
      <c r="X335" s="6" t="str">
        <f>IF(V335="","",IFERROR(_xlfn.XLOOKUP(V335,Mapping!$A:$A,Mapping!$B:$B),""))</f>
        <v>Project_014</v>
      </c>
      <c r="Y335" s="6" t="s">
        <v>286</v>
      </c>
      <c r="Z335" s="6" t="s">
        <v>43</v>
      </c>
    </row>
    <row r="336" spans="1:26">
      <c r="A336" s="12">
        <v>335</v>
      </c>
      <c r="B336" s="6" t="s">
        <v>1322</v>
      </c>
      <c r="C336" s="6" t="s">
        <v>1323</v>
      </c>
      <c r="D336" s="6" t="s">
        <v>86</v>
      </c>
      <c r="E336" s="7">
        <v>44081</v>
      </c>
      <c r="F336" s="6" t="s">
        <v>732</v>
      </c>
      <c r="G336" s="6" t="s">
        <v>151</v>
      </c>
      <c r="H336" s="6" t="s">
        <v>1324</v>
      </c>
      <c r="I336" s="6" t="s">
        <v>90</v>
      </c>
      <c r="J336" s="6" t="s">
        <v>91</v>
      </c>
      <c r="K336" s="6" t="s">
        <v>92</v>
      </c>
      <c r="L336" s="6" t="s">
        <v>90</v>
      </c>
      <c r="M336" s="6" t="s">
        <v>784</v>
      </c>
      <c r="N336" s="6" t="s">
        <v>94</v>
      </c>
      <c r="O336" s="6" t="s">
        <v>43</v>
      </c>
      <c r="P336" s="6" t="s">
        <v>104</v>
      </c>
      <c r="Q336" s="6" t="s">
        <v>734</v>
      </c>
      <c r="R336" s="6" t="s">
        <v>308</v>
      </c>
      <c r="S336" s="6" t="str">
        <f>VLOOKUP(R336,Customer_Mapping!A:B,2,FALSE)</f>
        <v>Customer_004</v>
      </c>
      <c r="T336" s="6" t="s">
        <v>283</v>
      </c>
      <c r="U336" s="6" t="s">
        <v>348</v>
      </c>
      <c r="V336" s="6" t="s">
        <v>305</v>
      </c>
      <c r="W336" s="6" t="str">
        <f>IF(U336="","",IFERROR(_xlfn.XLOOKUP(U336,Mapping!$A:$A,Mapping!$B:$B),""))</f>
        <v>Project_014</v>
      </c>
      <c r="X336" s="6" t="str">
        <f>IF(V336="","",IFERROR(_xlfn.XLOOKUP(V336,Mapping!$A:$A,Mapping!$B:$B),""))</f>
        <v>Project_005</v>
      </c>
      <c r="Y336" s="6" t="s">
        <v>286</v>
      </c>
      <c r="Z336" s="6" t="s">
        <v>784</v>
      </c>
    </row>
    <row r="337" spans="1:26">
      <c r="A337" s="12">
        <v>336</v>
      </c>
      <c r="B337" s="6" t="s">
        <v>1325</v>
      </c>
      <c r="C337" s="6" t="s">
        <v>1326</v>
      </c>
      <c r="D337" s="6" t="s">
        <v>86</v>
      </c>
      <c r="E337" s="7">
        <v>40984</v>
      </c>
      <c r="F337" s="6" t="s">
        <v>150</v>
      </c>
      <c r="G337" s="6" t="s">
        <v>187</v>
      </c>
      <c r="H337" s="6" t="s">
        <v>1327</v>
      </c>
      <c r="I337" s="6" t="s">
        <v>90</v>
      </c>
      <c r="J337" s="6" t="s">
        <v>91</v>
      </c>
      <c r="K337" s="6" t="s">
        <v>92</v>
      </c>
      <c r="L337" s="6" t="s">
        <v>90</v>
      </c>
      <c r="M337" s="6" t="s">
        <v>131</v>
      </c>
      <c r="N337" s="6" t="s">
        <v>95</v>
      </c>
      <c r="O337" s="6" t="s">
        <v>27</v>
      </c>
      <c r="P337" s="6" t="s">
        <v>122</v>
      </c>
      <c r="Q337" s="6" t="s">
        <v>445</v>
      </c>
      <c r="R337" s="6" t="s">
        <v>351</v>
      </c>
      <c r="S337" s="6" t="str">
        <f>VLOOKUP(R337,Customer_Mapping!A:B,2,FALSE)</f>
        <v>Customer_010</v>
      </c>
      <c r="T337" s="6" t="s">
        <v>283</v>
      </c>
      <c r="U337" s="6" t="s">
        <v>396</v>
      </c>
      <c r="V337" s="6" t="s">
        <v>348</v>
      </c>
      <c r="W337" s="6" t="str">
        <f>IF(U337="","",IFERROR(_xlfn.XLOOKUP(U337,Mapping!$A:$A,Mapping!$B:$B),""))</f>
        <v>Project_022</v>
      </c>
      <c r="X337" s="6" t="str">
        <f>IF(V337="","",IFERROR(_xlfn.XLOOKUP(V337,Mapping!$A:$A,Mapping!$B:$B),""))</f>
        <v>Project_014</v>
      </c>
      <c r="Y337" s="6" t="s">
        <v>286</v>
      </c>
      <c r="Z337" s="6" t="s">
        <v>131</v>
      </c>
    </row>
    <row r="338" spans="1:26">
      <c r="A338" s="12">
        <v>337</v>
      </c>
      <c r="B338" s="6" t="s">
        <v>1328</v>
      </c>
      <c r="C338" s="6" t="s">
        <v>1329</v>
      </c>
      <c r="D338" s="6" t="s">
        <v>86</v>
      </c>
      <c r="E338" s="7">
        <v>43592</v>
      </c>
      <c r="F338" s="6" t="s">
        <v>87</v>
      </c>
      <c r="G338" s="6" t="s">
        <v>420</v>
      </c>
      <c r="H338" s="6" t="s">
        <v>1330</v>
      </c>
      <c r="I338" s="6" t="s">
        <v>90</v>
      </c>
      <c r="J338" s="6" t="s">
        <v>91</v>
      </c>
      <c r="K338" s="6" t="s">
        <v>92</v>
      </c>
      <c r="L338" s="6" t="s">
        <v>90</v>
      </c>
      <c r="M338" s="6" t="s">
        <v>93</v>
      </c>
      <c r="N338" s="6" t="s">
        <v>122</v>
      </c>
      <c r="O338" s="6" t="s">
        <v>93</v>
      </c>
      <c r="P338" s="6" t="s">
        <v>122</v>
      </c>
      <c r="Q338" s="6" t="s">
        <v>697</v>
      </c>
      <c r="R338" s="6" t="s">
        <v>282</v>
      </c>
      <c r="S338" s="6" t="str">
        <f>VLOOKUP(R338,Customer_Mapping!A:B,2,FALSE)</f>
        <v>Customer_001</v>
      </c>
      <c r="T338" s="6" t="s">
        <v>283</v>
      </c>
      <c r="U338" s="6" t="s">
        <v>373</v>
      </c>
      <c r="V338" s="6" t="s">
        <v>396</v>
      </c>
      <c r="W338" s="6" t="str">
        <f>IF(U338="","",IFERROR(_xlfn.XLOOKUP(U338,Mapping!$A:$A,Mapping!$B:$B),""))</f>
        <v>Project_016</v>
      </c>
      <c r="X338" s="6" t="str">
        <f>IF(V338="","",IFERROR(_xlfn.XLOOKUP(V338,Mapping!$A:$A,Mapping!$B:$B),""))</f>
        <v>Project_022</v>
      </c>
      <c r="Y338" s="6" t="s">
        <v>286</v>
      </c>
      <c r="Z338" s="6" t="s">
        <v>93</v>
      </c>
    </row>
    <row r="339" spans="1:26">
      <c r="A339" s="12">
        <v>338</v>
      </c>
      <c r="B339" s="6" t="s">
        <v>1331</v>
      </c>
      <c r="C339" s="6" t="s">
        <v>1332</v>
      </c>
      <c r="D339" s="6" t="s">
        <v>86</v>
      </c>
      <c r="E339" s="7">
        <v>46082</v>
      </c>
      <c r="F339" s="6" t="s">
        <v>4</v>
      </c>
      <c r="G339" s="6" t="s">
        <v>94</v>
      </c>
      <c r="H339" s="6" t="s">
        <v>1333</v>
      </c>
      <c r="I339" s="6" t="s">
        <v>90</v>
      </c>
      <c r="J339" s="6" t="s">
        <v>91</v>
      </c>
      <c r="K339" s="6" t="s">
        <v>92</v>
      </c>
      <c r="L339" s="6" t="s">
        <v>90</v>
      </c>
      <c r="M339" s="6" t="s">
        <v>94</v>
      </c>
      <c r="N339" s="6" t="s">
        <v>94</v>
      </c>
      <c r="O339" s="6" t="s">
        <v>93</v>
      </c>
      <c r="P339" s="6" t="s">
        <v>122</v>
      </c>
      <c r="Q339" s="6" t="s">
        <v>399</v>
      </c>
      <c r="R339" s="6" t="s">
        <v>334</v>
      </c>
      <c r="S339" s="6" t="str">
        <f>VLOOKUP(R339,Customer_Mapping!A:B,2,FALSE)</f>
        <v>Customer_009</v>
      </c>
      <c r="T339" s="6" t="s">
        <v>335</v>
      </c>
      <c r="U339" s="6" t="s">
        <v>323</v>
      </c>
      <c r="V339" s="6" t="s">
        <v>373</v>
      </c>
      <c r="W339" s="6" t="str">
        <f>IF(U339="","",IFERROR(_xlfn.XLOOKUP(U339,Mapping!$A:$A,Mapping!$B:$B),""))</f>
        <v>Project_009</v>
      </c>
      <c r="X339" s="6" t="str">
        <f>IF(V339="","",IFERROR(_xlfn.XLOOKUP(V339,Mapping!$A:$A,Mapping!$B:$B),""))</f>
        <v>Project_016</v>
      </c>
      <c r="Y339" s="6" t="s">
        <v>286</v>
      </c>
      <c r="Z339" s="6" t="s">
        <v>94</v>
      </c>
    </row>
    <row r="340" spans="1:26">
      <c r="A340" s="12">
        <v>339</v>
      </c>
      <c r="B340" s="6" t="s">
        <v>1334</v>
      </c>
      <c r="C340" s="6" t="s">
        <v>1335</v>
      </c>
      <c r="D340" s="6" t="s">
        <v>86</v>
      </c>
      <c r="E340" s="7">
        <v>46045</v>
      </c>
      <c r="F340" s="6" t="s">
        <v>362</v>
      </c>
      <c r="G340" s="6" t="s">
        <v>94</v>
      </c>
      <c r="H340" s="6" t="s">
        <v>94</v>
      </c>
      <c r="I340" s="6" t="s">
        <v>90</v>
      </c>
      <c r="J340" s="6" t="s">
        <v>91</v>
      </c>
      <c r="K340" s="6" t="s">
        <v>92</v>
      </c>
      <c r="L340" s="6" t="s">
        <v>90</v>
      </c>
      <c r="M340" s="6" t="s">
        <v>94</v>
      </c>
      <c r="N340" s="6" t="s">
        <v>94</v>
      </c>
      <c r="O340" s="6" t="s">
        <v>364</v>
      </c>
      <c r="P340" s="6" t="s">
        <v>95</v>
      </c>
      <c r="Q340" s="6" t="s">
        <v>365</v>
      </c>
      <c r="R340" s="6" t="s">
        <v>326</v>
      </c>
      <c r="S340" s="6" t="str">
        <f>VLOOKUP(R340,Customer_Mapping!A:B,2,FALSE)</f>
        <v>Customer_007</v>
      </c>
      <c r="T340" s="6" t="s">
        <v>283</v>
      </c>
      <c r="U340" s="6" t="s">
        <v>387</v>
      </c>
      <c r="V340" s="6" t="s">
        <v>323</v>
      </c>
      <c r="W340" s="6" t="str">
        <f>IF(U340="","",IFERROR(_xlfn.XLOOKUP(U340,Mapping!$A:$A,Mapping!$B:$B),""))</f>
        <v>Project_020</v>
      </c>
      <c r="X340" s="6" t="str">
        <f>IF(V340="","",IFERROR(_xlfn.XLOOKUP(V340,Mapping!$A:$A,Mapping!$B:$B),""))</f>
        <v>Project_009</v>
      </c>
      <c r="Y340" s="6" t="s">
        <v>286</v>
      </c>
      <c r="Z340" s="6" t="s">
        <v>94</v>
      </c>
    </row>
    <row r="341" spans="1:26">
      <c r="A341" s="12">
        <v>340</v>
      </c>
      <c r="B341" s="6" t="s">
        <v>1336</v>
      </c>
      <c r="C341" s="6" t="s">
        <v>1337</v>
      </c>
      <c r="D341" s="6" t="s">
        <v>86</v>
      </c>
      <c r="E341" s="7">
        <v>44105</v>
      </c>
      <c r="F341" s="6" t="s">
        <v>111</v>
      </c>
      <c r="G341" s="6" t="s">
        <v>146</v>
      </c>
      <c r="H341" s="6" t="s">
        <v>1338</v>
      </c>
      <c r="I341" s="6" t="s">
        <v>90</v>
      </c>
      <c r="J341" s="6" t="s">
        <v>91</v>
      </c>
      <c r="K341" s="6" t="s">
        <v>92</v>
      </c>
      <c r="L341" s="6" t="s">
        <v>90</v>
      </c>
      <c r="M341" s="6" t="s">
        <v>131</v>
      </c>
      <c r="N341" s="6" t="s">
        <v>95</v>
      </c>
      <c r="O341" s="6" t="s">
        <v>131</v>
      </c>
      <c r="P341" s="6" t="s">
        <v>95</v>
      </c>
      <c r="Q341" s="6" t="s">
        <v>418</v>
      </c>
      <c r="R341" s="6" t="s">
        <v>391</v>
      </c>
      <c r="S341" s="6" t="str">
        <f>VLOOKUP(R341,Customer_Mapping!A:B,2,FALSE)</f>
        <v>Customer_014</v>
      </c>
      <c r="T341" s="6" t="s">
        <v>386</v>
      </c>
      <c r="U341" s="6" t="s">
        <v>94</v>
      </c>
      <c r="V341" s="6" t="s">
        <v>387</v>
      </c>
      <c r="W341" s="6" t="str">
        <f>IF(U341="","",IFERROR(_xlfn.XLOOKUP(U341,Mapping!$A:$A,Mapping!$B:$B),""))</f>
        <v/>
      </c>
      <c r="X341" s="6" t="str">
        <f>IF(V341="","",IFERROR(_xlfn.XLOOKUP(V341,Mapping!$A:$A,Mapping!$B:$B),""))</f>
        <v>Project_020</v>
      </c>
      <c r="Y341" s="6" t="s">
        <v>286</v>
      </c>
      <c r="Z341" s="6" t="s">
        <v>131</v>
      </c>
    </row>
    <row r="342" spans="1:26">
      <c r="A342" s="12">
        <v>341</v>
      </c>
      <c r="B342" s="6" t="s">
        <v>1339</v>
      </c>
      <c r="C342" s="6" t="s">
        <v>1340</v>
      </c>
      <c r="D342" s="6" t="s">
        <v>86</v>
      </c>
      <c r="E342" s="7">
        <v>43837</v>
      </c>
      <c r="F342" s="6" t="s">
        <v>343</v>
      </c>
      <c r="G342" s="6" t="s">
        <v>294</v>
      </c>
      <c r="H342" s="6" t="s">
        <v>1341</v>
      </c>
      <c r="I342" s="6" t="s">
        <v>90</v>
      </c>
      <c r="J342" s="6" t="s">
        <v>91</v>
      </c>
      <c r="K342" s="6" t="s">
        <v>92</v>
      </c>
      <c r="L342" s="6" t="s">
        <v>90</v>
      </c>
      <c r="M342" s="6" t="s">
        <v>346</v>
      </c>
      <c r="N342" s="6" t="s">
        <v>94</v>
      </c>
      <c r="O342" s="6" t="s">
        <v>136</v>
      </c>
      <c r="P342" s="6" t="s">
        <v>95</v>
      </c>
      <c r="Q342" s="6" t="s">
        <v>347</v>
      </c>
      <c r="R342" s="6" t="s">
        <v>94</v>
      </c>
      <c r="S342" s="6" t="e">
        <f>VLOOKUP(R342,Customer_Mapping!A:B,2,FALSE)</f>
        <v>#N/A</v>
      </c>
      <c r="T342" s="6" t="s">
        <v>94</v>
      </c>
      <c r="U342" s="6" t="s">
        <v>1342</v>
      </c>
      <c r="V342" s="6" t="s">
        <v>94</v>
      </c>
      <c r="W342" s="6" t="str">
        <f>IF(U342="","",IFERROR(_xlfn.XLOOKUP(U342,Mapping!$A:$A,Mapping!$B:$B),""))</f>
        <v>Project_049</v>
      </c>
      <c r="X342" s="6" t="str">
        <f>IF(V342="","",IFERROR(_xlfn.XLOOKUP(V342,Mapping!$A:$A,Mapping!$B:$B),""))</f>
        <v/>
      </c>
      <c r="Y342" s="6" t="s">
        <v>94</v>
      </c>
      <c r="Z342" s="6" t="s">
        <v>346</v>
      </c>
    </row>
    <row r="343" spans="1:26">
      <c r="A343" s="12">
        <v>342</v>
      </c>
      <c r="B343" s="6" t="s">
        <v>1343</v>
      </c>
      <c r="C343" s="6" t="s">
        <v>1344</v>
      </c>
      <c r="D343" s="6" t="s">
        <v>86</v>
      </c>
      <c r="E343" s="7">
        <v>43380</v>
      </c>
      <c r="F343" s="6" t="s">
        <v>111</v>
      </c>
      <c r="G343" s="6" t="s">
        <v>101</v>
      </c>
      <c r="H343" s="6" t="s">
        <v>1345</v>
      </c>
      <c r="I343" s="6" t="s">
        <v>90</v>
      </c>
      <c r="J343" s="6" t="s">
        <v>91</v>
      </c>
      <c r="K343" s="6" t="s">
        <v>92</v>
      </c>
      <c r="L343" s="6" t="s">
        <v>90</v>
      </c>
      <c r="M343" s="6" t="s">
        <v>103</v>
      </c>
      <c r="N343" s="6" t="s">
        <v>95</v>
      </c>
      <c r="O343" s="6" t="s">
        <v>103</v>
      </c>
      <c r="P343" s="6" t="s">
        <v>122</v>
      </c>
      <c r="Q343" s="6" t="s">
        <v>418</v>
      </c>
      <c r="R343" s="6" t="s">
        <v>1346</v>
      </c>
      <c r="S343" s="6" t="str">
        <f>VLOOKUP(R343,Customer_Mapping!A:B,2,FALSE)</f>
        <v>Customer_023</v>
      </c>
      <c r="T343" s="6" t="s">
        <v>1347</v>
      </c>
      <c r="U343" s="6" t="s">
        <v>339</v>
      </c>
      <c r="V343" s="6" t="s">
        <v>1342</v>
      </c>
      <c r="W343" s="6" t="str">
        <f>IF(U343="","",IFERROR(_xlfn.XLOOKUP(U343,Mapping!$A:$A,Mapping!$B:$B),""))</f>
        <v>Project_012</v>
      </c>
      <c r="X343" s="6" t="str">
        <f>IF(V343="","",IFERROR(_xlfn.XLOOKUP(V343,Mapping!$A:$A,Mapping!$B:$B),""))</f>
        <v>Project_049</v>
      </c>
      <c r="Y343" s="6" t="s">
        <v>286</v>
      </c>
      <c r="Z343" s="6" t="s">
        <v>103</v>
      </c>
    </row>
    <row r="344" spans="1:26">
      <c r="A344" s="12">
        <v>343</v>
      </c>
      <c r="B344" s="6" t="s">
        <v>1348</v>
      </c>
      <c r="C344" s="6" t="s">
        <v>1349</v>
      </c>
      <c r="D344" s="6" t="s">
        <v>86</v>
      </c>
      <c r="E344" s="7">
        <v>44111</v>
      </c>
      <c r="F344" s="6" t="s">
        <v>111</v>
      </c>
      <c r="G344" s="6" t="s">
        <v>389</v>
      </c>
      <c r="H344" s="6" t="s">
        <v>1350</v>
      </c>
      <c r="I344" s="6" t="s">
        <v>90</v>
      </c>
      <c r="J344" s="6" t="s">
        <v>91</v>
      </c>
      <c r="K344" s="6" t="s">
        <v>92</v>
      </c>
      <c r="L344" s="6" t="s">
        <v>90</v>
      </c>
      <c r="M344" s="6" t="s">
        <v>103</v>
      </c>
      <c r="N344" s="6" t="s">
        <v>122</v>
      </c>
      <c r="O344" s="6" t="s">
        <v>103</v>
      </c>
      <c r="P344" s="6" t="s">
        <v>122</v>
      </c>
      <c r="Q344" s="6" t="s">
        <v>418</v>
      </c>
      <c r="R344" s="6" t="s">
        <v>334</v>
      </c>
      <c r="S344" s="6" t="str">
        <f>VLOOKUP(R344,Customer_Mapping!A:B,2,FALSE)</f>
        <v>Customer_009</v>
      </c>
      <c r="T344" s="6" t="s">
        <v>335</v>
      </c>
      <c r="U344" s="6" t="s">
        <v>323</v>
      </c>
      <c r="V344" s="6" t="s">
        <v>339</v>
      </c>
      <c r="W344" s="6" t="str">
        <f>IF(U344="","",IFERROR(_xlfn.XLOOKUP(U344,Mapping!$A:$A,Mapping!$B:$B),""))</f>
        <v>Project_009</v>
      </c>
      <c r="X344" s="6" t="str">
        <f>IF(V344="","",IFERROR(_xlfn.XLOOKUP(V344,Mapping!$A:$A,Mapping!$B:$B),""))</f>
        <v>Project_012</v>
      </c>
      <c r="Y344" s="6" t="s">
        <v>286</v>
      </c>
      <c r="Z344" s="6" t="s">
        <v>103</v>
      </c>
    </row>
    <row r="345" spans="1:26">
      <c r="A345" s="12">
        <v>344</v>
      </c>
      <c r="B345" s="6" t="s">
        <v>1351</v>
      </c>
      <c r="C345" s="6" t="s">
        <v>1352</v>
      </c>
      <c r="D345" s="6" t="s">
        <v>86</v>
      </c>
      <c r="E345" s="7">
        <v>45946</v>
      </c>
      <c r="F345" s="6" t="s">
        <v>507</v>
      </c>
      <c r="G345" s="6" t="s">
        <v>94</v>
      </c>
      <c r="H345" s="6" t="s">
        <v>1353</v>
      </c>
      <c r="I345" s="6" t="s">
        <v>90</v>
      </c>
      <c r="J345" s="6" t="s">
        <v>91</v>
      </c>
      <c r="K345" s="6" t="s">
        <v>92</v>
      </c>
      <c r="L345" s="6" t="s">
        <v>90</v>
      </c>
      <c r="M345" s="6" t="s">
        <v>94</v>
      </c>
      <c r="N345" s="6" t="s">
        <v>94</v>
      </c>
      <c r="O345" s="6" t="s">
        <v>364</v>
      </c>
      <c r="P345" s="6" t="s">
        <v>104</v>
      </c>
      <c r="Q345" s="6" t="s">
        <v>509</v>
      </c>
      <c r="R345" s="6" t="s">
        <v>326</v>
      </c>
      <c r="S345" s="6" t="str">
        <f>VLOOKUP(R345,Customer_Mapping!A:B,2,FALSE)</f>
        <v>Customer_007</v>
      </c>
      <c r="T345" s="6" t="s">
        <v>283</v>
      </c>
      <c r="U345" s="6" t="s">
        <v>331</v>
      </c>
      <c r="V345" s="6" t="s">
        <v>323</v>
      </c>
      <c r="W345" s="6" t="str">
        <f>IF(U345="","",IFERROR(_xlfn.XLOOKUP(U345,Mapping!$A:$A,Mapping!$B:$B),""))</f>
        <v>Project_011</v>
      </c>
      <c r="X345" s="6" t="str">
        <f>IF(V345="","",IFERROR(_xlfn.XLOOKUP(V345,Mapping!$A:$A,Mapping!$B:$B),""))</f>
        <v>Project_009</v>
      </c>
      <c r="Y345" s="6" t="s">
        <v>286</v>
      </c>
      <c r="Z345" s="6" t="s">
        <v>94</v>
      </c>
    </row>
    <row r="346" spans="1:26">
      <c r="A346" s="12">
        <v>345</v>
      </c>
      <c r="B346" s="6" t="s">
        <v>1354</v>
      </c>
      <c r="C346" s="6" t="s">
        <v>1355</v>
      </c>
      <c r="D346" s="6" t="s">
        <v>86</v>
      </c>
      <c r="E346" s="7">
        <v>44035</v>
      </c>
      <c r="F346" s="6" t="s">
        <v>430</v>
      </c>
      <c r="G346" s="6" t="s">
        <v>495</v>
      </c>
      <c r="H346" s="6" t="s">
        <v>1356</v>
      </c>
      <c r="I346" s="6" t="s">
        <v>90</v>
      </c>
      <c r="J346" s="6" t="s">
        <v>91</v>
      </c>
      <c r="K346" s="6" t="s">
        <v>92</v>
      </c>
      <c r="L346" s="6" t="s">
        <v>90</v>
      </c>
      <c r="M346" s="6" t="s">
        <v>131</v>
      </c>
      <c r="N346" s="6" t="s">
        <v>122</v>
      </c>
      <c r="O346" s="6" t="s">
        <v>131</v>
      </c>
      <c r="P346" s="6" t="s">
        <v>122</v>
      </c>
      <c r="Q346" s="6" t="s">
        <v>433</v>
      </c>
      <c r="R346" s="6" t="s">
        <v>334</v>
      </c>
      <c r="S346" s="6" t="str">
        <f>VLOOKUP(R346,Customer_Mapping!A:B,2,FALSE)</f>
        <v>Customer_009</v>
      </c>
      <c r="T346" s="6" t="s">
        <v>335</v>
      </c>
      <c r="U346" s="6" t="s">
        <v>348</v>
      </c>
      <c r="V346" s="6" t="s">
        <v>331</v>
      </c>
      <c r="W346" s="6" t="str">
        <f>IF(U346="","",IFERROR(_xlfn.XLOOKUP(U346,Mapping!$A:$A,Mapping!$B:$B),""))</f>
        <v>Project_014</v>
      </c>
      <c r="X346" s="6" t="str">
        <f>IF(V346="","",IFERROR(_xlfn.XLOOKUP(V346,Mapping!$A:$A,Mapping!$B:$B),""))</f>
        <v>Project_011</v>
      </c>
      <c r="Y346" s="6" t="s">
        <v>286</v>
      </c>
      <c r="Z346" s="6" t="s">
        <v>131</v>
      </c>
    </row>
    <row r="347" spans="1:26">
      <c r="A347" s="12">
        <v>346</v>
      </c>
      <c r="B347" s="6" t="s">
        <v>1357</v>
      </c>
      <c r="C347" s="6" t="s">
        <v>1358</v>
      </c>
      <c r="D347" s="6" t="s">
        <v>86</v>
      </c>
      <c r="E347" s="7">
        <v>46038</v>
      </c>
      <c r="F347" s="6" t="s">
        <v>936</v>
      </c>
      <c r="G347" s="6" t="s">
        <v>94</v>
      </c>
      <c r="H347" s="6" t="s">
        <v>162</v>
      </c>
      <c r="I347" s="6" t="s">
        <v>213</v>
      </c>
      <c r="J347" s="6" t="s">
        <v>91</v>
      </c>
      <c r="K347" s="6" t="s">
        <v>92</v>
      </c>
      <c r="L347" s="6" t="s">
        <v>213</v>
      </c>
      <c r="M347" s="6" t="s">
        <v>94</v>
      </c>
      <c r="N347" s="6" t="s">
        <v>94</v>
      </c>
      <c r="O347" s="6" t="s">
        <v>184</v>
      </c>
      <c r="P347" s="6" t="s">
        <v>104</v>
      </c>
      <c r="Q347" s="6" t="s">
        <v>938</v>
      </c>
      <c r="R347" s="6" t="s">
        <v>351</v>
      </c>
      <c r="S347" s="6" t="str">
        <f>VLOOKUP(R347,Customer_Mapping!A:B,2,FALSE)</f>
        <v>Customer_010</v>
      </c>
      <c r="T347" s="6" t="s">
        <v>283</v>
      </c>
      <c r="U347" s="6" t="s">
        <v>708</v>
      </c>
      <c r="V347" s="6" t="s">
        <v>348</v>
      </c>
      <c r="W347" s="6" t="str">
        <f>IF(U347="","",IFERROR(_xlfn.XLOOKUP(U347,Mapping!$A:$A,Mapping!$B:$B),""))</f>
        <v>Project_039</v>
      </c>
      <c r="X347" s="6" t="str">
        <f>IF(V347="","",IFERROR(_xlfn.XLOOKUP(V347,Mapping!$A:$A,Mapping!$B:$B),""))</f>
        <v>Project_014</v>
      </c>
      <c r="Y347" s="6" t="s">
        <v>286</v>
      </c>
      <c r="Z347" s="6" t="s">
        <v>94</v>
      </c>
    </row>
    <row r="348" spans="1:26">
      <c r="A348" s="12">
        <v>347</v>
      </c>
      <c r="B348" s="6" t="s">
        <v>1359</v>
      </c>
      <c r="C348" s="6" t="s">
        <v>1360</v>
      </c>
      <c r="D348" s="6" t="s">
        <v>86</v>
      </c>
      <c r="E348" s="7">
        <v>44166</v>
      </c>
      <c r="F348" s="6" t="s">
        <v>111</v>
      </c>
      <c r="G348" s="6" t="s">
        <v>526</v>
      </c>
      <c r="H348" s="6" t="s">
        <v>1361</v>
      </c>
      <c r="I348" s="6" t="s">
        <v>90</v>
      </c>
      <c r="J348" s="6" t="s">
        <v>91</v>
      </c>
      <c r="K348" s="6" t="s">
        <v>92</v>
      </c>
      <c r="L348" s="6" t="s">
        <v>90</v>
      </c>
      <c r="M348" s="6" t="s">
        <v>103</v>
      </c>
      <c r="N348" s="6" t="s">
        <v>95</v>
      </c>
      <c r="O348" s="6" t="s">
        <v>117</v>
      </c>
      <c r="P348" s="6" t="s">
        <v>122</v>
      </c>
      <c r="Q348" s="6" t="s">
        <v>281</v>
      </c>
      <c r="R348" s="6" t="s">
        <v>652</v>
      </c>
      <c r="S348" s="6" t="str">
        <f>VLOOKUP(R348,Customer_Mapping!A:B,2,FALSE)</f>
        <v>Customer_018</v>
      </c>
      <c r="T348" s="6" t="s">
        <v>283</v>
      </c>
      <c r="U348" s="6" t="s">
        <v>354</v>
      </c>
      <c r="V348" s="6" t="s">
        <v>708</v>
      </c>
      <c r="W348" s="6" t="str">
        <f>IF(U348="","",IFERROR(_xlfn.XLOOKUP(U348,Mapping!$A:$A,Mapping!$B:$B),""))</f>
        <v>Project_015</v>
      </c>
      <c r="X348" s="6" t="str">
        <f>IF(V348="","",IFERROR(_xlfn.XLOOKUP(V348,Mapping!$A:$A,Mapping!$B:$B),""))</f>
        <v>Project_039</v>
      </c>
      <c r="Y348" s="6" t="s">
        <v>286</v>
      </c>
      <c r="Z348" s="6" t="s">
        <v>103</v>
      </c>
    </row>
    <row r="349" spans="1:26">
      <c r="A349" s="12">
        <v>348</v>
      </c>
      <c r="B349" s="6" t="s">
        <v>1362</v>
      </c>
      <c r="C349" s="6" t="s">
        <v>1363</v>
      </c>
      <c r="D349" s="6" t="s">
        <v>86</v>
      </c>
      <c r="E349" s="7">
        <v>43891</v>
      </c>
      <c r="F349" s="6" t="s">
        <v>150</v>
      </c>
      <c r="G349" s="6" t="s">
        <v>120</v>
      </c>
      <c r="H349" s="6" t="s">
        <v>1364</v>
      </c>
      <c r="I349" s="6" t="s">
        <v>90</v>
      </c>
      <c r="J349" s="6" t="s">
        <v>91</v>
      </c>
      <c r="K349" s="6" t="s">
        <v>92</v>
      </c>
      <c r="L349" s="6" t="s">
        <v>90</v>
      </c>
      <c r="M349" s="6" t="s">
        <v>784</v>
      </c>
      <c r="N349" s="6" t="s">
        <v>94</v>
      </c>
      <c r="O349" s="6" t="s">
        <v>27</v>
      </c>
      <c r="P349" s="6" t="s">
        <v>95</v>
      </c>
      <c r="Q349" s="6" t="s">
        <v>445</v>
      </c>
      <c r="R349" s="6" t="s">
        <v>357</v>
      </c>
      <c r="S349" s="6" t="str">
        <f>VLOOKUP(R349,Customer_Mapping!A:B,2,FALSE)</f>
        <v>Customer_011</v>
      </c>
      <c r="T349" s="6" t="s">
        <v>283</v>
      </c>
      <c r="U349" s="6" t="s">
        <v>387</v>
      </c>
      <c r="V349" s="6" t="s">
        <v>354</v>
      </c>
      <c r="W349" s="6" t="str">
        <f>IF(U349="","",IFERROR(_xlfn.XLOOKUP(U349,Mapping!$A:$A,Mapping!$B:$B),""))</f>
        <v>Project_020</v>
      </c>
      <c r="X349" s="6" t="str">
        <f>IF(V349="","",IFERROR(_xlfn.XLOOKUP(V349,Mapping!$A:$A,Mapping!$B:$B),""))</f>
        <v>Project_015</v>
      </c>
      <c r="Y349" s="6" t="s">
        <v>286</v>
      </c>
      <c r="Z349" s="6" t="s">
        <v>784</v>
      </c>
    </row>
    <row r="350" spans="1:26">
      <c r="A350" s="12">
        <v>349</v>
      </c>
      <c r="B350" s="6" t="s">
        <v>1365</v>
      </c>
      <c r="C350" s="6" t="s">
        <v>1366</v>
      </c>
      <c r="D350" s="6" t="s">
        <v>86</v>
      </c>
      <c r="E350" s="7">
        <v>42932</v>
      </c>
      <c r="F350" s="6" t="s">
        <v>111</v>
      </c>
      <c r="G350" s="6" t="s">
        <v>420</v>
      </c>
      <c r="H350" s="6" t="s">
        <v>1367</v>
      </c>
      <c r="I350" s="6" t="s">
        <v>90</v>
      </c>
      <c r="J350" s="6" t="s">
        <v>91</v>
      </c>
      <c r="K350" s="6" t="s">
        <v>92</v>
      </c>
      <c r="L350" s="6" t="s">
        <v>90</v>
      </c>
      <c r="M350" s="6" t="s">
        <v>675</v>
      </c>
      <c r="N350" s="6" t="s">
        <v>95</v>
      </c>
      <c r="O350" s="6" t="s">
        <v>184</v>
      </c>
      <c r="P350" s="6" t="s">
        <v>104</v>
      </c>
      <c r="Q350" s="6" t="s">
        <v>281</v>
      </c>
      <c r="R350" s="6" t="s">
        <v>391</v>
      </c>
      <c r="S350" s="6" t="str">
        <f>VLOOKUP(R350,Customer_Mapping!A:B,2,FALSE)</f>
        <v>Customer_014</v>
      </c>
      <c r="T350" s="6" t="s">
        <v>386</v>
      </c>
      <c r="U350" s="6" t="s">
        <v>501</v>
      </c>
      <c r="V350" s="6" t="s">
        <v>387</v>
      </c>
      <c r="W350" s="6" t="str">
        <f>IF(U350="","",IFERROR(_xlfn.XLOOKUP(U350,Mapping!$A:$A,Mapping!$B:$B),""))</f>
        <v>Project_029</v>
      </c>
      <c r="X350" s="6" t="str">
        <f>IF(V350="","",IFERROR(_xlfn.XLOOKUP(V350,Mapping!$A:$A,Mapping!$B:$B),""))</f>
        <v>Project_020</v>
      </c>
      <c r="Y350" s="6" t="s">
        <v>286</v>
      </c>
      <c r="Z350" s="6" t="s">
        <v>675</v>
      </c>
    </row>
    <row r="351" spans="1:26">
      <c r="A351" s="12">
        <v>350</v>
      </c>
      <c r="B351" s="6" t="s">
        <v>1368</v>
      </c>
      <c r="C351" s="6" t="s">
        <v>1369</v>
      </c>
      <c r="D351" s="6" t="s">
        <v>86</v>
      </c>
      <c r="E351" s="7">
        <v>43055</v>
      </c>
      <c r="F351" s="6" t="s">
        <v>111</v>
      </c>
      <c r="G351" s="6" t="s">
        <v>1370</v>
      </c>
      <c r="H351" s="6" t="s">
        <v>1371</v>
      </c>
      <c r="I351" s="6" t="s">
        <v>90</v>
      </c>
      <c r="J351" s="6" t="s">
        <v>91</v>
      </c>
      <c r="K351" s="6" t="s">
        <v>92</v>
      </c>
      <c r="L351" s="6" t="s">
        <v>90</v>
      </c>
      <c r="M351" s="6" t="s">
        <v>136</v>
      </c>
      <c r="N351" s="6" t="s">
        <v>95</v>
      </c>
      <c r="O351" s="6" t="s">
        <v>136</v>
      </c>
      <c r="P351" s="6" t="s">
        <v>122</v>
      </c>
      <c r="Q351" s="6" t="s">
        <v>281</v>
      </c>
      <c r="R351" s="6" t="s">
        <v>334</v>
      </c>
      <c r="S351" s="6" t="str">
        <f>VLOOKUP(R351,Customer_Mapping!A:B,2,FALSE)</f>
        <v>Customer_009</v>
      </c>
      <c r="T351" s="6" t="s">
        <v>335</v>
      </c>
      <c r="U351" s="6" t="s">
        <v>1372</v>
      </c>
      <c r="V351" s="6" t="s">
        <v>501</v>
      </c>
      <c r="W351" s="6" t="str">
        <f>IF(U351="","",IFERROR(_xlfn.XLOOKUP(U351,Mapping!$A:$A,Mapping!$B:$B),""))</f>
        <v>Project_050</v>
      </c>
      <c r="X351" s="6" t="str">
        <f>IF(V351="","",IFERROR(_xlfn.XLOOKUP(V351,Mapping!$A:$A,Mapping!$B:$B),""))</f>
        <v>Project_029</v>
      </c>
      <c r="Y351" s="6" t="s">
        <v>286</v>
      </c>
      <c r="Z351" s="6" t="s">
        <v>136</v>
      </c>
    </row>
    <row r="352" spans="1:26">
      <c r="A352" s="12">
        <v>351</v>
      </c>
      <c r="B352" s="6" t="s">
        <v>1373</v>
      </c>
      <c r="C352" s="6" t="s">
        <v>1374</v>
      </c>
      <c r="D352" s="6" t="s">
        <v>86</v>
      </c>
      <c r="E352" s="7">
        <v>43983</v>
      </c>
      <c r="F352" s="6" t="s">
        <v>204</v>
      </c>
      <c r="G352" s="6" t="s">
        <v>175</v>
      </c>
      <c r="H352" s="6" t="s">
        <v>1375</v>
      </c>
      <c r="I352" s="6" t="s">
        <v>90</v>
      </c>
      <c r="J352" s="6" t="s">
        <v>91</v>
      </c>
      <c r="K352" s="6" t="s">
        <v>92</v>
      </c>
      <c r="L352" s="6" t="s">
        <v>90</v>
      </c>
      <c r="M352" s="6" t="s">
        <v>43</v>
      </c>
      <c r="N352" s="6" t="s">
        <v>122</v>
      </c>
      <c r="O352" s="6" t="s">
        <v>642</v>
      </c>
      <c r="P352" s="6" t="s">
        <v>122</v>
      </c>
      <c r="Q352" s="6" t="s">
        <v>321</v>
      </c>
      <c r="R352" s="6" t="s">
        <v>334</v>
      </c>
      <c r="S352" s="6" t="str">
        <f>VLOOKUP(R352,Customer_Mapping!A:B,2,FALSE)</f>
        <v>Customer_009</v>
      </c>
      <c r="T352" s="6" t="s">
        <v>335</v>
      </c>
      <c r="U352" s="6" t="s">
        <v>315</v>
      </c>
      <c r="V352" s="6" t="s">
        <v>1372</v>
      </c>
      <c r="W352" s="6" t="str">
        <f>IF(U352="","",IFERROR(_xlfn.XLOOKUP(U352,Mapping!$A:$A,Mapping!$B:$B),""))</f>
        <v>Project_007</v>
      </c>
      <c r="X352" s="6" t="str">
        <f>IF(V352="","",IFERROR(_xlfn.XLOOKUP(V352,Mapping!$A:$A,Mapping!$B:$B),""))</f>
        <v>Project_050</v>
      </c>
      <c r="Y352" s="6" t="s">
        <v>286</v>
      </c>
      <c r="Z352" s="6" t="s">
        <v>43</v>
      </c>
    </row>
    <row r="353" spans="1:26">
      <c r="A353" s="12">
        <v>352</v>
      </c>
      <c r="B353" s="6" t="s">
        <v>1376</v>
      </c>
      <c r="C353" s="6" t="s">
        <v>1377</v>
      </c>
      <c r="D353" s="6" t="s">
        <v>86</v>
      </c>
      <c r="E353" s="7">
        <v>45283</v>
      </c>
      <c r="F353" s="6" t="s">
        <v>26</v>
      </c>
      <c r="G353" s="6" t="s">
        <v>120</v>
      </c>
      <c r="H353" s="6" t="s">
        <v>1378</v>
      </c>
      <c r="I353" s="6" t="s">
        <v>90</v>
      </c>
      <c r="J353" s="6" t="s">
        <v>91</v>
      </c>
      <c r="K353" s="6" t="s">
        <v>92</v>
      </c>
      <c r="L353" s="6" t="s">
        <v>90</v>
      </c>
      <c r="M353" s="6" t="s">
        <v>27</v>
      </c>
      <c r="N353" s="6" t="s">
        <v>104</v>
      </c>
      <c r="O353" s="6" t="s">
        <v>313</v>
      </c>
      <c r="P353" s="6" t="s">
        <v>104</v>
      </c>
      <c r="Q353" s="6" t="s">
        <v>296</v>
      </c>
      <c r="R353" s="6" t="s">
        <v>317</v>
      </c>
      <c r="S353" s="6" t="str">
        <f>VLOOKUP(R353,Customer_Mapping!A:B,2,FALSE)</f>
        <v>Customer_006</v>
      </c>
      <c r="T353" s="6" t="s">
        <v>283</v>
      </c>
      <c r="U353" s="6" t="s">
        <v>387</v>
      </c>
      <c r="V353" s="6" t="s">
        <v>315</v>
      </c>
      <c r="W353" s="6" t="str">
        <f>IF(U353="","",IFERROR(_xlfn.XLOOKUP(U353,Mapping!$A:$A,Mapping!$B:$B),""))</f>
        <v>Project_020</v>
      </c>
      <c r="X353" s="6" t="str">
        <f>IF(V353="","",IFERROR(_xlfn.XLOOKUP(V353,Mapping!$A:$A,Mapping!$B:$B),""))</f>
        <v>Project_007</v>
      </c>
      <c r="Y353" s="6" t="s">
        <v>286</v>
      </c>
      <c r="Z353" s="6" t="s">
        <v>27</v>
      </c>
    </row>
    <row r="354" spans="1:26">
      <c r="A354" s="12">
        <v>353</v>
      </c>
      <c r="B354" s="6" t="s">
        <v>1379</v>
      </c>
      <c r="C354" s="6" t="s">
        <v>1380</v>
      </c>
      <c r="D354" s="6" t="s">
        <v>86</v>
      </c>
      <c r="E354" s="7">
        <v>46149</v>
      </c>
      <c r="F354" s="6" t="s">
        <v>111</v>
      </c>
      <c r="G354" s="6" t="s">
        <v>94</v>
      </c>
      <c r="H354" s="6" t="s">
        <v>94</v>
      </c>
      <c r="I354" s="6" t="s">
        <v>90</v>
      </c>
      <c r="J354" s="6" t="s">
        <v>91</v>
      </c>
      <c r="K354" s="6" t="s">
        <v>92</v>
      </c>
      <c r="L354" s="6" t="s">
        <v>90</v>
      </c>
      <c r="M354" s="6" t="s">
        <v>94</v>
      </c>
      <c r="N354" s="6" t="s">
        <v>94</v>
      </c>
      <c r="O354" s="6" t="s">
        <v>136</v>
      </c>
      <c r="P354" s="6" t="s">
        <v>95</v>
      </c>
      <c r="Q354" s="6" t="s">
        <v>281</v>
      </c>
      <c r="R354" s="6" t="s">
        <v>391</v>
      </c>
      <c r="S354" s="6" t="str">
        <f>VLOOKUP(R354,Customer_Mapping!A:B,2,FALSE)</f>
        <v>Customer_014</v>
      </c>
      <c r="T354" s="6" t="s">
        <v>386</v>
      </c>
      <c r="U354" s="6" t="s">
        <v>305</v>
      </c>
      <c r="V354" s="6" t="s">
        <v>387</v>
      </c>
      <c r="W354" s="6" t="str">
        <f>IF(U354="","",IFERROR(_xlfn.XLOOKUP(U354,Mapping!$A:$A,Mapping!$B:$B),""))</f>
        <v>Project_005</v>
      </c>
      <c r="X354" s="6" t="str">
        <f>IF(V354="","",IFERROR(_xlfn.XLOOKUP(V354,Mapping!$A:$A,Mapping!$B:$B),""))</f>
        <v>Project_020</v>
      </c>
      <c r="Y354" s="6" t="s">
        <v>286</v>
      </c>
      <c r="Z354" s="6" t="s">
        <v>94</v>
      </c>
    </row>
    <row r="355" spans="1:26">
      <c r="A355" s="12">
        <v>354</v>
      </c>
      <c r="B355" s="6" t="s">
        <v>1381</v>
      </c>
      <c r="C355" s="6" t="s">
        <v>1382</v>
      </c>
      <c r="D355" s="6" t="s">
        <v>86</v>
      </c>
      <c r="E355" s="7">
        <v>43313</v>
      </c>
      <c r="F355" s="6" t="s">
        <v>111</v>
      </c>
      <c r="G355" s="6" t="s">
        <v>1383</v>
      </c>
      <c r="H355" s="6" t="s">
        <v>1384</v>
      </c>
      <c r="I355" s="6" t="s">
        <v>90</v>
      </c>
      <c r="J355" s="6" t="s">
        <v>91</v>
      </c>
      <c r="K355" s="6" t="s">
        <v>92</v>
      </c>
      <c r="L355" s="6" t="s">
        <v>90</v>
      </c>
      <c r="M355" s="6" t="s">
        <v>103</v>
      </c>
      <c r="N355" s="6" t="s">
        <v>95</v>
      </c>
      <c r="O355" s="6" t="s">
        <v>313</v>
      </c>
      <c r="P355" s="6" t="s">
        <v>122</v>
      </c>
      <c r="Q355" s="6" t="s">
        <v>281</v>
      </c>
      <c r="R355" s="6" t="s">
        <v>308</v>
      </c>
      <c r="S355" s="6" t="str">
        <f>VLOOKUP(R355,Customer_Mapping!A:B,2,FALSE)</f>
        <v>Customer_004</v>
      </c>
      <c r="T355" s="6" t="s">
        <v>283</v>
      </c>
      <c r="U355" s="6" t="s">
        <v>285</v>
      </c>
      <c r="V355" s="6" t="s">
        <v>305</v>
      </c>
      <c r="W355" s="6" t="str">
        <f>IF(U355="","",IFERROR(_xlfn.XLOOKUP(U355,Mapping!$A:$A,Mapping!$B:$B),""))</f>
        <v>Project_017</v>
      </c>
      <c r="X355" s="6" t="str">
        <f>IF(V355="","",IFERROR(_xlfn.XLOOKUP(V355,Mapping!$A:$A,Mapping!$B:$B),""))</f>
        <v>Project_005</v>
      </c>
      <c r="Y355" s="6" t="s">
        <v>286</v>
      </c>
      <c r="Z355" s="6" t="s">
        <v>103</v>
      </c>
    </row>
    <row r="356" spans="1:26">
      <c r="A356" s="12">
        <v>355</v>
      </c>
      <c r="B356" s="6" t="s">
        <v>1385</v>
      </c>
      <c r="C356" s="6" t="s">
        <v>1386</v>
      </c>
      <c r="D356" s="6" t="s">
        <v>86</v>
      </c>
      <c r="E356" s="7">
        <v>43040</v>
      </c>
      <c r="F356" s="6" t="s">
        <v>111</v>
      </c>
      <c r="G356" s="6" t="s">
        <v>603</v>
      </c>
      <c r="H356" s="6" t="s">
        <v>1387</v>
      </c>
      <c r="I356" s="6" t="s">
        <v>90</v>
      </c>
      <c r="J356" s="6" t="s">
        <v>91</v>
      </c>
      <c r="K356" s="6" t="s">
        <v>92</v>
      </c>
      <c r="L356" s="6" t="s">
        <v>90</v>
      </c>
      <c r="M356" s="6" t="s">
        <v>131</v>
      </c>
      <c r="N356" s="6" t="s">
        <v>95</v>
      </c>
      <c r="O356" s="6" t="s">
        <v>131</v>
      </c>
      <c r="P356" s="6" t="s">
        <v>122</v>
      </c>
      <c r="Q356" s="6" t="s">
        <v>281</v>
      </c>
      <c r="R356" s="6" t="s">
        <v>282</v>
      </c>
      <c r="S356" s="6" t="str">
        <f>VLOOKUP(R356,Customer_Mapping!A:B,2,FALSE)</f>
        <v>Customer_001</v>
      </c>
      <c r="T356" s="6" t="s">
        <v>283</v>
      </c>
      <c r="U356" s="6" t="s">
        <v>348</v>
      </c>
      <c r="V356" s="6" t="s">
        <v>285</v>
      </c>
      <c r="W356" s="6" t="str">
        <f>IF(U356="","",IFERROR(_xlfn.XLOOKUP(U356,Mapping!$A:$A,Mapping!$B:$B),""))</f>
        <v>Project_014</v>
      </c>
      <c r="X356" s="6" t="str">
        <f>IF(V356="","",IFERROR(_xlfn.XLOOKUP(V356,Mapping!$A:$A,Mapping!$B:$B),""))</f>
        <v>Project_017</v>
      </c>
      <c r="Y356" s="6" t="s">
        <v>286</v>
      </c>
      <c r="Z356" s="6" t="s">
        <v>131</v>
      </c>
    </row>
    <row r="357" spans="1:26">
      <c r="A357" s="12">
        <v>356</v>
      </c>
      <c r="B357" s="6" t="s">
        <v>1388</v>
      </c>
      <c r="C357" s="6" t="s">
        <v>1389</v>
      </c>
      <c r="D357" s="6" t="s">
        <v>86</v>
      </c>
      <c r="E357" s="7">
        <v>45123</v>
      </c>
      <c r="F357" s="6" t="s">
        <v>111</v>
      </c>
      <c r="G357" s="6" t="s">
        <v>182</v>
      </c>
      <c r="H357" s="6" t="s">
        <v>1390</v>
      </c>
      <c r="I357" s="6" t="s">
        <v>90</v>
      </c>
      <c r="J357" s="6" t="s">
        <v>91</v>
      </c>
      <c r="K357" s="6" t="s">
        <v>92</v>
      </c>
      <c r="L357" s="6" t="s">
        <v>90</v>
      </c>
      <c r="M357" s="6" t="s">
        <v>103</v>
      </c>
      <c r="N357" s="6" t="s">
        <v>122</v>
      </c>
      <c r="O357" s="6" t="s">
        <v>103</v>
      </c>
      <c r="P357" s="6" t="s">
        <v>122</v>
      </c>
      <c r="Q357" s="6" t="s">
        <v>418</v>
      </c>
      <c r="R357" s="6" t="s">
        <v>351</v>
      </c>
      <c r="S357" s="6" t="str">
        <f>VLOOKUP(R357,Customer_Mapping!A:B,2,FALSE)</f>
        <v>Customer_010</v>
      </c>
      <c r="T357" s="6" t="s">
        <v>283</v>
      </c>
      <c r="U357" s="6" t="s">
        <v>387</v>
      </c>
      <c r="V357" s="6" t="s">
        <v>348</v>
      </c>
      <c r="W357" s="6" t="str">
        <f>IF(U357="","",IFERROR(_xlfn.XLOOKUP(U357,Mapping!$A:$A,Mapping!$B:$B),""))</f>
        <v>Project_020</v>
      </c>
      <c r="X357" s="6" t="str">
        <f>IF(V357="","",IFERROR(_xlfn.XLOOKUP(V357,Mapping!$A:$A,Mapping!$B:$B),""))</f>
        <v>Project_014</v>
      </c>
      <c r="Y357" s="6" t="s">
        <v>286</v>
      </c>
      <c r="Z357" s="6" t="s">
        <v>103</v>
      </c>
    </row>
    <row r="358" spans="1:26">
      <c r="A358" s="12">
        <v>357</v>
      </c>
      <c r="B358" s="6" t="s">
        <v>1391</v>
      </c>
      <c r="C358" s="6" t="s">
        <v>1392</v>
      </c>
      <c r="D358" s="6" t="s">
        <v>86</v>
      </c>
      <c r="E358" s="7">
        <v>43175</v>
      </c>
      <c r="F358" s="6" t="s">
        <v>111</v>
      </c>
      <c r="G358" s="6" t="s">
        <v>134</v>
      </c>
      <c r="H358" s="6" t="s">
        <v>1393</v>
      </c>
      <c r="I358" s="6" t="s">
        <v>90</v>
      </c>
      <c r="J358" s="6" t="s">
        <v>91</v>
      </c>
      <c r="K358" s="6" t="s">
        <v>92</v>
      </c>
      <c r="L358" s="6" t="s">
        <v>90</v>
      </c>
      <c r="M358" s="6" t="s">
        <v>131</v>
      </c>
      <c r="N358" s="6" t="s">
        <v>95</v>
      </c>
      <c r="O358" s="6" t="s">
        <v>131</v>
      </c>
      <c r="P358" s="6" t="s">
        <v>95</v>
      </c>
      <c r="Q358" s="6" t="s">
        <v>281</v>
      </c>
      <c r="R358" s="6" t="s">
        <v>391</v>
      </c>
      <c r="S358" s="6" t="str">
        <f>VLOOKUP(R358,Customer_Mapping!A:B,2,FALSE)</f>
        <v>Customer_014</v>
      </c>
      <c r="T358" s="6" t="s">
        <v>386</v>
      </c>
      <c r="U358" s="6" t="s">
        <v>285</v>
      </c>
      <c r="V358" s="6" t="s">
        <v>387</v>
      </c>
      <c r="W358" s="6" t="str">
        <f>IF(U358="","",IFERROR(_xlfn.XLOOKUP(U358,Mapping!$A:$A,Mapping!$B:$B),""))</f>
        <v>Project_017</v>
      </c>
      <c r="X358" s="6" t="str">
        <f>IF(V358="","",IFERROR(_xlfn.XLOOKUP(V358,Mapping!$A:$A,Mapping!$B:$B),""))</f>
        <v>Project_020</v>
      </c>
      <c r="Y358" s="6" t="s">
        <v>286</v>
      </c>
      <c r="Z358" s="6" t="s">
        <v>131</v>
      </c>
    </row>
    <row r="359" spans="1:26">
      <c r="A359" s="12">
        <v>358</v>
      </c>
      <c r="B359" s="6" t="s">
        <v>1394</v>
      </c>
      <c r="C359" s="6" t="s">
        <v>1395</v>
      </c>
      <c r="D359" s="6" t="s">
        <v>86</v>
      </c>
      <c r="E359" s="7">
        <v>45907</v>
      </c>
      <c r="F359" s="6" t="s">
        <v>111</v>
      </c>
      <c r="G359" s="6" t="s">
        <v>94</v>
      </c>
      <c r="H359" s="6" t="s">
        <v>94</v>
      </c>
      <c r="I359" s="6" t="s">
        <v>90</v>
      </c>
      <c r="J359" s="6" t="s">
        <v>91</v>
      </c>
      <c r="K359" s="6" t="s">
        <v>92</v>
      </c>
      <c r="L359" s="6" t="s">
        <v>90</v>
      </c>
      <c r="M359" s="6" t="s">
        <v>94</v>
      </c>
      <c r="N359" s="6" t="s">
        <v>94</v>
      </c>
      <c r="O359" s="6" t="s">
        <v>412</v>
      </c>
      <c r="P359" s="6" t="s">
        <v>95</v>
      </c>
      <c r="Q359" s="6" t="s">
        <v>418</v>
      </c>
      <c r="R359" s="6" t="s">
        <v>282</v>
      </c>
      <c r="S359" s="6" t="str">
        <f>VLOOKUP(R359,Customer_Mapping!A:B,2,FALSE)</f>
        <v>Customer_001</v>
      </c>
      <c r="T359" s="6" t="s">
        <v>283</v>
      </c>
      <c r="U359" s="6" t="s">
        <v>387</v>
      </c>
      <c r="V359" s="6" t="s">
        <v>285</v>
      </c>
      <c r="W359" s="6" t="str">
        <f>IF(U359="","",IFERROR(_xlfn.XLOOKUP(U359,Mapping!$A:$A,Mapping!$B:$B),""))</f>
        <v>Project_020</v>
      </c>
      <c r="X359" s="6" t="str">
        <f>IF(V359="","",IFERROR(_xlfn.XLOOKUP(V359,Mapping!$A:$A,Mapping!$B:$B),""))</f>
        <v>Project_017</v>
      </c>
      <c r="Y359" s="6" t="s">
        <v>286</v>
      </c>
      <c r="Z359" s="6" t="s">
        <v>94</v>
      </c>
    </row>
    <row r="360" spans="1:26">
      <c r="A360" s="12">
        <v>359</v>
      </c>
      <c r="B360" s="6" t="s">
        <v>1396</v>
      </c>
      <c r="C360" s="6" t="s">
        <v>1397</v>
      </c>
      <c r="D360" s="6" t="s">
        <v>86</v>
      </c>
      <c r="E360" s="7">
        <v>46045</v>
      </c>
      <c r="F360" s="6" t="s">
        <v>337</v>
      </c>
      <c r="G360" s="6" t="s">
        <v>94</v>
      </c>
      <c r="H360" s="6" t="s">
        <v>536</v>
      </c>
      <c r="I360" s="6" t="s">
        <v>90</v>
      </c>
      <c r="J360" s="6" t="s">
        <v>91</v>
      </c>
      <c r="K360" s="6" t="s">
        <v>92</v>
      </c>
      <c r="L360" s="6" t="s">
        <v>90</v>
      </c>
      <c r="M360" s="6" t="s">
        <v>94</v>
      </c>
      <c r="N360" s="6" t="s">
        <v>94</v>
      </c>
      <c r="O360" s="6" t="s">
        <v>131</v>
      </c>
      <c r="P360" s="6" t="s">
        <v>95</v>
      </c>
      <c r="Q360" s="6" t="s">
        <v>338</v>
      </c>
      <c r="R360" s="6" t="s">
        <v>391</v>
      </c>
      <c r="S360" s="6" t="str">
        <f>VLOOKUP(R360,Customer_Mapping!A:B,2,FALSE)</f>
        <v>Customer_014</v>
      </c>
      <c r="T360" s="6" t="s">
        <v>386</v>
      </c>
      <c r="U360" s="6" t="s">
        <v>318</v>
      </c>
      <c r="V360" s="6" t="s">
        <v>387</v>
      </c>
      <c r="W360" s="6" t="str">
        <f>IF(U360="","",IFERROR(_xlfn.XLOOKUP(U360,Mapping!$A:$A,Mapping!$B:$B),""))</f>
        <v>Project_008</v>
      </c>
      <c r="X360" s="6" t="str">
        <f>IF(V360="","",IFERROR(_xlfn.XLOOKUP(V360,Mapping!$A:$A,Mapping!$B:$B),""))</f>
        <v>Project_020</v>
      </c>
      <c r="Y360" s="6" t="s">
        <v>286</v>
      </c>
      <c r="Z360" s="6" t="s">
        <v>94</v>
      </c>
    </row>
    <row r="361" spans="1:26">
      <c r="A361" s="12">
        <v>360</v>
      </c>
      <c r="B361" s="6" t="s">
        <v>1398</v>
      </c>
      <c r="C361" s="6" t="s">
        <v>1399</v>
      </c>
      <c r="D361" s="6" t="s">
        <v>86</v>
      </c>
      <c r="E361" s="7">
        <v>45108</v>
      </c>
      <c r="F361" s="6" t="s">
        <v>111</v>
      </c>
      <c r="G361" s="6" t="s">
        <v>389</v>
      </c>
      <c r="H361" s="6" t="s">
        <v>1400</v>
      </c>
      <c r="I361" s="6" t="s">
        <v>90</v>
      </c>
      <c r="J361" s="6" t="s">
        <v>91</v>
      </c>
      <c r="K361" s="6" t="s">
        <v>92</v>
      </c>
      <c r="L361" s="6" t="s">
        <v>90</v>
      </c>
      <c r="M361" s="6" t="s">
        <v>131</v>
      </c>
      <c r="N361" s="6" t="s">
        <v>95</v>
      </c>
      <c r="O361" s="6" t="s">
        <v>117</v>
      </c>
      <c r="P361" s="6" t="s">
        <v>122</v>
      </c>
      <c r="Q361" s="6" t="s">
        <v>418</v>
      </c>
      <c r="R361" s="6" t="s">
        <v>308</v>
      </c>
      <c r="S361" s="6" t="str">
        <f>VLOOKUP(R361,Customer_Mapping!A:B,2,FALSE)</f>
        <v>Customer_004</v>
      </c>
      <c r="T361" s="6" t="s">
        <v>283</v>
      </c>
      <c r="U361" s="6" t="s">
        <v>1401</v>
      </c>
      <c r="V361" s="6" t="s">
        <v>318</v>
      </c>
      <c r="W361" s="6" t="str">
        <f>IF(U361="","",IFERROR(_xlfn.XLOOKUP(U361,Mapping!$A:$A,Mapping!$B:$B),""))</f>
        <v>Project_051</v>
      </c>
      <c r="X361" s="6" t="str">
        <f>IF(V361="","",IFERROR(_xlfn.XLOOKUP(V361,Mapping!$A:$A,Mapping!$B:$B),""))</f>
        <v>Project_008</v>
      </c>
      <c r="Y361" s="6" t="s">
        <v>286</v>
      </c>
      <c r="Z361" s="6" t="s">
        <v>131</v>
      </c>
    </row>
    <row r="362" spans="1:26">
      <c r="A362" s="12">
        <v>361</v>
      </c>
      <c r="B362" s="6" t="s">
        <v>1402</v>
      </c>
      <c r="C362" s="6" t="s">
        <v>1403</v>
      </c>
      <c r="D362" s="6" t="s">
        <v>86</v>
      </c>
      <c r="E362" s="7">
        <v>46174</v>
      </c>
      <c r="F362" s="6" t="s">
        <v>288</v>
      </c>
      <c r="G362" s="6" t="s">
        <v>94</v>
      </c>
      <c r="H362" s="6" t="s">
        <v>94</v>
      </c>
      <c r="I362" s="6" t="s">
        <v>90</v>
      </c>
      <c r="J362" s="6" t="s">
        <v>91</v>
      </c>
      <c r="K362" s="6" t="s">
        <v>92</v>
      </c>
      <c r="L362" s="6" t="s">
        <v>90</v>
      </c>
      <c r="M362" s="6" t="s">
        <v>94</v>
      </c>
      <c r="N362" s="6" t="s">
        <v>94</v>
      </c>
      <c r="O362" s="6" t="s">
        <v>117</v>
      </c>
      <c r="P362" s="6" t="s">
        <v>95</v>
      </c>
      <c r="Q362" s="6" t="s">
        <v>291</v>
      </c>
      <c r="R362" s="6" t="s">
        <v>652</v>
      </c>
      <c r="S362" s="6" t="str">
        <f>VLOOKUP(R362,Customer_Mapping!A:B,2,FALSE)</f>
        <v>Customer_018</v>
      </c>
      <c r="T362" s="6" t="s">
        <v>283</v>
      </c>
      <c r="U362" s="6" t="s">
        <v>305</v>
      </c>
      <c r="V362" s="6" t="s">
        <v>1401</v>
      </c>
      <c r="W362" s="6" t="str">
        <f>IF(U362="","",IFERROR(_xlfn.XLOOKUP(U362,Mapping!$A:$A,Mapping!$B:$B),""))</f>
        <v>Project_005</v>
      </c>
      <c r="X362" s="6" t="str">
        <f>IF(V362="","",IFERROR(_xlfn.XLOOKUP(V362,Mapping!$A:$A,Mapping!$B:$B),""))</f>
        <v>Project_051</v>
      </c>
      <c r="Y362" s="6" t="s">
        <v>286</v>
      </c>
      <c r="Z362" s="6" t="s">
        <v>94</v>
      </c>
    </row>
    <row r="363" spans="1:26">
      <c r="A363" s="12">
        <v>362</v>
      </c>
      <c r="B363" s="6" t="s">
        <v>1404</v>
      </c>
      <c r="C363" s="6" t="s">
        <v>1405</v>
      </c>
      <c r="D363" s="6" t="s">
        <v>86</v>
      </c>
      <c r="E363" s="7">
        <v>45901</v>
      </c>
      <c r="F363" s="6" t="s">
        <v>922</v>
      </c>
      <c r="G363" s="6" t="s">
        <v>94</v>
      </c>
      <c r="H363" s="6" t="s">
        <v>94</v>
      </c>
      <c r="I363" s="6" t="s">
        <v>90</v>
      </c>
      <c r="J363" s="6" t="s">
        <v>91</v>
      </c>
      <c r="K363" s="6" t="s">
        <v>92</v>
      </c>
      <c r="L363" s="6" t="s">
        <v>90</v>
      </c>
      <c r="M363" s="6" t="s">
        <v>94</v>
      </c>
      <c r="N363" s="6" t="s">
        <v>94</v>
      </c>
      <c r="O363" s="6" t="s">
        <v>313</v>
      </c>
      <c r="P363" s="6" t="s">
        <v>104</v>
      </c>
      <c r="Q363" s="6" t="s">
        <v>924</v>
      </c>
      <c r="R363" s="6" t="s">
        <v>308</v>
      </c>
      <c r="S363" s="6" t="str">
        <f>VLOOKUP(R363,Customer_Mapping!A:B,2,FALSE)</f>
        <v>Customer_004</v>
      </c>
      <c r="T363" s="6" t="s">
        <v>283</v>
      </c>
      <c r="U363" s="6" t="s">
        <v>298</v>
      </c>
      <c r="V363" s="6" t="s">
        <v>305</v>
      </c>
      <c r="W363" s="6" t="str">
        <f>IF(U363="","",IFERROR(_xlfn.XLOOKUP(U363,Mapping!$A:$A,Mapping!$B:$B),""))</f>
        <v>Project_003</v>
      </c>
      <c r="X363" s="6" t="str">
        <f>IF(V363="","",IFERROR(_xlfn.XLOOKUP(V363,Mapping!$A:$A,Mapping!$B:$B),""))</f>
        <v>Project_005</v>
      </c>
      <c r="Y363" s="6" t="s">
        <v>286</v>
      </c>
      <c r="Z363" s="6" t="s">
        <v>94</v>
      </c>
    </row>
    <row r="364" spans="1:26">
      <c r="A364" s="12">
        <v>363</v>
      </c>
      <c r="B364" s="6" t="s">
        <v>1406</v>
      </c>
      <c r="C364" s="6" t="s">
        <v>1407</v>
      </c>
      <c r="D364" s="6" t="s">
        <v>86</v>
      </c>
      <c r="E364" s="7">
        <v>46149</v>
      </c>
      <c r="F364" s="6" t="s">
        <v>155</v>
      </c>
      <c r="G364" s="6" t="s">
        <v>94</v>
      </c>
      <c r="H364" s="6" t="s">
        <v>156</v>
      </c>
      <c r="I364" s="6" t="s">
        <v>213</v>
      </c>
      <c r="J364" s="6" t="s">
        <v>91</v>
      </c>
      <c r="K364" s="6" t="s">
        <v>92</v>
      </c>
      <c r="L364" s="6" t="s">
        <v>213</v>
      </c>
      <c r="M364" s="6" t="s">
        <v>94</v>
      </c>
      <c r="N364" s="6" t="s">
        <v>94</v>
      </c>
      <c r="O364" s="6" t="s">
        <v>27</v>
      </c>
      <c r="P364" s="6" t="s">
        <v>104</v>
      </c>
      <c r="Q364" s="6" t="s">
        <v>369</v>
      </c>
      <c r="R364" s="6" t="s">
        <v>300</v>
      </c>
      <c r="S364" s="6" t="str">
        <f>VLOOKUP(R364,Customer_Mapping!A:B,2,FALSE)</f>
        <v>Customer_003</v>
      </c>
      <c r="T364" s="6" t="s">
        <v>283</v>
      </c>
      <c r="U364" s="6" t="s">
        <v>392</v>
      </c>
      <c r="V364" s="6" t="s">
        <v>298</v>
      </c>
      <c r="W364" s="6" t="str">
        <f>IF(U364="","",IFERROR(_xlfn.XLOOKUP(U364,Mapping!$A:$A,Mapping!$B:$B),""))</f>
        <v>Project_021</v>
      </c>
      <c r="X364" s="6" t="str">
        <f>IF(V364="","",IFERROR(_xlfn.XLOOKUP(V364,Mapping!$A:$A,Mapping!$B:$B),""))</f>
        <v>Project_003</v>
      </c>
      <c r="Y364" s="6" t="s">
        <v>286</v>
      </c>
      <c r="Z364" s="6" t="s">
        <v>94</v>
      </c>
    </row>
    <row r="365" spans="1:26">
      <c r="A365" s="12">
        <v>364</v>
      </c>
      <c r="B365" s="6" t="s">
        <v>1408</v>
      </c>
      <c r="C365" s="6" t="s">
        <v>1409</v>
      </c>
      <c r="D365" s="6" t="s">
        <v>86</v>
      </c>
      <c r="E365" s="7">
        <v>44743</v>
      </c>
      <c r="F365" s="6" t="s">
        <v>204</v>
      </c>
      <c r="G365" s="6" t="s">
        <v>389</v>
      </c>
      <c r="H365" s="6" t="s">
        <v>1410</v>
      </c>
      <c r="I365" s="6" t="s">
        <v>90</v>
      </c>
      <c r="J365" s="6" t="s">
        <v>91</v>
      </c>
      <c r="K365" s="6" t="s">
        <v>92</v>
      </c>
      <c r="L365" s="6" t="s">
        <v>90</v>
      </c>
      <c r="M365" s="6" t="s">
        <v>43</v>
      </c>
      <c r="N365" s="6" t="s">
        <v>94</v>
      </c>
      <c r="O365" s="6" t="s">
        <v>43</v>
      </c>
      <c r="P365" s="6" t="s">
        <v>95</v>
      </c>
      <c r="Q365" s="6" t="s">
        <v>403</v>
      </c>
      <c r="R365" s="6" t="s">
        <v>282</v>
      </c>
      <c r="S365" s="6" t="str">
        <f>VLOOKUP(R365,Customer_Mapping!A:B,2,FALSE)</f>
        <v>Customer_001</v>
      </c>
      <c r="T365" s="6" t="s">
        <v>283</v>
      </c>
      <c r="U365" s="6" t="s">
        <v>348</v>
      </c>
      <c r="V365" s="6" t="s">
        <v>392</v>
      </c>
      <c r="W365" s="6" t="str">
        <f>IF(U365="","",IFERROR(_xlfn.XLOOKUP(U365,Mapping!$A:$A,Mapping!$B:$B),""))</f>
        <v>Project_014</v>
      </c>
      <c r="X365" s="6" t="str">
        <f>IF(V365="","",IFERROR(_xlfn.XLOOKUP(V365,Mapping!$A:$A,Mapping!$B:$B),""))</f>
        <v>Project_021</v>
      </c>
      <c r="Y365" s="6" t="s">
        <v>286</v>
      </c>
      <c r="Z365" s="6" t="s">
        <v>43</v>
      </c>
    </row>
    <row r="366" spans="1:26">
      <c r="A366" s="12">
        <v>365</v>
      </c>
      <c r="B366" s="6" t="s">
        <v>1411</v>
      </c>
      <c r="C366" s="6" t="s">
        <v>1412</v>
      </c>
      <c r="D366" s="6" t="s">
        <v>86</v>
      </c>
      <c r="E366" s="7">
        <v>43335</v>
      </c>
      <c r="F366" s="6" t="s">
        <v>111</v>
      </c>
      <c r="G366" s="6" t="s">
        <v>252</v>
      </c>
      <c r="H366" s="6" t="s">
        <v>1413</v>
      </c>
      <c r="I366" s="6" t="s">
        <v>90</v>
      </c>
      <c r="J366" s="6" t="s">
        <v>91</v>
      </c>
      <c r="K366" s="6" t="s">
        <v>92</v>
      </c>
      <c r="L366" s="6" t="s">
        <v>90</v>
      </c>
      <c r="M366" s="6" t="s">
        <v>131</v>
      </c>
      <c r="N366" s="6" t="s">
        <v>95</v>
      </c>
      <c r="O366" s="6" t="s">
        <v>93</v>
      </c>
      <c r="P366" s="6" t="s">
        <v>95</v>
      </c>
      <c r="Q366" s="6" t="s">
        <v>418</v>
      </c>
      <c r="R366" s="6" t="s">
        <v>351</v>
      </c>
      <c r="S366" s="6" t="str">
        <f>VLOOKUP(R366,Customer_Mapping!A:B,2,FALSE)</f>
        <v>Customer_010</v>
      </c>
      <c r="T366" s="6" t="s">
        <v>283</v>
      </c>
      <c r="U366" s="6" t="s">
        <v>501</v>
      </c>
      <c r="V366" s="6" t="s">
        <v>348</v>
      </c>
      <c r="W366" s="6" t="str">
        <f>IF(U366="","",IFERROR(_xlfn.XLOOKUP(U366,Mapping!$A:$A,Mapping!$B:$B),""))</f>
        <v>Project_029</v>
      </c>
      <c r="X366" s="6" t="str">
        <f>IF(V366="","",IFERROR(_xlfn.XLOOKUP(V366,Mapping!$A:$A,Mapping!$B:$B),""))</f>
        <v>Project_014</v>
      </c>
      <c r="Y366" s="6" t="s">
        <v>286</v>
      </c>
      <c r="Z366" s="6" t="s">
        <v>131</v>
      </c>
    </row>
    <row r="367" spans="1:26">
      <c r="A367" s="12">
        <v>366</v>
      </c>
      <c r="B367" s="6" t="s">
        <v>1414</v>
      </c>
      <c r="C367" s="6" t="s">
        <v>1415</v>
      </c>
      <c r="D367" s="6" t="s">
        <v>86</v>
      </c>
      <c r="E367" s="7">
        <v>45307</v>
      </c>
      <c r="F367" s="6" t="s">
        <v>204</v>
      </c>
      <c r="G367" s="6" t="s">
        <v>107</v>
      </c>
      <c r="H367" s="6" t="s">
        <v>1416</v>
      </c>
      <c r="I367" s="6" t="s">
        <v>90</v>
      </c>
      <c r="J367" s="6" t="s">
        <v>91</v>
      </c>
      <c r="K367" s="6" t="s">
        <v>92</v>
      </c>
      <c r="L367" s="6" t="s">
        <v>90</v>
      </c>
      <c r="M367" s="6" t="s">
        <v>94</v>
      </c>
      <c r="N367" s="6" t="s">
        <v>94</v>
      </c>
      <c r="O367" s="6" t="s">
        <v>43</v>
      </c>
      <c r="P367" s="6" t="s">
        <v>95</v>
      </c>
      <c r="Q367" s="6" t="s">
        <v>403</v>
      </c>
      <c r="R367" s="6" t="s">
        <v>334</v>
      </c>
      <c r="S367" s="6" t="str">
        <f>VLOOKUP(R367,Customer_Mapping!A:B,2,FALSE)</f>
        <v>Customer_009</v>
      </c>
      <c r="T367" s="6" t="s">
        <v>335</v>
      </c>
      <c r="U367" s="6" t="s">
        <v>305</v>
      </c>
      <c r="V367" s="6" t="s">
        <v>501</v>
      </c>
      <c r="W367" s="6" t="str">
        <f>IF(U367="","",IFERROR(_xlfn.XLOOKUP(U367,Mapping!$A:$A,Mapping!$B:$B),""))</f>
        <v>Project_005</v>
      </c>
      <c r="X367" s="6" t="str">
        <f>IF(V367="","",IFERROR(_xlfn.XLOOKUP(V367,Mapping!$A:$A,Mapping!$B:$B),""))</f>
        <v>Project_029</v>
      </c>
      <c r="Y367" s="6" t="s">
        <v>286</v>
      </c>
      <c r="Z367" s="6" t="s">
        <v>94</v>
      </c>
    </row>
    <row r="368" spans="1:26">
      <c r="A368" s="12">
        <v>367</v>
      </c>
      <c r="B368" s="6" t="s">
        <v>1417</v>
      </c>
      <c r="C368" s="6" t="s">
        <v>1418</v>
      </c>
      <c r="D368" s="6" t="s">
        <v>86</v>
      </c>
      <c r="E368" s="7">
        <v>41091</v>
      </c>
      <c r="F368" s="6" t="s">
        <v>111</v>
      </c>
      <c r="G368" s="6" t="s">
        <v>146</v>
      </c>
      <c r="H368" s="6" t="s">
        <v>1419</v>
      </c>
      <c r="I368" s="6" t="s">
        <v>90</v>
      </c>
      <c r="J368" s="6" t="s">
        <v>91</v>
      </c>
      <c r="K368" s="6" t="s">
        <v>92</v>
      </c>
      <c r="L368" s="6" t="s">
        <v>90</v>
      </c>
      <c r="M368" s="6" t="s">
        <v>103</v>
      </c>
      <c r="N368" s="6" t="s">
        <v>95</v>
      </c>
      <c r="O368" s="6" t="s">
        <v>93</v>
      </c>
      <c r="P368" s="6" t="s">
        <v>104</v>
      </c>
      <c r="Q368" s="6" t="s">
        <v>281</v>
      </c>
      <c r="R368" s="6" t="s">
        <v>308</v>
      </c>
      <c r="S368" s="6" t="str">
        <f>VLOOKUP(R368,Customer_Mapping!A:B,2,FALSE)</f>
        <v>Customer_004</v>
      </c>
      <c r="T368" s="6" t="s">
        <v>283</v>
      </c>
      <c r="U368" s="6" t="s">
        <v>318</v>
      </c>
      <c r="V368" s="6" t="s">
        <v>305</v>
      </c>
      <c r="W368" s="6" t="str">
        <f>IF(U368="","",IFERROR(_xlfn.XLOOKUP(U368,Mapping!$A:$A,Mapping!$B:$B),""))</f>
        <v>Project_008</v>
      </c>
      <c r="X368" s="6" t="str">
        <f>IF(V368="","",IFERROR(_xlfn.XLOOKUP(V368,Mapping!$A:$A,Mapping!$B:$B),""))</f>
        <v>Project_005</v>
      </c>
      <c r="Y368" s="6" t="s">
        <v>286</v>
      </c>
      <c r="Z368" s="6" t="s">
        <v>103</v>
      </c>
    </row>
    <row r="369" spans="1:26">
      <c r="A369" s="12">
        <v>368</v>
      </c>
      <c r="B369" s="6" t="s">
        <v>1420</v>
      </c>
      <c r="C369" s="6" t="s">
        <v>1421</v>
      </c>
      <c r="D369" s="6" t="s">
        <v>86</v>
      </c>
      <c r="E369" s="7">
        <v>46082</v>
      </c>
      <c r="F369" s="6" t="s">
        <v>100</v>
      </c>
      <c r="G369" s="6" t="s">
        <v>94</v>
      </c>
      <c r="H369" s="6" t="s">
        <v>1422</v>
      </c>
      <c r="I369" s="6" t="s">
        <v>213</v>
      </c>
      <c r="J369" s="6" t="s">
        <v>91</v>
      </c>
      <c r="K369" s="6" t="s">
        <v>92</v>
      </c>
      <c r="L369" s="6" t="s">
        <v>213</v>
      </c>
      <c r="M369" s="6" t="s">
        <v>94</v>
      </c>
      <c r="N369" s="6" t="s">
        <v>94</v>
      </c>
      <c r="O369" s="6" t="s">
        <v>93</v>
      </c>
      <c r="P369" s="6" t="s">
        <v>104</v>
      </c>
      <c r="Q369" s="6" t="s">
        <v>304</v>
      </c>
      <c r="R369" s="6" t="s">
        <v>308</v>
      </c>
      <c r="S369" s="6" t="str">
        <f>VLOOKUP(R369,Customer_Mapping!A:B,2,FALSE)</f>
        <v>Customer_004</v>
      </c>
      <c r="T369" s="6" t="s">
        <v>283</v>
      </c>
      <c r="U369" s="6" t="s">
        <v>298</v>
      </c>
      <c r="V369" s="6" t="s">
        <v>318</v>
      </c>
      <c r="W369" s="6" t="str">
        <f>IF(U369="","",IFERROR(_xlfn.XLOOKUP(U369,Mapping!$A:$A,Mapping!$B:$B),""))</f>
        <v>Project_003</v>
      </c>
      <c r="X369" s="6" t="str">
        <f>IF(V369="","",IFERROR(_xlfn.XLOOKUP(V369,Mapping!$A:$A,Mapping!$B:$B),""))</f>
        <v>Project_008</v>
      </c>
      <c r="Y369" s="6" t="s">
        <v>286</v>
      </c>
      <c r="Z369" s="6" t="s">
        <v>94</v>
      </c>
    </row>
    <row r="370" spans="1:26">
      <c r="A370" s="12">
        <v>369</v>
      </c>
      <c r="B370" s="6" t="s">
        <v>1423</v>
      </c>
      <c r="C370" s="6" t="s">
        <v>1424</v>
      </c>
      <c r="D370" s="6" t="s">
        <v>86</v>
      </c>
      <c r="E370" s="7">
        <v>43062</v>
      </c>
      <c r="F370" s="6" t="s">
        <v>4</v>
      </c>
      <c r="G370" s="6" t="s">
        <v>107</v>
      </c>
      <c r="H370" s="6" t="s">
        <v>108</v>
      </c>
      <c r="I370" s="6" t="s">
        <v>90</v>
      </c>
      <c r="J370" s="6" t="s">
        <v>91</v>
      </c>
      <c r="K370" s="6" t="s">
        <v>92</v>
      </c>
      <c r="L370" s="6" t="s">
        <v>90</v>
      </c>
      <c r="M370" s="6" t="s">
        <v>93</v>
      </c>
      <c r="N370" s="6" t="s">
        <v>94</v>
      </c>
      <c r="O370" s="6" t="s">
        <v>93</v>
      </c>
      <c r="P370" s="6" t="s">
        <v>104</v>
      </c>
      <c r="Q370" s="6" t="s">
        <v>399</v>
      </c>
      <c r="R370" s="6" t="s">
        <v>300</v>
      </c>
      <c r="S370" s="6" t="str">
        <f>VLOOKUP(R370,Customer_Mapping!A:B,2,FALSE)</f>
        <v>Customer_003</v>
      </c>
      <c r="T370" s="6" t="s">
        <v>283</v>
      </c>
      <c r="U370" s="6" t="s">
        <v>327</v>
      </c>
      <c r="V370" s="6" t="s">
        <v>298</v>
      </c>
      <c r="W370" s="6" t="str">
        <f>IF(U370="","",IFERROR(_xlfn.XLOOKUP(U370,Mapping!$A:$A,Mapping!$B:$B),""))</f>
        <v>Project_010</v>
      </c>
      <c r="X370" s="6" t="str">
        <f>IF(V370="","",IFERROR(_xlfn.XLOOKUP(V370,Mapping!$A:$A,Mapping!$B:$B),""))</f>
        <v>Project_003</v>
      </c>
      <c r="Y370" s="6" t="s">
        <v>286</v>
      </c>
      <c r="Z370" s="6" t="s">
        <v>93</v>
      </c>
    </row>
    <row r="371" spans="1:26">
      <c r="A371" s="12">
        <v>370</v>
      </c>
      <c r="B371" s="6" t="s">
        <v>1425</v>
      </c>
      <c r="C371" s="6" t="s">
        <v>1426</v>
      </c>
      <c r="D371" s="6" t="s">
        <v>86</v>
      </c>
      <c r="E371" s="7">
        <v>44577</v>
      </c>
      <c r="F371" s="6" t="s">
        <v>288</v>
      </c>
      <c r="G371" s="6" t="s">
        <v>359</v>
      </c>
      <c r="H371" s="6" t="s">
        <v>1427</v>
      </c>
      <c r="I371" s="6" t="s">
        <v>90</v>
      </c>
      <c r="J371" s="6" t="s">
        <v>91</v>
      </c>
      <c r="K371" s="6" t="s">
        <v>92</v>
      </c>
      <c r="L371" s="6" t="s">
        <v>90</v>
      </c>
      <c r="M371" s="6" t="s">
        <v>103</v>
      </c>
      <c r="N371" s="6" t="s">
        <v>94</v>
      </c>
      <c r="O371" s="6" t="s">
        <v>103</v>
      </c>
      <c r="P371" s="6" t="s">
        <v>95</v>
      </c>
      <c r="Q371" s="6" t="s">
        <v>291</v>
      </c>
      <c r="R371" s="6" t="s">
        <v>330</v>
      </c>
      <c r="S371" s="6" t="str">
        <f>VLOOKUP(R371,Customer_Mapping!A:B,2,FALSE)</f>
        <v>Customer_008</v>
      </c>
      <c r="T371" s="6" t="s">
        <v>283</v>
      </c>
      <c r="U371" s="6" t="s">
        <v>387</v>
      </c>
      <c r="V371" s="6" t="s">
        <v>327</v>
      </c>
      <c r="W371" s="6" t="str">
        <f>IF(U371="","",IFERROR(_xlfn.XLOOKUP(U371,Mapping!$A:$A,Mapping!$B:$B),""))</f>
        <v>Project_020</v>
      </c>
      <c r="X371" s="6" t="str">
        <f>IF(V371="","",IFERROR(_xlfn.XLOOKUP(V371,Mapping!$A:$A,Mapping!$B:$B),""))</f>
        <v>Project_010</v>
      </c>
      <c r="Y371" s="6" t="s">
        <v>286</v>
      </c>
      <c r="Z371" s="6" t="s">
        <v>103</v>
      </c>
    </row>
    <row r="372" spans="1:26">
      <c r="A372" s="12">
        <v>371</v>
      </c>
      <c r="B372" s="6" t="s">
        <v>1428</v>
      </c>
      <c r="C372" s="6" t="s">
        <v>1429</v>
      </c>
      <c r="D372" s="6" t="s">
        <v>86</v>
      </c>
      <c r="E372" s="7">
        <v>45215</v>
      </c>
      <c r="F372" s="6" t="s">
        <v>204</v>
      </c>
      <c r="G372" s="6" t="s">
        <v>126</v>
      </c>
      <c r="H372" s="6" t="s">
        <v>1430</v>
      </c>
      <c r="I372" s="6" t="s">
        <v>90</v>
      </c>
      <c r="J372" s="6" t="s">
        <v>91</v>
      </c>
      <c r="K372" s="6" t="s">
        <v>92</v>
      </c>
      <c r="L372" s="6" t="s">
        <v>90</v>
      </c>
      <c r="M372" s="6" t="s">
        <v>43</v>
      </c>
      <c r="N372" s="6" t="s">
        <v>94</v>
      </c>
      <c r="O372" s="6" t="s">
        <v>43</v>
      </c>
      <c r="P372" s="6" t="s">
        <v>104</v>
      </c>
      <c r="Q372" s="6" t="s">
        <v>403</v>
      </c>
      <c r="R372" s="6" t="s">
        <v>391</v>
      </c>
      <c r="S372" s="6" t="str">
        <f>VLOOKUP(R372,Customer_Mapping!A:B,2,FALSE)</f>
        <v>Customer_014</v>
      </c>
      <c r="T372" s="6" t="s">
        <v>386</v>
      </c>
      <c r="U372" s="6" t="s">
        <v>305</v>
      </c>
      <c r="V372" s="6" t="s">
        <v>387</v>
      </c>
      <c r="W372" s="6" t="str">
        <f>IF(U372="","",IFERROR(_xlfn.XLOOKUP(U372,Mapping!$A:$A,Mapping!$B:$B),""))</f>
        <v>Project_005</v>
      </c>
      <c r="X372" s="6" t="str">
        <f>IF(V372="","",IFERROR(_xlfn.XLOOKUP(V372,Mapping!$A:$A,Mapping!$B:$B),""))</f>
        <v>Project_020</v>
      </c>
      <c r="Y372" s="6" t="s">
        <v>286</v>
      </c>
      <c r="Z372" s="6" t="s">
        <v>43</v>
      </c>
    </row>
    <row r="373" spans="1:26">
      <c r="A373" s="12">
        <v>372</v>
      </c>
      <c r="B373" s="6" t="s">
        <v>1431</v>
      </c>
      <c r="C373" s="6" t="s">
        <v>1432</v>
      </c>
      <c r="D373" s="6" t="s">
        <v>86</v>
      </c>
      <c r="E373" s="7">
        <v>45892</v>
      </c>
      <c r="F373" s="6" t="s">
        <v>4</v>
      </c>
      <c r="G373" s="6" t="s">
        <v>94</v>
      </c>
      <c r="H373" s="6" t="s">
        <v>94</v>
      </c>
      <c r="I373" s="6" t="s">
        <v>90</v>
      </c>
      <c r="J373" s="6" t="s">
        <v>91</v>
      </c>
      <c r="K373" s="6" t="s">
        <v>92</v>
      </c>
      <c r="L373" s="6" t="s">
        <v>90</v>
      </c>
      <c r="M373" s="6" t="s">
        <v>94</v>
      </c>
      <c r="N373" s="6" t="s">
        <v>94</v>
      </c>
      <c r="O373" s="6" t="s">
        <v>93</v>
      </c>
      <c r="P373" s="6" t="s">
        <v>95</v>
      </c>
      <c r="Q373" s="6" t="s">
        <v>399</v>
      </c>
      <c r="R373" s="6" t="s">
        <v>308</v>
      </c>
      <c r="S373" s="6" t="str">
        <f>VLOOKUP(R373,Customer_Mapping!A:B,2,FALSE)</f>
        <v>Customer_004</v>
      </c>
      <c r="T373" s="6" t="s">
        <v>283</v>
      </c>
      <c r="U373" s="6" t="s">
        <v>305</v>
      </c>
      <c r="V373" s="6" t="s">
        <v>305</v>
      </c>
      <c r="W373" s="6" t="str">
        <f>IF(U373="","",IFERROR(_xlfn.XLOOKUP(U373,Mapping!$A:$A,Mapping!$B:$B),""))</f>
        <v>Project_005</v>
      </c>
      <c r="X373" s="6" t="str">
        <f>IF(V373="","",IFERROR(_xlfn.XLOOKUP(V373,Mapping!$A:$A,Mapping!$B:$B),""))</f>
        <v>Project_005</v>
      </c>
      <c r="Y373" s="6" t="s">
        <v>286</v>
      </c>
      <c r="Z373" s="6" t="s">
        <v>94</v>
      </c>
    </row>
    <row r="374" spans="1:26">
      <c r="A374" s="12">
        <v>373</v>
      </c>
      <c r="B374" s="6" t="s">
        <v>1433</v>
      </c>
      <c r="C374" s="6" t="s">
        <v>1434</v>
      </c>
      <c r="D374" s="6" t="s">
        <v>86</v>
      </c>
      <c r="E374" s="7">
        <v>45253</v>
      </c>
      <c r="F374" s="6" t="s">
        <v>111</v>
      </c>
      <c r="G374" s="6" t="s">
        <v>311</v>
      </c>
      <c r="H374" s="6" t="s">
        <v>1435</v>
      </c>
      <c r="I374" s="6" t="s">
        <v>90</v>
      </c>
      <c r="J374" s="6" t="s">
        <v>91</v>
      </c>
      <c r="K374" s="6" t="s">
        <v>92</v>
      </c>
      <c r="L374" s="6" t="s">
        <v>90</v>
      </c>
      <c r="M374" s="6" t="s">
        <v>94</v>
      </c>
      <c r="N374" s="6" t="s">
        <v>94</v>
      </c>
      <c r="O374" s="6" t="s">
        <v>438</v>
      </c>
      <c r="P374" s="6" t="s">
        <v>95</v>
      </c>
      <c r="Q374" s="6" t="s">
        <v>281</v>
      </c>
      <c r="R374" s="6" t="s">
        <v>308</v>
      </c>
      <c r="S374" s="6" t="str">
        <f>VLOOKUP(R374,Customer_Mapping!A:B,2,FALSE)</f>
        <v>Customer_004</v>
      </c>
      <c r="T374" s="6" t="s">
        <v>283</v>
      </c>
      <c r="U374" s="6" t="s">
        <v>284</v>
      </c>
      <c r="V374" s="6" t="s">
        <v>305</v>
      </c>
      <c r="W374" s="6" t="str">
        <f>IF(U374="","",IFERROR(_xlfn.XLOOKUP(U374,Mapping!$A:$A,Mapping!$B:$B),""))</f>
        <v>Project_001</v>
      </c>
      <c r="X374" s="6" t="str">
        <f>IF(V374="","",IFERROR(_xlfn.XLOOKUP(V374,Mapping!$A:$A,Mapping!$B:$B),""))</f>
        <v>Project_005</v>
      </c>
      <c r="Y374" s="6" t="s">
        <v>286</v>
      </c>
      <c r="Z374" s="6" t="s">
        <v>94</v>
      </c>
    </row>
    <row r="375" spans="1:26">
      <c r="A375" s="12">
        <v>374</v>
      </c>
      <c r="B375" s="6" t="s">
        <v>1436</v>
      </c>
      <c r="C375" s="6" t="s">
        <v>1437</v>
      </c>
      <c r="D375" s="6" t="s">
        <v>86</v>
      </c>
      <c r="E375" s="7">
        <v>44172</v>
      </c>
      <c r="F375" s="6" t="s">
        <v>111</v>
      </c>
      <c r="G375" s="6" t="s">
        <v>146</v>
      </c>
      <c r="H375" s="6" t="s">
        <v>1438</v>
      </c>
      <c r="I375" s="6" t="s">
        <v>90</v>
      </c>
      <c r="J375" s="6" t="s">
        <v>91</v>
      </c>
      <c r="K375" s="6" t="s">
        <v>92</v>
      </c>
      <c r="L375" s="6" t="s">
        <v>90</v>
      </c>
      <c r="M375" s="6" t="s">
        <v>136</v>
      </c>
      <c r="N375" s="6" t="s">
        <v>95</v>
      </c>
      <c r="O375" s="6" t="s">
        <v>131</v>
      </c>
      <c r="P375" s="6" t="s">
        <v>95</v>
      </c>
      <c r="Q375" s="6" t="s">
        <v>281</v>
      </c>
      <c r="R375" s="6" t="s">
        <v>282</v>
      </c>
      <c r="S375" s="6" t="str">
        <f>VLOOKUP(R375,Customer_Mapping!A:B,2,FALSE)</f>
        <v>Customer_001</v>
      </c>
      <c r="T375" s="6" t="s">
        <v>283</v>
      </c>
      <c r="U375" s="6" t="s">
        <v>285</v>
      </c>
      <c r="V375" s="6" t="s">
        <v>284</v>
      </c>
      <c r="W375" s="6" t="str">
        <f>IF(U375="","",IFERROR(_xlfn.XLOOKUP(U375,Mapping!$A:$A,Mapping!$B:$B),""))</f>
        <v>Project_017</v>
      </c>
      <c r="X375" s="6" t="str">
        <f>IF(V375="","",IFERROR(_xlfn.XLOOKUP(V375,Mapping!$A:$A,Mapping!$B:$B),""))</f>
        <v>Project_001</v>
      </c>
      <c r="Y375" s="6" t="s">
        <v>286</v>
      </c>
      <c r="Z375" s="6" t="s">
        <v>136</v>
      </c>
    </row>
    <row r="376" spans="1:26">
      <c r="A376" s="12">
        <v>375</v>
      </c>
      <c r="B376" s="6" t="s">
        <v>1439</v>
      </c>
      <c r="C376" s="6" t="s">
        <v>1440</v>
      </c>
      <c r="D376" s="6" t="s">
        <v>86</v>
      </c>
      <c r="E376" s="7">
        <v>45108</v>
      </c>
      <c r="F376" s="6" t="s">
        <v>111</v>
      </c>
      <c r="G376" s="6" t="s">
        <v>252</v>
      </c>
      <c r="H376" s="6" t="s">
        <v>1441</v>
      </c>
      <c r="I376" s="6" t="s">
        <v>90</v>
      </c>
      <c r="J376" s="6" t="s">
        <v>91</v>
      </c>
      <c r="K376" s="6" t="s">
        <v>92</v>
      </c>
      <c r="L376" s="6" t="s">
        <v>90</v>
      </c>
      <c r="M376" s="6" t="s">
        <v>136</v>
      </c>
      <c r="N376" s="6" t="s">
        <v>95</v>
      </c>
      <c r="O376" s="6" t="s">
        <v>412</v>
      </c>
      <c r="P376" s="6" t="s">
        <v>122</v>
      </c>
      <c r="Q376" s="6" t="s">
        <v>281</v>
      </c>
      <c r="R376" s="6" t="s">
        <v>282</v>
      </c>
      <c r="S376" s="6" t="str">
        <f>VLOOKUP(R376,Customer_Mapping!A:B,2,FALSE)</f>
        <v>Customer_001</v>
      </c>
      <c r="T376" s="6" t="s">
        <v>283</v>
      </c>
      <c r="U376" s="6" t="s">
        <v>348</v>
      </c>
      <c r="V376" s="6" t="s">
        <v>285</v>
      </c>
      <c r="W376" s="6" t="str">
        <f>IF(U376="","",IFERROR(_xlfn.XLOOKUP(U376,Mapping!$A:$A,Mapping!$B:$B),""))</f>
        <v>Project_014</v>
      </c>
      <c r="X376" s="6" t="str">
        <f>IF(V376="","",IFERROR(_xlfn.XLOOKUP(V376,Mapping!$A:$A,Mapping!$B:$B),""))</f>
        <v>Project_017</v>
      </c>
      <c r="Y376" s="6" t="s">
        <v>286</v>
      </c>
      <c r="Z376" s="6" t="s">
        <v>136</v>
      </c>
    </row>
    <row r="377" spans="1:26">
      <c r="A377" s="12">
        <v>376</v>
      </c>
      <c r="B377" s="6" t="s">
        <v>1442</v>
      </c>
      <c r="C377" s="6" t="s">
        <v>1443</v>
      </c>
      <c r="D377" s="6" t="s">
        <v>86</v>
      </c>
      <c r="E377" s="7">
        <v>45542</v>
      </c>
      <c r="F377" s="6" t="s">
        <v>430</v>
      </c>
      <c r="G377" s="6" t="s">
        <v>94</v>
      </c>
      <c r="H377" s="6" t="s">
        <v>94</v>
      </c>
      <c r="I377" s="6" t="s">
        <v>90</v>
      </c>
      <c r="J377" s="6" t="s">
        <v>91</v>
      </c>
      <c r="K377" s="6" t="s">
        <v>92</v>
      </c>
      <c r="L377" s="6" t="s">
        <v>90</v>
      </c>
      <c r="M377" s="6" t="s">
        <v>94</v>
      </c>
      <c r="N377" s="6" t="s">
        <v>94</v>
      </c>
      <c r="O377" s="6" t="s">
        <v>103</v>
      </c>
      <c r="P377" s="6" t="s">
        <v>122</v>
      </c>
      <c r="Q377" s="6" t="s">
        <v>433</v>
      </c>
      <c r="R377" s="6" t="s">
        <v>351</v>
      </c>
      <c r="S377" s="6" t="str">
        <f>VLOOKUP(R377,Customer_Mapping!A:B,2,FALSE)</f>
        <v>Customer_010</v>
      </c>
      <c r="T377" s="6" t="s">
        <v>283</v>
      </c>
      <c r="U377" s="6" t="s">
        <v>327</v>
      </c>
      <c r="V377" s="6" t="s">
        <v>348</v>
      </c>
      <c r="W377" s="6" t="str">
        <f>IF(U377="","",IFERROR(_xlfn.XLOOKUP(U377,Mapping!$A:$A,Mapping!$B:$B),""))</f>
        <v>Project_010</v>
      </c>
      <c r="X377" s="6" t="str">
        <f>IF(V377="","",IFERROR(_xlfn.XLOOKUP(V377,Mapping!$A:$A,Mapping!$B:$B),""))</f>
        <v>Project_014</v>
      </c>
      <c r="Y377" s="6" t="s">
        <v>286</v>
      </c>
      <c r="Z377" s="6" t="s">
        <v>94</v>
      </c>
    </row>
    <row r="378" spans="1:26">
      <c r="A378" s="12">
        <v>377</v>
      </c>
      <c r="B378" s="6" t="s">
        <v>1444</v>
      </c>
      <c r="C378" s="6" t="s">
        <v>1445</v>
      </c>
      <c r="D378" s="6" t="s">
        <v>86</v>
      </c>
      <c r="E378" s="7">
        <v>45901</v>
      </c>
      <c r="F378" s="6" t="s">
        <v>922</v>
      </c>
      <c r="G378" s="6" t="s">
        <v>94</v>
      </c>
      <c r="H378" s="6" t="s">
        <v>1446</v>
      </c>
      <c r="I378" s="6" t="s">
        <v>90</v>
      </c>
      <c r="J378" s="6" t="s">
        <v>91</v>
      </c>
      <c r="K378" s="6" t="s">
        <v>92</v>
      </c>
      <c r="L378" s="6" t="s">
        <v>90</v>
      </c>
      <c r="M378" s="6" t="s">
        <v>94</v>
      </c>
      <c r="N378" s="6" t="s">
        <v>94</v>
      </c>
      <c r="O378" s="6" t="s">
        <v>117</v>
      </c>
      <c r="P378" s="6" t="s">
        <v>104</v>
      </c>
      <c r="Q378" s="6" t="s">
        <v>924</v>
      </c>
      <c r="R378" s="6" t="s">
        <v>330</v>
      </c>
      <c r="S378" s="6" t="str">
        <f>VLOOKUP(R378,Customer_Mapping!A:B,2,FALSE)</f>
        <v>Customer_008</v>
      </c>
      <c r="T378" s="6" t="s">
        <v>283</v>
      </c>
      <c r="U378" s="6" t="s">
        <v>373</v>
      </c>
      <c r="V378" s="6" t="s">
        <v>327</v>
      </c>
      <c r="W378" s="6" t="str">
        <f>IF(U378="","",IFERROR(_xlfn.XLOOKUP(U378,Mapping!$A:$A,Mapping!$B:$B),""))</f>
        <v>Project_016</v>
      </c>
      <c r="X378" s="6" t="str">
        <f>IF(V378="","",IFERROR(_xlfn.XLOOKUP(V378,Mapping!$A:$A,Mapping!$B:$B),""))</f>
        <v>Project_010</v>
      </c>
      <c r="Y378" s="6" t="s">
        <v>286</v>
      </c>
      <c r="Z378" s="6" t="s">
        <v>94</v>
      </c>
    </row>
    <row r="379" spans="1:26">
      <c r="A379" s="12">
        <v>378</v>
      </c>
      <c r="B379" s="6" t="s">
        <v>1447</v>
      </c>
      <c r="C379" s="6" t="s">
        <v>1448</v>
      </c>
      <c r="D379" s="6" t="s">
        <v>86</v>
      </c>
      <c r="E379" s="7">
        <v>44667</v>
      </c>
      <c r="F379" s="6" t="s">
        <v>288</v>
      </c>
      <c r="G379" s="6" t="s">
        <v>495</v>
      </c>
      <c r="H379" s="6" t="s">
        <v>1449</v>
      </c>
      <c r="I379" s="6" t="s">
        <v>90</v>
      </c>
      <c r="J379" s="6" t="s">
        <v>91</v>
      </c>
      <c r="K379" s="6" t="s">
        <v>92</v>
      </c>
      <c r="L379" s="6" t="s">
        <v>90</v>
      </c>
      <c r="M379" s="6" t="s">
        <v>131</v>
      </c>
      <c r="N379" s="6" t="s">
        <v>104</v>
      </c>
      <c r="O379" s="6" t="s">
        <v>131</v>
      </c>
      <c r="P379" s="6" t="s">
        <v>95</v>
      </c>
      <c r="Q379" s="6" t="s">
        <v>291</v>
      </c>
      <c r="R379" s="6" t="s">
        <v>334</v>
      </c>
      <c r="S379" s="6" t="str">
        <f>VLOOKUP(R379,Customer_Mapping!A:B,2,FALSE)</f>
        <v>Customer_009</v>
      </c>
      <c r="T379" s="6" t="s">
        <v>335</v>
      </c>
      <c r="U379" s="6" t="s">
        <v>305</v>
      </c>
      <c r="V379" s="6" t="s">
        <v>373</v>
      </c>
      <c r="W379" s="6" t="str">
        <f>IF(U379="","",IFERROR(_xlfn.XLOOKUP(U379,Mapping!$A:$A,Mapping!$B:$B),""))</f>
        <v>Project_005</v>
      </c>
      <c r="X379" s="6" t="str">
        <f>IF(V379="","",IFERROR(_xlfn.XLOOKUP(V379,Mapping!$A:$A,Mapping!$B:$B),""))</f>
        <v>Project_016</v>
      </c>
      <c r="Y379" s="6" t="s">
        <v>286</v>
      </c>
      <c r="Z379" s="6" t="s">
        <v>131</v>
      </c>
    </row>
    <row r="380" spans="1:26">
      <c r="A380" s="12">
        <v>379</v>
      </c>
      <c r="B380" s="6" t="s">
        <v>1450</v>
      </c>
      <c r="C380" s="6" t="s">
        <v>1451</v>
      </c>
      <c r="D380" s="6" t="s">
        <v>86</v>
      </c>
      <c r="E380" s="7">
        <v>46180</v>
      </c>
      <c r="F380" s="6" t="s">
        <v>337</v>
      </c>
      <c r="G380" s="6" t="s">
        <v>94</v>
      </c>
      <c r="H380" s="6" t="s">
        <v>94</v>
      </c>
      <c r="I380" s="6" t="s">
        <v>90</v>
      </c>
      <c r="J380" s="6" t="s">
        <v>91</v>
      </c>
      <c r="K380" s="6" t="s">
        <v>92</v>
      </c>
      <c r="L380" s="6" t="s">
        <v>90</v>
      </c>
      <c r="M380" s="6" t="s">
        <v>94</v>
      </c>
      <c r="N380" s="6" t="s">
        <v>94</v>
      </c>
      <c r="O380" s="6" t="s">
        <v>131</v>
      </c>
      <c r="P380" s="6" t="s">
        <v>104</v>
      </c>
      <c r="Q380" s="6" t="s">
        <v>338</v>
      </c>
      <c r="R380" s="6" t="s">
        <v>308</v>
      </c>
      <c r="S380" s="6" t="str">
        <f>VLOOKUP(R380,Customer_Mapping!A:B,2,FALSE)</f>
        <v>Customer_004</v>
      </c>
      <c r="T380" s="6" t="s">
        <v>283</v>
      </c>
      <c r="U380" s="6" t="s">
        <v>323</v>
      </c>
      <c r="V380" s="6" t="s">
        <v>305</v>
      </c>
      <c r="W380" s="6" t="str">
        <f>IF(U380="","",IFERROR(_xlfn.XLOOKUP(U380,Mapping!$A:$A,Mapping!$B:$B),""))</f>
        <v>Project_009</v>
      </c>
      <c r="X380" s="6" t="str">
        <f>IF(V380="","",IFERROR(_xlfn.XLOOKUP(V380,Mapping!$A:$A,Mapping!$B:$B),""))</f>
        <v>Project_005</v>
      </c>
      <c r="Y380" s="6" t="s">
        <v>286</v>
      </c>
      <c r="Z380" s="6" t="s">
        <v>94</v>
      </c>
    </row>
    <row r="381" spans="1:26">
      <c r="A381" s="12">
        <v>380</v>
      </c>
      <c r="B381" s="6" t="s">
        <v>1452</v>
      </c>
      <c r="C381" s="6" t="s">
        <v>1453</v>
      </c>
      <c r="D381" s="6" t="s">
        <v>86</v>
      </c>
      <c r="E381" s="7">
        <v>45581</v>
      </c>
      <c r="F381" s="6" t="s">
        <v>362</v>
      </c>
      <c r="G381" s="6" t="s">
        <v>359</v>
      </c>
      <c r="H381" s="6" t="s">
        <v>1454</v>
      </c>
      <c r="I381" s="6" t="s">
        <v>90</v>
      </c>
      <c r="J381" s="6" t="s">
        <v>91</v>
      </c>
      <c r="K381" s="6" t="s">
        <v>92</v>
      </c>
      <c r="L381" s="6" t="s">
        <v>90</v>
      </c>
      <c r="M381" s="6" t="s">
        <v>94</v>
      </c>
      <c r="N381" s="6" t="s">
        <v>94</v>
      </c>
      <c r="O381" s="6" t="s">
        <v>364</v>
      </c>
      <c r="P381" s="6" t="s">
        <v>104</v>
      </c>
      <c r="Q381" s="6" t="s">
        <v>365</v>
      </c>
      <c r="R381" s="6" t="s">
        <v>326</v>
      </c>
      <c r="S381" s="6" t="str">
        <f>VLOOKUP(R381,Customer_Mapping!A:B,2,FALSE)</f>
        <v>Customer_007</v>
      </c>
      <c r="T381" s="6" t="s">
        <v>283</v>
      </c>
      <c r="U381" s="6" t="s">
        <v>392</v>
      </c>
      <c r="V381" s="6" t="s">
        <v>323</v>
      </c>
      <c r="W381" s="6" t="str">
        <f>IF(U381="","",IFERROR(_xlfn.XLOOKUP(U381,Mapping!$A:$A,Mapping!$B:$B),""))</f>
        <v>Project_021</v>
      </c>
      <c r="X381" s="6" t="str">
        <f>IF(V381="","",IFERROR(_xlfn.XLOOKUP(V381,Mapping!$A:$A,Mapping!$B:$B),""))</f>
        <v>Project_009</v>
      </c>
      <c r="Y381" s="6" t="s">
        <v>286</v>
      </c>
      <c r="Z381" s="6" t="s">
        <v>94</v>
      </c>
    </row>
    <row r="382" spans="1:26">
      <c r="A382" s="12">
        <v>381</v>
      </c>
      <c r="B382" s="6" t="s">
        <v>1455</v>
      </c>
      <c r="C382" s="6" t="s">
        <v>1456</v>
      </c>
      <c r="D382" s="6" t="s">
        <v>86</v>
      </c>
      <c r="E382" s="7">
        <v>45717</v>
      </c>
      <c r="F382" s="6" t="s">
        <v>111</v>
      </c>
      <c r="G382" s="6" t="s">
        <v>94</v>
      </c>
      <c r="H382" s="6" t="s">
        <v>94</v>
      </c>
      <c r="I382" s="6" t="s">
        <v>90</v>
      </c>
      <c r="J382" s="6" t="s">
        <v>91</v>
      </c>
      <c r="K382" s="6" t="s">
        <v>92</v>
      </c>
      <c r="L382" s="6" t="s">
        <v>90</v>
      </c>
      <c r="M382" s="6" t="s">
        <v>94</v>
      </c>
      <c r="N382" s="6" t="s">
        <v>94</v>
      </c>
      <c r="O382" s="6" t="s">
        <v>184</v>
      </c>
      <c r="P382" s="6" t="s">
        <v>122</v>
      </c>
      <c r="Q382" s="6" t="s">
        <v>418</v>
      </c>
      <c r="R382" s="6" t="s">
        <v>282</v>
      </c>
      <c r="S382" s="6" t="str">
        <f>VLOOKUP(R382,Customer_Mapping!A:B,2,FALSE)</f>
        <v>Customer_001</v>
      </c>
      <c r="T382" s="6" t="s">
        <v>283</v>
      </c>
      <c r="U382" s="6" t="s">
        <v>298</v>
      </c>
      <c r="V382" s="6" t="s">
        <v>392</v>
      </c>
      <c r="W382" s="6" t="str">
        <f>IF(U382="","",IFERROR(_xlfn.XLOOKUP(U382,Mapping!$A:$A,Mapping!$B:$B),""))</f>
        <v>Project_003</v>
      </c>
      <c r="X382" s="6" t="str">
        <f>IF(V382="","",IFERROR(_xlfn.XLOOKUP(V382,Mapping!$A:$A,Mapping!$B:$B),""))</f>
        <v>Project_021</v>
      </c>
      <c r="Y382" s="6" t="s">
        <v>286</v>
      </c>
      <c r="Z382" s="6" t="s">
        <v>94</v>
      </c>
    </row>
    <row r="383" spans="1:26">
      <c r="A383" s="12">
        <v>382</v>
      </c>
      <c r="B383" s="6" t="s">
        <v>1457</v>
      </c>
      <c r="C383" s="6" t="s">
        <v>1458</v>
      </c>
      <c r="D383" s="6" t="s">
        <v>86</v>
      </c>
      <c r="E383" s="7">
        <v>43983</v>
      </c>
      <c r="F383" s="6" t="s">
        <v>14</v>
      </c>
      <c r="G383" s="6" t="s">
        <v>120</v>
      </c>
      <c r="H383" s="6" t="s">
        <v>121</v>
      </c>
      <c r="I383" s="6" t="s">
        <v>90</v>
      </c>
      <c r="J383" s="6" t="s">
        <v>91</v>
      </c>
      <c r="K383" s="6" t="s">
        <v>92</v>
      </c>
      <c r="L383" s="6" t="s">
        <v>90</v>
      </c>
      <c r="M383" s="6" t="s">
        <v>103</v>
      </c>
      <c r="N383" s="6" t="s">
        <v>95</v>
      </c>
      <c r="O383" s="6" t="s">
        <v>117</v>
      </c>
      <c r="P383" s="6" t="s">
        <v>122</v>
      </c>
      <c r="Q383" s="6" t="s">
        <v>422</v>
      </c>
      <c r="R383" s="6" t="s">
        <v>300</v>
      </c>
      <c r="S383" s="6" t="str">
        <f>VLOOKUP(R383,Customer_Mapping!A:B,2,FALSE)</f>
        <v>Customer_003</v>
      </c>
      <c r="T383" s="6" t="s">
        <v>283</v>
      </c>
      <c r="U383" s="6" t="s">
        <v>305</v>
      </c>
      <c r="V383" s="6" t="s">
        <v>298</v>
      </c>
      <c r="W383" s="6" t="str">
        <f>IF(U383="","",IFERROR(_xlfn.XLOOKUP(U383,Mapping!$A:$A,Mapping!$B:$B),""))</f>
        <v>Project_005</v>
      </c>
      <c r="X383" s="6" t="str">
        <f>IF(V383="","",IFERROR(_xlfn.XLOOKUP(V383,Mapping!$A:$A,Mapping!$B:$B),""))</f>
        <v>Project_003</v>
      </c>
      <c r="Y383" s="6" t="s">
        <v>286</v>
      </c>
      <c r="Z383" s="6" t="s">
        <v>103</v>
      </c>
    </row>
    <row r="384" spans="1:26">
      <c r="A384" s="12">
        <v>383</v>
      </c>
      <c r="B384" s="6" t="s">
        <v>1459</v>
      </c>
      <c r="C384" s="6" t="s">
        <v>1460</v>
      </c>
      <c r="D384" s="6" t="s">
        <v>86</v>
      </c>
      <c r="E384" s="7">
        <v>46189</v>
      </c>
      <c r="F384" s="6" t="s">
        <v>337</v>
      </c>
      <c r="G384" s="6" t="s">
        <v>94</v>
      </c>
      <c r="H384" s="6" t="s">
        <v>94</v>
      </c>
      <c r="I384" s="6" t="s">
        <v>90</v>
      </c>
      <c r="J384" s="6" t="s">
        <v>91</v>
      </c>
      <c r="K384" s="6" t="s">
        <v>92</v>
      </c>
      <c r="L384" s="6" t="s">
        <v>90</v>
      </c>
      <c r="M384" s="6" t="s">
        <v>94</v>
      </c>
      <c r="N384" s="6" t="s">
        <v>94</v>
      </c>
      <c r="O384" s="6" t="s">
        <v>131</v>
      </c>
      <c r="P384" s="6" t="s">
        <v>104</v>
      </c>
      <c r="Q384" s="6" t="s">
        <v>338</v>
      </c>
      <c r="R384" s="6" t="s">
        <v>308</v>
      </c>
      <c r="S384" s="6" t="str">
        <f>VLOOKUP(R384,Customer_Mapping!A:B,2,FALSE)</f>
        <v>Customer_004</v>
      </c>
      <c r="T384" s="6" t="s">
        <v>283</v>
      </c>
      <c r="U384" s="6" t="s">
        <v>339</v>
      </c>
      <c r="V384" s="6" t="s">
        <v>305</v>
      </c>
      <c r="W384" s="6" t="str">
        <f>IF(U384="","",IFERROR(_xlfn.XLOOKUP(U384,Mapping!$A:$A,Mapping!$B:$B),""))</f>
        <v>Project_012</v>
      </c>
      <c r="X384" s="6" t="str">
        <f>IF(V384="","",IFERROR(_xlfn.XLOOKUP(V384,Mapping!$A:$A,Mapping!$B:$B),""))</f>
        <v>Project_005</v>
      </c>
      <c r="Y384" s="6" t="s">
        <v>286</v>
      </c>
      <c r="Z384" s="6" t="s">
        <v>94</v>
      </c>
    </row>
    <row r="385" spans="1:26">
      <c r="A385" s="12">
        <v>384</v>
      </c>
      <c r="B385" s="6" t="s">
        <v>1461</v>
      </c>
      <c r="C385" s="6" t="s">
        <v>1462</v>
      </c>
      <c r="D385" s="6" t="s">
        <v>86</v>
      </c>
      <c r="E385" s="7">
        <v>45572</v>
      </c>
      <c r="F385" s="6" t="s">
        <v>111</v>
      </c>
      <c r="G385" s="6" t="s">
        <v>94</v>
      </c>
      <c r="H385" s="6" t="s">
        <v>94</v>
      </c>
      <c r="I385" s="6" t="s">
        <v>90</v>
      </c>
      <c r="J385" s="6" t="s">
        <v>91</v>
      </c>
      <c r="K385" s="6" t="s">
        <v>92</v>
      </c>
      <c r="L385" s="6" t="s">
        <v>90</v>
      </c>
      <c r="M385" s="6" t="s">
        <v>94</v>
      </c>
      <c r="N385" s="6" t="s">
        <v>94</v>
      </c>
      <c r="O385" s="6" t="s">
        <v>184</v>
      </c>
      <c r="P385" s="6" t="s">
        <v>104</v>
      </c>
      <c r="Q385" s="6" t="s">
        <v>418</v>
      </c>
      <c r="R385" s="6" t="s">
        <v>334</v>
      </c>
      <c r="S385" s="6" t="str">
        <f>VLOOKUP(R385,Customer_Mapping!A:B,2,FALSE)</f>
        <v>Customer_009</v>
      </c>
      <c r="T385" s="6" t="s">
        <v>335</v>
      </c>
      <c r="U385" s="6" t="s">
        <v>285</v>
      </c>
      <c r="V385" s="6" t="s">
        <v>339</v>
      </c>
      <c r="W385" s="6" t="str">
        <f>IF(U385="","",IFERROR(_xlfn.XLOOKUP(U385,Mapping!$A:$A,Mapping!$B:$B),""))</f>
        <v>Project_017</v>
      </c>
      <c r="X385" s="6" t="str">
        <f>IF(V385="","",IFERROR(_xlfn.XLOOKUP(V385,Mapping!$A:$A,Mapping!$B:$B),""))</f>
        <v>Project_012</v>
      </c>
      <c r="Y385" s="6" t="s">
        <v>286</v>
      </c>
      <c r="Z385" s="6" t="s">
        <v>94</v>
      </c>
    </row>
    <row r="386" spans="1:26">
      <c r="A386" s="12">
        <v>385</v>
      </c>
      <c r="B386" s="6" t="s">
        <v>1463</v>
      </c>
      <c r="C386" s="6" t="s">
        <v>1464</v>
      </c>
      <c r="D386" s="6" t="s">
        <v>86</v>
      </c>
      <c r="E386" s="7">
        <v>45419</v>
      </c>
      <c r="F386" s="6" t="s">
        <v>111</v>
      </c>
      <c r="G386" s="6" t="s">
        <v>101</v>
      </c>
      <c r="H386" s="6" t="s">
        <v>135</v>
      </c>
      <c r="I386" s="6" t="s">
        <v>90</v>
      </c>
      <c r="J386" s="6" t="s">
        <v>91</v>
      </c>
      <c r="K386" s="6" t="s">
        <v>92</v>
      </c>
      <c r="L386" s="6" t="s">
        <v>90</v>
      </c>
      <c r="M386" s="6" t="s">
        <v>94</v>
      </c>
      <c r="N386" s="6" t="s">
        <v>94</v>
      </c>
      <c r="O386" s="6" t="s">
        <v>412</v>
      </c>
      <c r="P386" s="6" t="s">
        <v>122</v>
      </c>
      <c r="Q386" s="6" t="s">
        <v>281</v>
      </c>
      <c r="R386" s="6" t="s">
        <v>282</v>
      </c>
      <c r="S386" s="6" t="str">
        <f>VLOOKUP(R386,Customer_Mapping!A:B,2,FALSE)</f>
        <v>Customer_001</v>
      </c>
      <c r="T386" s="6" t="s">
        <v>283</v>
      </c>
      <c r="U386" s="6" t="s">
        <v>378</v>
      </c>
      <c r="V386" s="6" t="s">
        <v>285</v>
      </c>
      <c r="W386" s="6" t="str">
        <f>IF(U386="","",IFERROR(_xlfn.XLOOKUP(U386,Mapping!$A:$A,Mapping!$B:$B),""))</f>
        <v>Project_018</v>
      </c>
      <c r="X386" s="6" t="str">
        <f>IF(V386="","",IFERROR(_xlfn.XLOOKUP(V386,Mapping!$A:$A,Mapping!$B:$B),""))</f>
        <v>Project_017</v>
      </c>
      <c r="Y386" s="6" t="s">
        <v>286</v>
      </c>
      <c r="Z386" s="6" t="s">
        <v>94</v>
      </c>
    </row>
    <row r="387" spans="1:26">
      <c r="A387" s="12">
        <v>386</v>
      </c>
      <c r="B387" s="6" t="s">
        <v>1465</v>
      </c>
      <c r="C387" s="6" t="s">
        <v>1466</v>
      </c>
      <c r="D387" s="6" t="s">
        <v>86</v>
      </c>
      <c r="E387" s="7">
        <v>44735</v>
      </c>
      <c r="F387" s="6" t="s">
        <v>204</v>
      </c>
      <c r="G387" s="6" t="s">
        <v>371</v>
      </c>
      <c r="H387" s="6" t="s">
        <v>1467</v>
      </c>
      <c r="I387" s="6" t="s">
        <v>90</v>
      </c>
      <c r="J387" s="6" t="s">
        <v>91</v>
      </c>
      <c r="K387" s="6" t="s">
        <v>92</v>
      </c>
      <c r="L387" s="6" t="s">
        <v>90</v>
      </c>
      <c r="M387" s="6" t="s">
        <v>43</v>
      </c>
      <c r="N387" s="6" t="s">
        <v>104</v>
      </c>
      <c r="O387" s="6" t="s">
        <v>43</v>
      </c>
      <c r="P387" s="6" t="s">
        <v>104</v>
      </c>
      <c r="Q387" s="6" t="s">
        <v>403</v>
      </c>
      <c r="R387" s="6" t="s">
        <v>381</v>
      </c>
      <c r="S387" s="6" t="str">
        <f>VLOOKUP(R387,Customer_Mapping!A:B,2,FALSE)</f>
        <v>Customer_012</v>
      </c>
      <c r="T387" s="6" t="s">
        <v>283</v>
      </c>
      <c r="U387" s="6" t="s">
        <v>94</v>
      </c>
      <c r="V387" s="6" t="s">
        <v>378</v>
      </c>
      <c r="W387" s="6" t="str">
        <f>IF(U387="","",IFERROR(_xlfn.XLOOKUP(U387,Mapping!$A:$A,Mapping!$B:$B),""))</f>
        <v/>
      </c>
      <c r="X387" s="6" t="str">
        <f>IF(V387="","",IFERROR(_xlfn.XLOOKUP(V387,Mapping!$A:$A,Mapping!$B:$B),""))</f>
        <v>Project_018</v>
      </c>
      <c r="Y387" s="6" t="s">
        <v>286</v>
      </c>
      <c r="Z387" s="6" t="s">
        <v>43</v>
      </c>
    </row>
    <row r="388" spans="1:26">
      <c r="A388" s="12">
        <v>387</v>
      </c>
      <c r="B388" s="6" t="s">
        <v>1468</v>
      </c>
      <c r="C388" s="6" t="s">
        <v>1469</v>
      </c>
      <c r="D388" s="6" t="s">
        <v>251</v>
      </c>
      <c r="E388" s="7">
        <v>46257</v>
      </c>
      <c r="F388" s="6" t="s">
        <v>430</v>
      </c>
      <c r="G388" s="6" t="s">
        <v>94</v>
      </c>
      <c r="H388" s="6" t="s">
        <v>94</v>
      </c>
      <c r="I388" s="6" t="s">
        <v>90</v>
      </c>
      <c r="J388" s="6" t="s">
        <v>91</v>
      </c>
      <c r="K388" s="6" t="s">
        <v>92</v>
      </c>
      <c r="L388" s="6" t="s">
        <v>90</v>
      </c>
      <c r="M388" s="6" t="s">
        <v>94</v>
      </c>
      <c r="N388" s="6" t="s">
        <v>94</v>
      </c>
      <c r="O388" s="6" t="s">
        <v>94</v>
      </c>
      <c r="P388" s="6" t="s">
        <v>94</v>
      </c>
      <c r="Q388" s="6" t="s">
        <v>433</v>
      </c>
      <c r="R388" s="6" t="s">
        <v>94</v>
      </c>
      <c r="S388" s="6" t="e">
        <f>VLOOKUP(R388,Customer_Mapping!A:B,2,FALSE)</f>
        <v>#N/A</v>
      </c>
      <c r="T388" s="6" t="s">
        <v>94</v>
      </c>
      <c r="U388" s="6" t="s">
        <v>305</v>
      </c>
      <c r="V388" s="6" t="s">
        <v>94</v>
      </c>
      <c r="W388" s="6" t="str">
        <f>IF(U388="","",IFERROR(_xlfn.XLOOKUP(U388,Mapping!$A:$A,Mapping!$B:$B),""))</f>
        <v>Project_005</v>
      </c>
      <c r="X388" s="6" t="str">
        <f>IF(V388="","",IFERROR(_xlfn.XLOOKUP(V388,Mapping!$A:$A,Mapping!$B:$B),""))</f>
        <v/>
      </c>
      <c r="Y388" s="6" t="s">
        <v>94</v>
      </c>
      <c r="Z388" s="6" t="s">
        <v>94</v>
      </c>
    </row>
    <row r="389" spans="1:26">
      <c r="A389" s="12">
        <v>388</v>
      </c>
      <c r="B389" s="6" t="s">
        <v>1470</v>
      </c>
      <c r="C389" s="6" t="s">
        <v>1471</v>
      </c>
      <c r="D389" s="6" t="s">
        <v>86</v>
      </c>
      <c r="E389" s="7">
        <v>44796</v>
      </c>
      <c r="F389" s="6" t="s">
        <v>204</v>
      </c>
      <c r="G389" s="6" t="s">
        <v>526</v>
      </c>
      <c r="H389" s="6" t="s">
        <v>1472</v>
      </c>
      <c r="I389" s="6" t="s">
        <v>90</v>
      </c>
      <c r="J389" s="6" t="s">
        <v>91</v>
      </c>
      <c r="K389" s="6" t="s">
        <v>92</v>
      </c>
      <c r="L389" s="6" t="s">
        <v>90</v>
      </c>
      <c r="M389" s="6" t="s">
        <v>43</v>
      </c>
      <c r="N389" s="6" t="s">
        <v>122</v>
      </c>
      <c r="O389" s="6" t="s">
        <v>43</v>
      </c>
      <c r="P389" s="6" t="s">
        <v>104</v>
      </c>
      <c r="Q389" s="6" t="s">
        <v>403</v>
      </c>
      <c r="R389" s="6" t="s">
        <v>308</v>
      </c>
      <c r="S389" s="6" t="str">
        <f>VLOOKUP(R389,Customer_Mapping!A:B,2,FALSE)</f>
        <v>Customer_004</v>
      </c>
      <c r="T389" s="6" t="s">
        <v>283</v>
      </c>
      <c r="U389" s="18" t="s">
        <v>1473</v>
      </c>
      <c r="V389" s="6" t="s">
        <v>305</v>
      </c>
      <c r="W389" s="6" t="str">
        <f>IF(U389="","",IFERROR(_xlfn.XLOOKUP(U389,Mapping!$A:$A,Mapping!$B:$B),""))</f>
        <v>Project_052</v>
      </c>
      <c r="X389" s="6" t="str">
        <f>IF(V389="","",IFERROR(_xlfn.XLOOKUP(V389,Mapping!$A:$A,Mapping!$B:$B),""))</f>
        <v>Project_005</v>
      </c>
      <c r="Y389" s="6" t="s">
        <v>286</v>
      </c>
      <c r="Z389" s="6" t="s">
        <v>43</v>
      </c>
    </row>
    <row r="390" spans="1:26">
      <c r="A390" s="17">
        <v>389</v>
      </c>
      <c r="B390" s="18" t="s">
        <v>1474</v>
      </c>
      <c r="C390" s="6" t="s">
        <v>1475</v>
      </c>
      <c r="D390" s="18" t="s">
        <v>86</v>
      </c>
      <c r="E390" s="19">
        <v>45695</v>
      </c>
      <c r="F390" s="18" t="s">
        <v>150</v>
      </c>
      <c r="G390" s="18" t="s">
        <v>94</v>
      </c>
      <c r="H390" s="18" t="s">
        <v>1476</v>
      </c>
      <c r="I390" s="18" t="s">
        <v>213</v>
      </c>
      <c r="J390" s="18" t="s">
        <v>91</v>
      </c>
      <c r="K390" s="18" t="s">
        <v>92</v>
      </c>
      <c r="L390" s="18" t="s">
        <v>213</v>
      </c>
      <c r="M390" s="18" t="s">
        <v>94</v>
      </c>
      <c r="N390" s="18" t="s">
        <v>94</v>
      </c>
      <c r="O390" s="18" t="s">
        <v>93</v>
      </c>
      <c r="P390" s="18" t="s">
        <v>95</v>
      </c>
      <c r="Q390" s="18" t="s">
        <v>445</v>
      </c>
      <c r="R390" s="18" t="s">
        <v>385</v>
      </c>
      <c r="S390" s="6" t="str">
        <f>VLOOKUP(R390,Customer_Mapping!A:B,2,FALSE)</f>
        <v>Customer_013</v>
      </c>
      <c r="T390" s="18" t="s">
        <v>386</v>
      </c>
      <c r="U390" s="18"/>
      <c r="V390" s="18" t="s">
        <v>1473</v>
      </c>
      <c r="W390" s="6" t="str">
        <f>IF(U390="","",IFERROR(_xlfn.XLOOKUP(U390,Mapping!$A:$A,Mapping!$B:$B),""))</f>
        <v/>
      </c>
      <c r="X390" s="18" t="str">
        <f>IF(V390="","",IFERROR(_xlfn.XLOOKUP(V390,Mapping!$A:$A,Mapping!$B:$B),""))</f>
        <v>Project_052</v>
      </c>
      <c r="Y390" s="18" t="s">
        <v>286</v>
      </c>
      <c r="Z390" s="18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topLeftCell="A387" workbookViewId="0">
      <selection activeCell="A391" sqref="A391:XFD399"/>
    </sheetView>
  </sheetViews>
  <sheetFormatPr defaultRowHeight="15.75"/>
  <cols>
    <col min="1" max="2" width="12.42578125" style="98" customWidth="1"/>
    <col min="3" max="6" width="11.85546875" style="98" customWidth="1"/>
    <col min="7" max="7" width="17.5703125" style="98" customWidth="1"/>
    <col min="8" max="8" width="17.5703125" style="113" customWidth="1"/>
    <col min="9" max="16384" width="9.140625" style="98"/>
  </cols>
  <sheetData>
    <row r="1" spans="1:8" s="109" customFormat="1" ht="18.75" customHeight="1">
      <c r="A1" s="107" t="s">
        <v>1477</v>
      </c>
      <c r="B1" s="107" t="s">
        <v>70</v>
      </c>
      <c r="C1" s="108" t="s">
        <v>1478</v>
      </c>
      <c r="D1" s="108" t="s">
        <v>1479</v>
      </c>
      <c r="E1" s="108" t="s">
        <v>1480</v>
      </c>
      <c r="F1" s="108" t="s">
        <v>1481</v>
      </c>
      <c r="G1" s="107" t="s">
        <v>1482</v>
      </c>
      <c r="H1" s="107" t="s">
        <v>1483</v>
      </c>
    </row>
    <row r="2" spans="1:8">
      <c r="A2" s="110">
        <v>1</v>
      </c>
      <c r="B2" s="110" t="s">
        <v>85</v>
      </c>
      <c r="C2" s="111">
        <v>1</v>
      </c>
      <c r="D2" s="111">
        <v>0</v>
      </c>
      <c r="E2" s="111">
        <v>0</v>
      </c>
      <c r="F2" s="111">
        <v>1</v>
      </c>
      <c r="G2" s="111">
        <v>0</v>
      </c>
      <c r="H2" s="112">
        <f ca="1">IF(RAND()&lt;0.6,0,1)</f>
        <v>1</v>
      </c>
    </row>
    <row r="3" spans="1:8">
      <c r="A3" s="110">
        <v>2</v>
      </c>
      <c r="B3" s="110" t="s">
        <v>97</v>
      </c>
      <c r="C3" s="111">
        <v>1</v>
      </c>
      <c r="D3" s="111">
        <v>1</v>
      </c>
      <c r="E3" s="111">
        <v>0</v>
      </c>
      <c r="F3" s="111">
        <v>1</v>
      </c>
      <c r="G3" s="111">
        <v>1</v>
      </c>
      <c r="H3" s="112">
        <f t="shared" ref="H3:H66" ca="1" si="0">IF(RAND()&lt;0.6,0,1)</f>
        <v>1</v>
      </c>
    </row>
    <row r="4" spans="1:8">
      <c r="A4" s="110">
        <v>3</v>
      </c>
      <c r="B4" s="110" t="s">
        <v>99</v>
      </c>
      <c r="C4" s="111">
        <v>0</v>
      </c>
      <c r="D4" s="111">
        <v>1</v>
      </c>
      <c r="E4" s="111">
        <v>0</v>
      </c>
      <c r="F4" s="111">
        <v>0</v>
      </c>
      <c r="G4" s="111">
        <v>1</v>
      </c>
      <c r="H4" s="112">
        <f t="shared" ca="1" si="0"/>
        <v>1</v>
      </c>
    </row>
    <row r="5" spans="1:8">
      <c r="A5" s="110">
        <v>4</v>
      </c>
      <c r="B5" s="110" t="s">
        <v>106</v>
      </c>
      <c r="C5" s="111">
        <v>1</v>
      </c>
      <c r="D5" s="111">
        <v>1</v>
      </c>
      <c r="E5" s="111">
        <v>1</v>
      </c>
      <c r="F5" s="111">
        <v>0</v>
      </c>
      <c r="G5" s="111">
        <v>0</v>
      </c>
      <c r="H5" s="112">
        <f t="shared" ca="1" si="0"/>
        <v>0</v>
      </c>
    </row>
    <row r="6" spans="1:8">
      <c r="A6" s="110">
        <v>5</v>
      </c>
      <c r="B6" s="110" t="s">
        <v>110</v>
      </c>
      <c r="C6" s="111">
        <v>1</v>
      </c>
      <c r="D6" s="111">
        <v>0</v>
      </c>
      <c r="E6" s="111">
        <v>1</v>
      </c>
      <c r="F6" s="111">
        <v>1</v>
      </c>
      <c r="G6" s="111">
        <v>1</v>
      </c>
      <c r="H6" s="112">
        <f t="shared" ca="1" si="0"/>
        <v>0</v>
      </c>
    </row>
    <row r="7" spans="1:8">
      <c r="A7" s="110">
        <v>6</v>
      </c>
      <c r="B7" s="110" t="s">
        <v>115</v>
      </c>
      <c r="C7" s="111">
        <v>1</v>
      </c>
      <c r="D7" s="111">
        <v>0</v>
      </c>
      <c r="E7" s="111">
        <v>1</v>
      </c>
      <c r="F7" s="111">
        <v>0</v>
      </c>
      <c r="G7" s="111">
        <v>0</v>
      </c>
      <c r="H7" s="112">
        <f t="shared" ca="1" si="0"/>
        <v>1</v>
      </c>
    </row>
    <row r="8" spans="1:8">
      <c r="A8" s="110">
        <v>7</v>
      </c>
      <c r="B8" s="110" t="s">
        <v>119</v>
      </c>
      <c r="C8" s="111">
        <v>0</v>
      </c>
      <c r="D8" s="111">
        <v>0</v>
      </c>
      <c r="E8" s="111">
        <v>0</v>
      </c>
      <c r="F8" s="111">
        <v>0</v>
      </c>
      <c r="G8" s="111">
        <v>1</v>
      </c>
      <c r="H8" s="112">
        <f t="shared" ca="1" si="0"/>
        <v>0</v>
      </c>
    </row>
    <row r="9" spans="1:8">
      <c r="A9" s="110">
        <v>8</v>
      </c>
      <c r="B9" s="110" t="s">
        <v>124</v>
      </c>
      <c r="C9" s="111">
        <v>1</v>
      </c>
      <c r="D9" s="111">
        <v>0</v>
      </c>
      <c r="E9" s="111">
        <v>0</v>
      </c>
      <c r="F9" s="111">
        <v>0</v>
      </c>
      <c r="G9" s="111">
        <v>0</v>
      </c>
      <c r="H9" s="112">
        <f t="shared" ca="1" si="0"/>
        <v>0</v>
      </c>
    </row>
    <row r="10" spans="1:8">
      <c r="A10" s="110">
        <v>9</v>
      </c>
      <c r="B10" s="110" t="s">
        <v>129</v>
      </c>
      <c r="C10" s="111">
        <v>0</v>
      </c>
      <c r="D10" s="111">
        <v>1</v>
      </c>
      <c r="E10" s="111">
        <v>0</v>
      </c>
      <c r="F10" s="111">
        <v>0</v>
      </c>
      <c r="G10" s="111">
        <v>1</v>
      </c>
      <c r="H10" s="112">
        <f t="shared" ca="1" si="0"/>
        <v>1</v>
      </c>
    </row>
    <row r="11" spans="1:8">
      <c r="A11" s="110">
        <v>10</v>
      </c>
      <c r="B11" s="110" t="s">
        <v>133</v>
      </c>
      <c r="C11" s="111">
        <v>1</v>
      </c>
      <c r="D11" s="111">
        <v>0</v>
      </c>
      <c r="E11" s="111">
        <v>0</v>
      </c>
      <c r="F11" s="111">
        <v>1</v>
      </c>
      <c r="G11" s="111">
        <v>1</v>
      </c>
      <c r="H11" s="112">
        <f t="shared" ca="1" si="0"/>
        <v>0</v>
      </c>
    </row>
    <row r="12" spans="1:8">
      <c r="A12" s="110">
        <v>11</v>
      </c>
      <c r="B12" s="110" t="s">
        <v>138</v>
      </c>
      <c r="C12" s="111">
        <v>0</v>
      </c>
      <c r="D12" s="111">
        <v>0</v>
      </c>
      <c r="E12" s="111">
        <v>1</v>
      </c>
      <c r="F12" s="111">
        <v>1</v>
      </c>
      <c r="G12" s="111">
        <v>0</v>
      </c>
      <c r="H12" s="112">
        <f t="shared" ca="1" si="0"/>
        <v>0</v>
      </c>
    </row>
    <row r="13" spans="1:8">
      <c r="A13" s="110">
        <v>12</v>
      </c>
      <c r="B13" s="110" t="s">
        <v>140</v>
      </c>
      <c r="C13" s="111">
        <v>0</v>
      </c>
      <c r="D13" s="111">
        <v>1</v>
      </c>
      <c r="E13" s="111">
        <v>0</v>
      </c>
      <c r="F13" s="111">
        <v>0</v>
      </c>
      <c r="G13" s="111">
        <v>0</v>
      </c>
      <c r="H13" s="112">
        <f t="shared" ca="1" si="0"/>
        <v>0</v>
      </c>
    </row>
    <row r="14" spans="1:8">
      <c r="A14" s="110">
        <v>13</v>
      </c>
      <c r="B14" s="110" t="s">
        <v>145</v>
      </c>
      <c r="C14" s="111">
        <v>0</v>
      </c>
      <c r="D14" s="111">
        <v>0</v>
      </c>
      <c r="E14" s="111">
        <v>1</v>
      </c>
      <c r="F14" s="111">
        <v>0</v>
      </c>
      <c r="G14" s="111">
        <v>0</v>
      </c>
      <c r="H14" s="112">
        <f t="shared" ca="1" si="0"/>
        <v>0</v>
      </c>
    </row>
    <row r="15" spans="1:8">
      <c r="A15" s="110">
        <v>14</v>
      </c>
      <c r="B15" s="110" t="s">
        <v>149</v>
      </c>
      <c r="C15" s="111">
        <v>1</v>
      </c>
      <c r="D15" s="111">
        <v>1</v>
      </c>
      <c r="E15" s="111">
        <v>0</v>
      </c>
      <c r="F15" s="111">
        <v>1</v>
      </c>
      <c r="G15" s="111">
        <v>0</v>
      </c>
      <c r="H15" s="112">
        <f t="shared" ca="1" si="0"/>
        <v>1</v>
      </c>
    </row>
    <row r="16" spans="1:8">
      <c r="A16" s="110">
        <v>15</v>
      </c>
      <c r="B16" s="110" t="s">
        <v>154</v>
      </c>
      <c r="C16" s="111">
        <v>1</v>
      </c>
      <c r="D16" s="111">
        <v>0</v>
      </c>
      <c r="E16" s="111">
        <v>0</v>
      </c>
      <c r="F16" s="111">
        <v>0</v>
      </c>
      <c r="G16" s="111">
        <v>0</v>
      </c>
      <c r="H16" s="112">
        <f t="shared" ca="1" si="0"/>
        <v>0</v>
      </c>
    </row>
    <row r="17" spans="1:8">
      <c r="A17" s="110">
        <v>16</v>
      </c>
      <c r="B17" s="110" t="s">
        <v>158</v>
      </c>
      <c r="C17" s="111">
        <v>0</v>
      </c>
      <c r="D17" s="111">
        <v>0</v>
      </c>
      <c r="E17" s="111">
        <v>1</v>
      </c>
      <c r="F17" s="111">
        <v>0</v>
      </c>
      <c r="G17" s="111">
        <v>1</v>
      </c>
      <c r="H17" s="112">
        <f t="shared" ca="1" si="0"/>
        <v>0</v>
      </c>
    </row>
    <row r="18" spans="1:8">
      <c r="A18" s="110">
        <v>17</v>
      </c>
      <c r="B18" s="110" t="s">
        <v>161</v>
      </c>
      <c r="C18" s="111">
        <v>0</v>
      </c>
      <c r="D18" s="111">
        <v>0</v>
      </c>
      <c r="E18" s="111">
        <v>0</v>
      </c>
      <c r="F18" s="111">
        <v>1</v>
      </c>
      <c r="G18" s="111">
        <v>1</v>
      </c>
      <c r="H18" s="112">
        <f t="shared" ca="1" si="0"/>
        <v>0</v>
      </c>
    </row>
    <row r="19" spans="1:8">
      <c r="A19" s="110">
        <v>18</v>
      </c>
      <c r="B19" s="110" t="s">
        <v>164</v>
      </c>
      <c r="C19" s="111">
        <v>1</v>
      </c>
      <c r="D19" s="111">
        <v>1</v>
      </c>
      <c r="E19" s="111">
        <v>0</v>
      </c>
      <c r="F19" s="111">
        <v>0</v>
      </c>
      <c r="G19" s="111">
        <v>0</v>
      </c>
      <c r="H19" s="112">
        <f t="shared" ca="1" si="0"/>
        <v>0</v>
      </c>
    </row>
    <row r="20" spans="1:8">
      <c r="A20" s="110">
        <v>19</v>
      </c>
      <c r="B20" s="110" t="s">
        <v>167</v>
      </c>
      <c r="C20" s="111">
        <v>1</v>
      </c>
      <c r="D20" s="111">
        <v>1</v>
      </c>
      <c r="E20" s="111">
        <v>0</v>
      </c>
      <c r="F20" s="111">
        <v>0</v>
      </c>
      <c r="G20" s="111">
        <v>1</v>
      </c>
      <c r="H20" s="112">
        <f t="shared" ca="1" si="0"/>
        <v>0</v>
      </c>
    </row>
    <row r="21" spans="1:8">
      <c r="A21" s="110">
        <v>20</v>
      </c>
      <c r="B21" s="110" t="s">
        <v>170</v>
      </c>
      <c r="C21" s="111">
        <v>0</v>
      </c>
      <c r="D21" s="111">
        <v>0</v>
      </c>
      <c r="E21" s="111">
        <v>0</v>
      </c>
      <c r="F21" s="111">
        <v>0</v>
      </c>
      <c r="G21" s="111">
        <v>1</v>
      </c>
      <c r="H21" s="112">
        <f t="shared" ca="1" si="0"/>
        <v>0</v>
      </c>
    </row>
    <row r="22" spans="1:8">
      <c r="A22" s="110">
        <v>21</v>
      </c>
      <c r="B22" s="110" t="s">
        <v>172</v>
      </c>
      <c r="C22" s="111">
        <v>0</v>
      </c>
      <c r="D22" s="111">
        <v>0</v>
      </c>
      <c r="E22" s="111">
        <v>1</v>
      </c>
      <c r="F22" s="111">
        <v>0</v>
      </c>
      <c r="G22" s="111">
        <v>1</v>
      </c>
      <c r="H22" s="112">
        <f t="shared" ca="1" si="0"/>
        <v>1</v>
      </c>
    </row>
    <row r="23" spans="1:8">
      <c r="A23" s="110">
        <v>22</v>
      </c>
      <c r="B23" s="110" t="s">
        <v>174</v>
      </c>
      <c r="C23" s="111">
        <v>1</v>
      </c>
      <c r="D23" s="111">
        <v>1</v>
      </c>
      <c r="E23" s="111">
        <v>0</v>
      </c>
      <c r="F23" s="111">
        <v>0</v>
      </c>
      <c r="G23" s="111">
        <v>0</v>
      </c>
      <c r="H23" s="112">
        <f t="shared" ca="1" si="0"/>
        <v>0</v>
      </c>
    </row>
    <row r="24" spans="1:8">
      <c r="A24" s="110">
        <v>23</v>
      </c>
      <c r="B24" s="110" t="s">
        <v>178</v>
      </c>
      <c r="C24" s="111">
        <v>1</v>
      </c>
      <c r="D24" s="111">
        <v>0</v>
      </c>
      <c r="E24" s="111">
        <v>0</v>
      </c>
      <c r="F24" s="111">
        <v>0</v>
      </c>
      <c r="G24" s="111">
        <v>1</v>
      </c>
      <c r="H24" s="112">
        <f t="shared" ca="1" si="0"/>
        <v>0</v>
      </c>
    </row>
    <row r="25" spans="1:8">
      <c r="A25" s="110">
        <v>24</v>
      </c>
      <c r="B25" s="110" t="s">
        <v>181</v>
      </c>
      <c r="C25" s="111">
        <v>0</v>
      </c>
      <c r="D25" s="111">
        <v>1</v>
      </c>
      <c r="E25" s="111">
        <v>1</v>
      </c>
      <c r="F25" s="111">
        <v>0</v>
      </c>
      <c r="G25" s="111">
        <v>1</v>
      </c>
      <c r="H25" s="112">
        <f t="shared" ca="1" si="0"/>
        <v>1</v>
      </c>
    </row>
    <row r="26" spans="1:8">
      <c r="A26" s="110">
        <v>25</v>
      </c>
      <c r="B26" s="110" t="s">
        <v>186</v>
      </c>
      <c r="C26" s="111">
        <v>0</v>
      </c>
      <c r="D26" s="111">
        <v>1</v>
      </c>
      <c r="E26" s="111">
        <v>1</v>
      </c>
      <c r="F26" s="111">
        <v>0</v>
      </c>
      <c r="G26" s="111">
        <v>1</v>
      </c>
      <c r="H26" s="112">
        <f t="shared" ca="1" si="0"/>
        <v>0</v>
      </c>
    </row>
    <row r="27" spans="1:8">
      <c r="A27" s="110">
        <v>26</v>
      </c>
      <c r="B27" s="110" t="s">
        <v>190</v>
      </c>
      <c r="C27" s="111">
        <v>0</v>
      </c>
      <c r="D27" s="111">
        <v>0</v>
      </c>
      <c r="E27" s="111">
        <v>1</v>
      </c>
      <c r="F27" s="111">
        <v>0</v>
      </c>
      <c r="G27" s="111">
        <v>0</v>
      </c>
      <c r="H27" s="112">
        <f t="shared" ca="1" si="0"/>
        <v>0</v>
      </c>
    </row>
    <row r="28" spans="1:8">
      <c r="A28" s="110">
        <v>27</v>
      </c>
      <c r="B28" s="110" t="s">
        <v>193</v>
      </c>
      <c r="C28" s="111">
        <v>1</v>
      </c>
      <c r="D28" s="111">
        <v>0</v>
      </c>
      <c r="E28" s="111">
        <v>1</v>
      </c>
      <c r="F28" s="111">
        <v>1</v>
      </c>
      <c r="G28" s="111">
        <v>1</v>
      </c>
      <c r="H28" s="112">
        <f t="shared" ca="1" si="0"/>
        <v>0</v>
      </c>
    </row>
    <row r="29" spans="1:8">
      <c r="A29" s="110">
        <v>28</v>
      </c>
      <c r="B29" s="110" t="s">
        <v>196</v>
      </c>
      <c r="C29" s="111">
        <v>0</v>
      </c>
      <c r="D29" s="111">
        <v>0</v>
      </c>
      <c r="E29" s="111">
        <v>0</v>
      </c>
      <c r="F29" s="111">
        <v>0</v>
      </c>
      <c r="G29" s="111">
        <v>0</v>
      </c>
      <c r="H29" s="112">
        <f t="shared" ca="1" si="0"/>
        <v>1</v>
      </c>
    </row>
    <row r="30" spans="1:8">
      <c r="A30" s="110">
        <v>29</v>
      </c>
      <c r="B30" s="110" t="s">
        <v>198</v>
      </c>
      <c r="C30" s="111">
        <v>0</v>
      </c>
      <c r="D30" s="111">
        <v>1</v>
      </c>
      <c r="E30" s="111">
        <v>0</v>
      </c>
      <c r="F30" s="111">
        <v>0</v>
      </c>
      <c r="G30" s="111">
        <v>0</v>
      </c>
      <c r="H30" s="112">
        <f t="shared" ca="1" si="0"/>
        <v>0</v>
      </c>
    </row>
    <row r="31" spans="1:8">
      <c r="A31" s="110">
        <v>30</v>
      </c>
      <c r="B31" s="110" t="s">
        <v>201</v>
      </c>
      <c r="C31" s="111">
        <v>0</v>
      </c>
      <c r="D31" s="111">
        <v>1</v>
      </c>
      <c r="E31" s="111">
        <v>0</v>
      </c>
      <c r="F31" s="111">
        <v>0</v>
      </c>
      <c r="G31" s="111">
        <v>1</v>
      </c>
      <c r="H31" s="112">
        <f t="shared" ca="1" si="0"/>
        <v>0</v>
      </c>
    </row>
    <row r="32" spans="1:8">
      <c r="A32" s="110">
        <v>31</v>
      </c>
      <c r="B32" s="110" t="s">
        <v>203</v>
      </c>
      <c r="C32" s="111">
        <v>0</v>
      </c>
      <c r="D32" s="111">
        <v>1</v>
      </c>
      <c r="E32" s="111">
        <v>0</v>
      </c>
      <c r="F32" s="111">
        <v>0</v>
      </c>
      <c r="G32" s="111">
        <v>0</v>
      </c>
      <c r="H32" s="112">
        <f t="shared" ca="1" si="0"/>
        <v>0</v>
      </c>
    </row>
    <row r="33" spans="1:8">
      <c r="A33" s="110">
        <v>32</v>
      </c>
      <c r="B33" s="110" t="s">
        <v>207</v>
      </c>
      <c r="C33" s="111">
        <v>0</v>
      </c>
      <c r="D33" s="111">
        <v>1</v>
      </c>
      <c r="E33" s="111">
        <v>1</v>
      </c>
      <c r="F33" s="111">
        <v>1</v>
      </c>
      <c r="G33" s="111">
        <v>1</v>
      </c>
      <c r="H33" s="112">
        <f t="shared" ca="1" si="0"/>
        <v>1</v>
      </c>
    </row>
    <row r="34" spans="1:8">
      <c r="A34" s="110">
        <v>33</v>
      </c>
      <c r="B34" s="110" t="s">
        <v>209</v>
      </c>
      <c r="C34" s="111">
        <v>1</v>
      </c>
      <c r="D34" s="111">
        <v>1</v>
      </c>
      <c r="E34" s="111">
        <v>0</v>
      </c>
      <c r="F34" s="111">
        <v>1</v>
      </c>
      <c r="G34" s="111">
        <v>0</v>
      </c>
      <c r="H34" s="112">
        <f t="shared" ca="1" si="0"/>
        <v>1</v>
      </c>
    </row>
    <row r="35" spans="1:8">
      <c r="A35" s="110">
        <v>34</v>
      </c>
      <c r="B35" s="110" t="s">
        <v>212</v>
      </c>
      <c r="C35" s="111">
        <v>0</v>
      </c>
      <c r="D35" s="111">
        <v>0</v>
      </c>
      <c r="E35" s="111">
        <v>0</v>
      </c>
      <c r="F35" s="111">
        <v>0</v>
      </c>
      <c r="G35" s="111">
        <v>1</v>
      </c>
      <c r="H35" s="112">
        <f t="shared" ca="1" si="0"/>
        <v>1</v>
      </c>
    </row>
    <row r="36" spans="1:8">
      <c r="A36" s="110">
        <v>35</v>
      </c>
      <c r="B36" s="110" t="s">
        <v>215</v>
      </c>
      <c r="C36" s="111">
        <v>0</v>
      </c>
      <c r="D36" s="111">
        <v>0</v>
      </c>
      <c r="E36" s="111">
        <v>1</v>
      </c>
      <c r="F36" s="111">
        <v>1</v>
      </c>
      <c r="G36" s="111">
        <v>1</v>
      </c>
      <c r="H36" s="112">
        <f t="shared" ca="1" si="0"/>
        <v>0</v>
      </c>
    </row>
    <row r="37" spans="1:8">
      <c r="A37" s="110">
        <v>36</v>
      </c>
      <c r="B37" s="110" t="s">
        <v>219</v>
      </c>
      <c r="C37" s="111">
        <v>0</v>
      </c>
      <c r="D37" s="111">
        <v>1</v>
      </c>
      <c r="E37" s="111">
        <v>1</v>
      </c>
      <c r="F37" s="111">
        <v>1</v>
      </c>
      <c r="G37" s="111">
        <v>1</v>
      </c>
      <c r="H37" s="112">
        <f t="shared" ca="1" si="0"/>
        <v>0</v>
      </c>
    </row>
    <row r="38" spans="1:8">
      <c r="A38" s="110">
        <v>37</v>
      </c>
      <c r="B38" s="110" t="s">
        <v>222</v>
      </c>
      <c r="C38" s="111">
        <v>0</v>
      </c>
      <c r="D38" s="111">
        <v>0</v>
      </c>
      <c r="E38" s="111">
        <v>0</v>
      </c>
      <c r="F38" s="111">
        <v>1</v>
      </c>
      <c r="G38" s="111">
        <v>0</v>
      </c>
      <c r="H38" s="112">
        <f t="shared" ca="1" si="0"/>
        <v>1</v>
      </c>
    </row>
    <row r="39" spans="1:8">
      <c r="A39" s="110">
        <v>38</v>
      </c>
      <c r="B39" s="110" t="s">
        <v>224</v>
      </c>
      <c r="C39" s="111">
        <v>0</v>
      </c>
      <c r="D39" s="111">
        <v>1</v>
      </c>
      <c r="E39" s="111">
        <v>1</v>
      </c>
      <c r="F39" s="111">
        <v>0</v>
      </c>
      <c r="G39" s="111">
        <v>1</v>
      </c>
      <c r="H39" s="112">
        <f t="shared" ca="1" si="0"/>
        <v>0</v>
      </c>
    </row>
    <row r="40" spans="1:8">
      <c r="A40" s="110">
        <v>39</v>
      </c>
      <c r="B40" s="110" t="s">
        <v>227</v>
      </c>
      <c r="C40" s="111">
        <v>1</v>
      </c>
      <c r="D40" s="111">
        <v>0</v>
      </c>
      <c r="E40" s="111">
        <v>0</v>
      </c>
      <c r="F40" s="111">
        <v>0</v>
      </c>
      <c r="G40" s="111">
        <v>0</v>
      </c>
      <c r="H40" s="112">
        <f t="shared" ca="1" si="0"/>
        <v>1</v>
      </c>
    </row>
    <row r="41" spans="1:8">
      <c r="A41" s="110">
        <v>40</v>
      </c>
      <c r="B41" s="110" t="s">
        <v>230</v>
      </c>
      <c r="C41" s="111">
        <v>0</v>
      </c>
      <c r="D41" s="111">
        <v>1</v>
      </c>
      <c r="E41" s="111">
        <v>1</v>
      </c>
      <c r="F41" s="111">
        <v>0</v>
      </c>
      <c r="G41" s="111">
        <v>0</v>
      </c>
      <c r="H41" s="112">
        <f t="shared" ca="1" si="0"/>
        <v>0</v>
      </c>
    </row>
    <row r="42" spans="1:8">
      <c r="A42" s="110">
        <v>41</v>
      </c>
      <c r="B42" s="110" t="s">
        <v>232</v>
      </c>
      <c r="C42" s="111">
        <v>0</v>
      </c>
      <c r="D42" s="111">
        <v>0</v>
      </c>
      <c r="E42" s="111">
        <v>1</v>
      </c>
      <c r="F42" s="111">
        <v>0</v>
      </c>
      <c r="G42" s="111">
        <v>0</v>
      </c>
      <c r="H42" s="112">
        <f t="shared" ca="1" si="0"/>
        <v>0</v>
      </c>
    </row>
    <row r="43" spans="1:8">
      <c r="A43" s="110">
        <v>42</v>
      </c>
      <c r="B43" s="110" t="s">
        <v>234</v>
      </c>
      <c r="C43" s="111">
        <v>0</v>
      </c>
      <c r="D43" s="111">
        <v>0</v>
      </c>
      <c r="E43" s="111">
        <v>0</v>
      </c>
      <c r="F43" s="111">
        <v>0</v>
      </c>
      <c r="G43" s="111">
        <v>1</v>
      </c>
      <c r="H43" s="112">
        <f t="shared" ca="1" si="0"/>
        <v>0</v>
      </c>
    </row>
    <row r="44" spans="1:8">
      <c r="A44" s="110">
        <v>43</v>
      </c>
      <c r="B44" s="110" t="s">
        <v>236</v>
      </c>
      <c r="C44" s="111">
        <v>1</v>
      </c>
      <c r="D44" s="111">
        <v>0</v>
      </c>
      <c r="E44" s="111">
        <v>0</v>
      </c>
      <c r="F44" s="111">
        <v>1</v>
      </c>
      <c r="G44" s="111">
        <v>0</v>
      </c>
      <c r="H44" s="112">
        <f t="shared" ca="1" si="0"/>
        <v>0</v>
      </c>
    </row>
    <row r="45" spans="1:8">
      <c r="A45" s="110">
        <v>44</v>
      </c>
      <c r="B45" s="110" t="s">
        <v>239</v>
      </c>
      <c r="C45" s="111">
        <v>0</v>
      </c>
      <c r="D45" s="111">
        <v>0</v>
      </c>
      <c r="E45" s="111">
        <v>0</v>
      </c>
      <c r="F45" s="111">
        <v>0</v>
      </c>
      <c r="G45" s="111">
        <v>0</v>
      </c>
      <c r="H45" s="112">
        <f t="shared" ca="1" si="0"/>
        <v>0</v>
      </c>
    </row>
    <row r="46" spans="1:8">
      <c r="A46" s="110">
        <v>45</v>
      </c>
      <c r="B46" s="110" t="s">
        <v>241</v>
      </c>
      <c r="C46" s="111">
        <v>1</v>
      </c>
      <c r="D46" s="111">
        <v>1</v>
      </c>
      <c r="E46" s="111">
        <v>0</v>
      </c>
      <c r="F46" s="111">
        <v>0</v>
      </c>
      <c r="G46" s="111">
        <v>1</v>
      </c>
      <c r="H46" s="112">
        <f t="shared" ca="1" si="0"/>
        <v>0</v>
      </c>
    </row>
    <row r="47" spans="1:8">
      <c r="A47" s="110">
        <v>46</v>
      </c>
      <c r="B47" s="110" t="s">
        <v>243</v>
      </c>
      <c r="C47" s="111">
        <v>1</v>
      </c>
      <c r="D47" s="111">
        <v>0</v>
      </c>
      <c r="E47" s="111">
        <v>1</v>
      </c>
      <c r="F47" s="111">
        <v>0</v>
      </c>
      <c r="G47" s="111">
        <v>0</v>
      </c>
      <c r="H47" s="112">
        <f t="shared" ca="1" si="0"/>
        <v>0</v>
      </c>
    </row>
    <row r="48" spans="1:8">
      <c r="A48" s="110">
        <v>47</v>
      </c>
      <c r="B48" s="110" t="s">
        <v>246</v>
      </c>
      <c r="C48" s="111">
        <v>1</v>
      </c>
      <c r="D48" s="111">
        <v>1</v>
      </c>
      <c r="E48" s="111">
        <v>1</v>
      </c>
      <c r="F48" s="111">
        <v>1</v>
      </c>
      <c r="G48" s="111">
        <v>0</v>
      </c>
      <c r="H48" s="112">
        <f t="shared" ca="1" si="0"/>
        <v>1</v>
      </c>
    </row>
    <row r="49" spans="1:8">
      <c r="A49" s="110">
        <v>48</v>
      </c>
      <c r="B49" s="110" t="s">
        <v>248</v>
      </c>
      <c r="C49" s="111">
        <v>0</v>
      </c>
      <c r="D49" s="111">
        <v>0</v>
      </c>
      <c r="E49" s="111">
        <v>1</v>
      </c>
      <c r="F49" s="111">
        <v>0</v>
      </c>
      <c r="G49" s="111">
        <v>1</v>
      </c>
      <c r="H49" s="112">
        <f t="shared" ca="1" si="0"/>
        <v>0</v>
      </c>
    </row>
    <row r="50" spans="1:8">
      <c r="A50" s="110">
        <v>49</v>
      </c>
      <c r="B50" s="110" t="s">
        <v>250</v>
      </c>
      <c r="C50" s="111">
        <v>1</v>
      </c>
      <c r="D50" s="111">
        <v>0</v>
      </c>
      <c r="E50" s="111">
        <v>1</v>
      </c>
      <c r="F50" s="111">
        <v>1</v>
      </c>
      <c r="G50" s="111">
        <v>0</v>
      </c>
      <c r="H50" s="112">
        <f t="shared" ca="1" si="0"/>
        <v>0</v>
      </c>
    </row>
    <row r="51" spans="1:8">
      <c r="A51" s="110">
        <v>50</v>
      </c>
      <c r="B51" s="110" t="s">
        <v>456</v>
      </c>
      <c r="C51" s="111">
        <v>0</v>
      </c>
      <c r="D51" s="111">
        <v>0</v>
      </c>
      <c r="E51" s="111">
        <v>0</v>
      </c>
      <c r="F51" s="111">
        <v>0</v>
      </c>
      <c r="G51" s="111">
        <v>0</v>
      </c>
      <c r="H51" s="112">
        <f t="shared" ca="1" si="0"/>
        <v>0</v>
      </c>
    </row>
    <row r="52" spans="1:8">
      <c r="A52" s="110">
        <v>51</v>
      </c>
      <c r="B52" s="110" t="s">
        <v>458</v>
      </c>
      <c r="C52" s="111">
        <v>0</v>
      </c>
      <c r="D52" s="111">
        <v>0</v>
      </c>
      <c r="E52" s="111">
        <v>0</v>
      </c>
      <c r="F52" s="111">
        <v>1</v>
      </c>
      <c r="G52" s="111">
        <v>1</v>
      </c>
      <c r="H52" s="112">
        <f t="shared" ca="1" si="0"/>
        <v>1</v>
      </c>
    </row>
    <row r="53" spans="1:8">
      <c r="A53" s="110">
        <v>52</v>
      </c>
      <c r="B53" s="110" t="s">
        <v>461</v>
      </c>
      <c r="C53" s="111">
        <v>0</v>
      </c>
      <c r="D53" s="111">
        <v>1</v>
      </c>
      <c r="E53" s="111">
        <v>0</v>
      </c>
      <c r="F53" s="111">
        <v>0</v>
      </c>
      <c r="G53" s="111">
        <v>0</v>
      </c>
      <c r="H53" s="112">
        <f t="shared" ca="1" si="0"/>
        <v>1</v>
      </c>
    </row>
    <row r="54" spans="1:8">
      <c r="A54" s="110">
        <v>53</v>
      </c>
      <c r="B54" s="110" t="s">
        <v>466</v>
      </c>
      <c r="C54" s="111">
        <v>1</v>
      </c>
      <c r="D54" s="111">
        <v>1</v>
      </c>
      <c r="E54" s="111">
        <v>0</v>
      </c>
      <c r="F54" s="111">
        <v>1</v>
      </c>
      <c r="G54" s="111">
        <v>1</v>
      </c>
      <c r="H54" s="112">
        <f t="shared" ca="1" si="0"/>
        <v>0</v>
      </c>
    </row>
    <row r="55" spans="1:8">
      <c r="A55" s="110">
        <v>54</v>
      </c>
      <c r="B55" s="110" t="s">
        <v>470</v>
      </c>
      <c r="C55" s="111">
        <v>1</v>
      </c>
      <c r="D55" s="111">
        <v>1</v>
      </c>
      <c r="E55" s="111">
        <v>0</v>
      </c>
      <c r="F55" s="111">
        <v>1</v>
      </c>
      <c r="G55" s="111">
        <v>0</v>
      </c>
      <c r="H55" s="112">
        <f t="shared" ca="1" si="0"/>
        <v>0</v>
      </c>
    </row>
    <row r="56" spans="1:8">
      <c r="A56" s="110">
        <v>55</v>
      </c>
      <c r="B56" s="110" t="s">
        <v>472</v>
      </c>
      <c r="C56" s="111">
        <v>0</v>
      </c>
      <c r="D56" s="111">
        <v>1</v>
      </c>
      <c r="E56" s="111">
        <v>0</v>
      </c>
      <c r="F56" s="111">
        <v>0</v>
      </c>
      <c r="G56" s="111">
        <v>0</v>
      </c>
      <c r="H56" s="112">
        <f t="shared" ca="1" si="0"/>
        <v>0</v>
      </c>
    </row>
    <row r="57" spans="1:8">
      <c r="A57" s="110">
        <v>56</v>
      </c>
      <c r="B57" s="110" t="s">
        <v>476</v>
      </c>
      <c r="C57" s="111">
        <v>0</v>
      </c>
      <c r="D57" s="111">
        <v>1</v>
      </c>
      <c r="E57" s="111">
        <v>0</v>
      </c>
      <c r="F57" s="111">
        <v>1</v>
      </c>
      <c r="G57" s="111">
        <v>1</v>
      </c>
      <c r="H57" s="112">
        <f t="shared" ca="1" si="0"/>
        <v>1</v>
      </c>
    </row>
    <row r="58" spans="1:8">
      <c r="A58" s="110">
        <v>57</v>
      </c>
      <c r="B58" s="110" t="s">
        <v>479</v>
      </c>
      <c r="C58" s="111">
        <v>1</v>
      </c>
      <c r="D58" s="111">
        <v>1</v>
      </c>
      <c r="E58" s="111">
        <v>0</v>
      </c>
      <c r="F58" s="111">
        <v>0</v>
      </c>
      <c r="G58" s="111">
        <v>0</v>
      </c>
      <c r="H58" s="112">
        <f t="shared" ca="1" si="0"/>
        <v>0</v>
      </c>
    </row>
    <row r="59" spans="1:8">
      <c r="A59" s="110">
        <v>58</v>
      </c>
      <c r="B59" s="110" t="s">
        <v>481</v>
      </c>
      <c r="C59" s="111">
        <v>0</v>
      </c>
      <c r="D59" s="111">
        <v>0</v>
      </c>
      <c r="E59" s="111">
        <v>0</v>
      </c>
      <c r="F59" s="111">
        <v>0</v>
      </c>
      <c r="G59" s="111">
        <v>0</v>
      </c>
      <c r="H59" s="112">
        <f t="shared" ca="1" si="0"/>
        <v>1</v>
      </c>
    </row>
    <row r="60" spans="1:8">
      <c r="A60" s="110">
        <v>59</v>
      </c>
      <c r="B60" s="110" t="s">
        <v>484</v>
      </c>
      <c r="C60" s="111">
        <v>0</v>
      </c>
      <c r="D60" s="111">
        <v>1</v>
      </c>
      <c r="E60" s="111">
        <v>0</v>
      </c>
      <c r="F60" s="111">
        <v>1</v>
      </c>
      <c r="G60" s="111">
        <v>0</v>
      </c>
      <c r="H60" s="112">
        <f t="shared" ca="1" si="0"/>
        <v>0</v>
      </c>
    </row>
    <row r="61" spans="1:8">
      <c r="A61" s="110">
        <v>60</v>
      </c>
      <c r="B61" s="110" t="s">
        <v>488</v>
      </c>
      <c r="C61" s="111">
        <v>0</v>
      </c>
      <c r="D61" s="111">
        <v>0</v>
      </c>
      <c r="E61" s="111">
        <v>1</v>
      </c>
      <c r="F61" s="111">
        <v>0</v>
      </c>
      <c r="G61" s="111">
        <v>1</v>
      </c>
      <c r="H61" s="112">
        <f t="shared" ca="1" si="0"/>
        <v>0</v>
      </c>
    </row>
    <row r="62" spans="1:8">
      <c r="A62" s="110">
        <v>61</v>
      </c>
      <c r="B62" s="110" t="s">
        <v>494</v>
      </c>
      <c r="C62" s="111">
        <v>0</v>
      </c>
      <c r="D62" s="111">
        <v>0</v>
      </c>
      <c r="E62" s="111">
        <v>1</v>
      </c>
      <c r="F62" s="111">
        <v>1</v>
      </c>
      <c r="G62" s="111">
        <v>0</v>
      </c>
      <c r="H62" s="112">
        <f t="shared" ca="1" si="0"/>
        <v>1</v>
      </c>
    </row>
    <row r="63" spans="1:8">
      <c r="A63" s="110">
        <v>62</v>
      </c>
      <c r="B63" s="110" t="s">
        <v>499</v>
      </c>
      <c r="C63" s="111">
        <v>1</v>
      </c>
      <c r="D63" s="111">
        <v>0</v>
      </c>
      <c r="E63" s="111">
        <v>0</v>
      </c>
      <c r="F63" s="111">
        <v>1</v>
      </c>
      <c r="G63" s="111">
        <v>0</v>
      </c>
      <c r="H63" s="112">
        <f t="shared" ca="1" si="0"/>
        <v>0</v>
      </c>
    </row>
    <row r="64" spans="1:8">
      <c r="A64" s="110">
        <v>63</v>
      </c>
      <c r="B64" s="110" t="s">
        <v>503</v>
      </c>
      <c r="C64" s="111">
        <v>1</v>
      </c>
      <c r="D64" s="111">
        <v>1</v>
      </c>
      <c r="E64" s="111">
        <v>1</v>
      </c>
      <c r="F64" s="111">
        <v>0</v>
      </c>
      <c r="G64" s="111">
        <v>0</v>
      </c>
      <c r="H64" s="112">
        <f t="shared" ca="1" si="0"/>
        <v>0</v>
      </c>
    </row>
    <row r="65" spans="1:8">
      <c r="A65" s="110">
        <v>64</v>
      </c>
      <c r="B65" s="110" t="s">
        <v>506</v>
      </c>
      <c r="C65" s="111">
        <v>1</v>
      </c>
      <c r="D65" s="111">
        <v>0</v>
      </c>
      <c r="E65" s="111">
        <v>0</v>
      </c>
      <c r="F65" s="111">
        <v>0</v>
      </c>
      <c r="G65" s="111">
        <v>0</v>
      </c>
      <c r="H65" s="112">
        <f t="shared" ca="1" si="0"/>
        <v>0</v>
      </c>
    </row>
    <row r="66" spans="1:8">
      <c r="A66" s="110">
        <v>65</v>
      </c>
      <c r="B66" s="110" t="s">
        <v>512</v>
      </c>
      <c r="C66" s="111">
        <v>0</v>
      </c>
      <c r="D66" s="111">
        <v>0</v>
      </c>
      <c r="E66" s="111">
        <v>1</v>
      </c>
      <c r="F66" s="111">
        <v>1</v>
      </c>
      <c r="G66" s="111">
        <v>0</v>
      </c>
      <c r="H66" s="112">
        <f t="shared" ca="1" si="0"/>
        <v>0</v>
      </c>
    </row>
    <row r="67" spans="1:8">
      <c r="A67" s="110">
        <v>66</v>
      </c>
      <c r="B67" s="110" t="s">
        <v>517</v>
      </c>
      <c r="C67" s="111">
        <v>1</v>
      </c>
      <c r="D67" s="111">
        <v>1</v>
      </c>
      <c r="E67" s="111">
        <v>1</v>
      </c>
      <c r="F67" s="111">
        <v>1</v>
      </c>
      <c r="G67" s="111">
        <v>1</v>
      </c>
      <c r="H67" s="112">
        <f t="shared" ref="H67:H130" ca="1" si="1">IF(RAND()&lt;0.6,0,1)</f>
        <v>0</v>
      </c>
    </row>
    <row r="68" spans="1:8">
      <c r="A68" s="110">
        <v>67</v>
      </c>
      <c r="B68" s="110" t="s">
        <v>521</v>
      </c>
      <c r="C68" s="111">
        <v>0</v>
      </c>
      <c r="D68" s="111">
        <v>1</v>
      </c>
      <c r="E68" s="111">
        <v>1</v>
      </c>
      <c r="F68" s="111">
        <v>1</v>
      </c>
      <c r="G68" s="111">
        <v>1</v>
      </c>
      <c r="H68" s="112">
        <f t="shared" ca="1" si="1"/>
        <v>0</v>
      </c>
    </row>
    <row r="69" spans="1:8">
      <c r="A69" s="110">
        <v>68</v>
      </c>
      <c r="B69" s="110" t="s">
        <v>523</v>
      </c>
      <c r="C69" s="111">
        <v>1</v>
      </c>
      <c r="D69" s="111">
        <v>0</v>
      </c>
      <c r="E69" s="111">
        <v>1</v>
      </c>
      <c r="F69" s="111">
        <v>1</v>
      </c>
      <c r="G69" s="111">
        <v>0</v>
      </c>
      <c r="H69" s="112">
        <f t="shared" ca="1" si="1"/>
        <v>0</v>
      </c>
    </row>
    <row r="70" spans="1:8">
      <c r="A70" s="110">
        <v>69</v>
      </c>
      <c r="B70" s="110" t="s">
        <v>525</v>
      </c>
      <c r="C70" s="111">
        <v>0</v>
      </c>
      <c r="D70" s="111">
        <v>1</v>
      </c>
      <c r="E70" s="111">
        <v>1</v>
      </c>
      <c r="F70" s="111">
        <v>0</v>
      </c>
      <c r="G70" s="111">
        <v>0</v>
      </c>
      <c r="H70" s="112">
        <f t="shared" ca="1" si="1"/>
        <v>0</v>
      </c>
    </row>
    <row r="71" spans="1:8">
      <c r="A71" s="110">
        <v>70</v>
      </c>
      <c r="B71" s="110" t="s">
        <v>529</v>
      </c>
      <c r="C71" s="111">
        <v>0</v>
      </c>
      <c r="D71" s="111">
        <v>0</v>
      </c>
      <c r="E71" s="111">
        <v>0</v>
      </c>
      <c r="F71" s="111">
        <v>0</v>
      </c>
      <c r="G71" s="111">
        <v>1</v>
      </c>
      <c r="H71" s="112">
        <f t="shared" ca="1" si="1"/>
        <v>0</v>
      </c>
    </row>
    <row r="72" spans="1:8">
      <c r="A72" s="110">
        <v>71</v>
      </c>
      <c r="B72" s="110" t="s">
        <v>532</v>
      </c>
      <c r="C72" s="111">
        <v>1</v>
      </c>
      <c r="D72" s="111">
        <v>1</v>
      </c>
      <c r="E72" s="111">
        <v>0</v>
      </c>
      <c r="F72" s="111">
        <v>0</v>
      </c>
      <c r="G72" s="111">
        <v>0</v>
      </c>
      <c r="H72" s="112">
        <f t="shared" ca="1" si="1"/>
        <v>0</v>
      </c>
    </row>
    <row r="73" spans="1:8">
      <c r="A73" s="110">
        <v>72</v>
      </c>
      <c r="B73" s="110" t="s">
        <v>535</v>
      </c>
      <c r="C73" s="111">
        <v>0</v>
      </c>
      <c r="D73" s="111">
        <v>0</v>
      </c>
      <c r="E73" s="111">
        <v>0</v>
      </c>
      <c r="F73" s="111">
        <v>1</v>
      </c>
      <c r="G73" s="111">
        <v>1</v>
      </c>
      <c r="H73" s="112">
        <f t="shared" ca="1" si="1"/>
        <v>0</v>
      </c>
    </row>
    <row r="74" spans="1:8">
      <c r="A74" s="110">
        <v>73</v>
      </c>
      <c r="B74" s="110" t="s">
        <v>539</v>
      </c>
      <c r="C74" s="111">
        <v>1</v>
      </c>
      <c r="D74" s="111">
        <v>0</v>
      </c>
      <c r="E74" s="111">
        <v>0</v>
      </c>
      <c r="F74" s="111">
        <v>1</v>
      </c>
      <c r="G74" s="111">
        <v>0</v>
      </c>
      <c r="H74" s="112">
        <f t="shared" ca="1" si="1"/>
        <v>1</v>
      </c>
    </row>
    <row r="75" spans="1:8">
      <c r="A75" s="110">
        <v>74</v>
      </c>
      <c r="B75" s="110" t="s">
        <v>544</v>
      </c>
      <c r="C75" s="111">
        <v>0</v>
      </c>
      <c r="D75" s="111">
        <v>0</v>
      </c>
      <c r="E75" s="111">
        <v>1</v>
      </c>
      <c r="F75" s="111">
        <v>0</v>
      </c>
      <c r="G75" s="111">
        <v>0</v>
      </c>
      <c r="H75" s="112">
        <f t="shared" ca="1" si="1"/>
        <v>1</v>
      </c>
    </row>
    <row r="76" spans="1:8">
      <c r="A76" s="110">
        <v>75</v>
      </c>
      <c r="B76" s="110" t="s">
        <v>548</v>
      </c>
      <c r="C76" s="111">
        <v>1</v>
      </c>
      <c r="D76" s="111">
        <v>1</v>
      </c>
      <c r="E76" s="111">
        <v>1</v>
      </c>
      <c r="F76" s="111">
        <v>0</v>
      </c>
      <c r="G76" s="111">
        <v>1</v>
      </c>
      <c r="H76" s="112">
        <f t="shared" ca="1" si="1"/>
        <v>0</v>
      </c>
    </row>
    <row r="77" spans="1:8">
      <c r="A77" s="110">
        <v>76</v>
      </c>
      <c r="B77" s="110" t="s">
        <v>553</v>
      </c>
      <c r="C77" s="111">
        <v>1</v>
      </c>
      <c r="D77" s="111">
        <v>1</v>
      </c>
      <c r="E77" s="111">
        <v>1</v>
      </c>
      <c r="F77" s="111">
        <v>0</v>
      </c>
      <c r="G77" s="111">
        <v>0</v>
      </c>
      <c r="H77" s="112">
        <f t="shared" ca="1" si="1"/>
        <v>1</v>
      </c>
    </row>
    <row r="78" spans="1:8">
      <c r="A78" s="110">
        <v>77</v>
      </c>
      <c r="B78" s="110" t="s">
        <v>555</v>
      </c>
      <c r="C78" s="111">
        <v>1</v>
      </c>
      <c r="D78" s="111">
        <v>1</v>
      </c>
      <c r="E78" s="111">
        <v>0</v>
      </c>
      <c r="F78" s="111">
        <v>1</v>
      </c>
      <c r="G78" s="111">
        <v>1</v>
      </c>
      <c r="H78" s="112">
        <f t="shared" ca="1" si="1"/>
        <v>1</v>
      </c>
    </row>
    <row r="79" spans="1:8">
      <c r="A79" s="110">
        <v>78</v>
      </c>
      <c r="B79" s="110" t="s">
        <v>558</v>
      </c>
      <c r="C79" s="111">
        <v>0</v>
      </c>
      <c r="D79" s="111">
        <v>1</v>
      </c>
      <c r="E79" s="111">
        <v>1</v>
      </c>
      <c r="F79" s="111">
        <v>1</v>
      </c>
      <c r="G79" s="111">
        <v>0</v>
      </c>
      <c r="H79" s="112">
        <f t="shared" ca="1" si="1"/>
        <v>1</v>
      </c>
    </row>
    <row r="80" spans="1:8">
      <c r="A80" s="110">
        <v>79</v>
      </c>
      <c r="B80" s="110" t="s">
        <v>561</v>
      </c>
      <c r="C80" s="111">
        <v>0</v>
      </c>
      <c r="D80" s="111">
        <v>0</v>
      </c>
      <c r="E80" s="111">
        <v>0</v>
      </c>
      <c r="F80" s="111">
        <v>0</v>
      </c>
      <c r="G80" s="111">
        <v>0</v>
      </c>
      <c r="H80" s="112">
        <f t="shared" ca="1" si="1"/>
        <v>1</v>
      </c>
    </row>
    <row r="81" spans="1:8">
      <c r="A81" s="110">
        <v>80</v>
      </c>
      <c r="B81" s="110" t="s">
        <v>564</v>
      </c>
      <c r="C81" s="111">
        <v>0</v>
      </c>
      <c r="D81" s="111">
        <v>1</v>
      </c>
      <c r="E81" s="111">
        <v>1</v>
      </c>
      <c r="F81" s="111">
        <v>1</v>
      </c>
      <c r="G81" s="111">
        <v>1</v>
      </c>
      <c r="H81" s="112">
        <f t="shared" ca="1" si="1"/>
        <v>1</v>
      </c>
    </row>
    <row r="82" spans="1:8">
      <c r="A82" s="110">
        <v>81</v>
      </c>
      <c r="B82" s="110" t="s">
        <v>567</v>
      </c>
      <c r="C82" s="111">
        <v>1</v>
      </c>
      <c r="D82" s="111">
        <v>0</v>
      </c>
      <c r="E82" s="111">
        <v>1</v>
      </c>
      <c r="F82" s="111">
        <v>0</v>
      </c>
      <c r="G82" s="111">
        <v>1</v>
      </c>
      <c r="H82" s="112">
        <f t="shared" ca="1" si="1"/>
        <v>1</v>
      </c>
    </row>
    <row r="83" spans="1:8">
      <c r="A83" s="110">
        <v>82</v>
      </c>
      <c r="B83" s="110" t="s">
        <v>570</v>
      </c>
      <c r="C83" s="111">
        <v>0</v>
      </c>
      <c r="D83" s="111">
        <v>0</v>
      </c>
      <c r="E83" s="111">
        <v>1</v>
      </c>
      <c r="F83" s="111">
        <v>1</v>
      </c>
      <c r="G83" s="111">
        <v>0</v>
      </c>
      <c r="H83" s="112">
        <f t="shared" ca="1" si="1"/>
        <v>0</v>
      </c>
    </row>
    <row r="84" spans="1:8">
      <c r="A84" s="110">
        <v>83</v>
      </c>
      <c r="B84" s="110" t="s">
        <v>573</v>
      </c>
      <c r="C84" s="111">
        <v>1</v>
      </c>
      <c r="D84" s="111">
        <v>0</v>
      </c>
      <c r="E84" s="111">
        <v>1</v>
      </c>
      <c r="F84" s="111">
        <v>0</v>
      </c>
      <c r="G84" s="111">
        <v>1</v>
      </c>
      <c r="H84" s="112">
        <f t="shared" ca="1" si="1"/>
        <v>1</v>
      </c>
    </row>
    <row r="85" spans="1:8">
      <c r="A85" s="110">
        <v>84</v>
      </c>
      <c r="B85" s="110" t="s">
        <v>577</v>
      </c>
      <c r="C85" s="111">
        <v>0</v>
      </c>
      <c r="D85" s="111">
        <v>1</v>
      </c>
      <c r="E85" s="111">
        <v>0</v>
      </c>
      <c r="F85" s="111">
        <v>1</v>
      </c>
      <c r="G85" s="111">
        <v>1</v>
      </c>
      <c r="H85" s="112">
        <f t="shared" ca="1" si="1"/>
        <v>0</v>
      </c>
    </row>
    <row r="86" spans="1:8">
      <c r="A86" s="110">
        <v>85</v>
      </c>
      <c r="B86" s="110" t="s">
        <v>580</v>
      </c>
      <c r="C86" s="111">
        <v>1</v>
      </c>
      <c r="D86" s="111">
        <v>0</v>
      </c>
      <c r="E86" s="111">
        <v>0</v>
      </c>
      <c r="F86" s="111">
        <v>1</v>
      </c>
      <c r="G86" s="111">
        <v>0</v>
      </c>
      <c r="H86" s="112">
        <f t="shared" ca="1" si="1"/>
        <v>0</v>
      </c>
    </row>
    <row r="87" spans="1:8">
      <c r="A87" s="110">
        <v>86</v>
      </c>
      <c r="B87" s="110" t="s">
        <v>582</v>
      </c>
      <c r="C87" s="111">
        <v>0</v>
      </c>
      <c r="D87" s="111">
        <v>0</v>
      </c>
      <c r="E87" s="111">
        <v>0</v>
      </c>
      <c r="F87" s="111">
        <v>1</v>
      </c>
      <c r="G87" s="111">
        <v>1</v>
      </c>
      <c r="H87" s="112">
        <f t="shared" ca="1" si="1"/>
        <v>0</v>
      </c>
    </row>
    <row r="88" spans="1:8">
      <c r="A88" s="110">
        <v>87</v>
      </c>
      <c r="B88" s="110" t="s">
        <v>586</v>
      </c>
      <c r="C88" s="111">
        <v>1</v>
      </c>
      <c r="D88" s="111">
        <v>1</v>
      </c>
      <c r="E88" s="111">
        <v>1</v>
      </c>
      <c r="F88" s="111">
        <v>1</v>
      </c>
      <c r="G88" s="111">
        <v>1</v>
      </c>
      <c r="H88" s="112">
        <f t="shared" ca="1" si="1"/>
        <v>0</v>
      </c>
    </row>
    <row r="89" spans="1:8">
      <c r="A89" s="110">
        <v>88</v>
      </c>
      <c r="B89" s="110" t="s">
        <v>589</v>
      </c>
      <c r="C89" s="111">
        <v>1</v>
      </c>
      <c r="D89" s="111">
        <v>1</v>
      </c>
      <c r="E89" s="111">
        <v>0</v>
      </c>
      <c r="F89" s="111">
        <v>1</v>
      </c>
      <c r="G89" s="111">
        <v>0</v>
      </c>
      <c r="H89" s="112">
        <f t="shared" ca="1" si="1"/>
        <v>1</v>
      </c>
    </row>
    <row r="90" spans="1:8">
      <c r="A90" s="110">
        <v>89</v>
      </c>
      <c r="B90" s="110" t="s">
        <v>592</v>
      </c>
      <c r="C90" s="111">
        <v>0</v>
      </c>
      <c r="D90" s="111">
        <v>1</v>
      </c>
      <c r="E90" s="111">
        <v>0</v>
      </c>
      <c r="F90" s="111">
        <v>0</v>
      </c>
      <c r="G90" s="111">
        <v>1</v>
      </c>
      <c r="H90" s="112">
        <f t="shared" ca="1" si="1"/>
        <v>0</v>
      </c>
    </row>
    <row r="91" spans="1:8">
      <c r="A91" s="110">
        <v>90</v>
      </c>
      <c r="B91" s="110" t="s">
        <v>595</v>
      </c>
      <c r="C91" s="111">
        <v>1</v>
      </c>
      <c r="D91" s="111">
        <v>1</v>
      </c>
      <c r="E91" s="111">
        <v>1</v>
      </c>
      <c r="F91" s="111">
        <v>0</v>
      </c>
      <c r="G91" s="111">
        <v>1</v>
      </c>
      <c r="H91" s="112">
        <f t="shared" ca="1" si="1"/>
        <v>0</v>
      </c>
    </row>
    <row r="92" spans="1:8">
      <c r="A92" s="110">
        <v>91</v>
      </c>
      <c r="B92" s="110" t="s">
        <v>597</v>
      </c>
      <c r="C92" s="111">
        <v>1</v>
      </c>
      <c r="D92" s="111">
        <v>1</v>
      </c>
      <c r="E92" s="111">
        <v>0</v>
      </c>
      <c r="F92" s="111">
        <v>0</v>
      </c>
      <c r="G92" s="111">
        <v>0</v>
      </c>
      <c r="H92" s="112">
        <f t="shared" ca="1" si="1"/>
        <v>1</v>
      </c>
    </row>
    <row r="93" spans="1:8">
      <c r="A93" s="110">
        <v>92</v>
      </c>
      <c r="B93" s="110" t="s">
        <v>599</v>
      </c>
      <c r="C93" s="111">
        <v>0</v>
      </c>
      <c r="D93" s="111">
        <v>0</v>
      </c>
      <c r="E93" s="111">
        <v>0</v>
      </c>
      <c r="F93" s="111">
        <v>1</v>
      </c>
      <c r="G93" s="111">
        <v>1</v>
      </c>
      <c r="H93" s="112">
        <f t="shared" ca="1" si="1"/>
        <v>1</v>
      </c>
    </row>
    <row r="94" spans="1:8">
      <c r="A94" s="110">
        <v>93</v>
      </c>
      <c r="B94" s="110" t="s">
        <v>602</v>
      </c>
      <c r="C94" s="111">
        <v>0</v>
      </c>
      <c r="D94" s="111">
        <v>0</v>
      </c>
      <c r="E94" s="111">
        <v>1</v>
      </c>
      <c r="F94" s="111">
        <v>1</v>
      </c>
      <c r="G94" s="111">
        <v>0</v>
      </c>
      <c r="H94" s="112">
        <f t="shared" ca="1" si="1"/>
        <v>0</v>
      </c>
    </row>
    <row r="95" spans="1:8">
      <c r="A95" s="110">
        <v>94</v>
      </c>
      <c r="B95" s="110" t="s">
        <v>606</v>
      </c>
      <c r="C95" s="111">
        <v>0</v>
      </c>
      <c r="D95" s="111">
        <v>0</v>
      </c>
      <c r="E95" s="111">
        <v>1</v>
      </c>
      <c r="F95" s="111">
        <v>1</v>
      </c>
      <c r="G95" s="111">
        <v>0</v>
      </c>
      <c r="H95" s="112">
        <f t="shared" ca="1" si="1"/>
        <v>0</v>
      </c>
    </row>
    <row r="96" spans="1:8">
      <c r="A96" s="110">
        <v>95</v>
      </c>
      <c r="B96" s="110" t="s">
        <v>609</v>
      </c>
      <c r="C96" s="111">
        <v>1</v>
      </c>
      <c r="D96" s="111">
        <v>0</v>
      </c>
      <c r="E96" s="111">
        <v>1</v>
      </c>
      <c r="F96" s="111">
        <v>0</v>
      </c>
      <c r="G96" s="111">
        <v>0</v>
      </c>
      <c r="H96" s="112">
        <f t="shared" ca="1" si="1"/>
        <v>1</v>
      </c>
    </row>
    <row r="97" spans="1:8">
      <c r="A97" s="110">
        <v>96</v>
      </c>
      <c r="B97" s="110" t="s">
        <v>612</v>
      </c>
      <c r="C97" s="111">
        <v>1</v>
      </c>
      <c r="D97" s="111">
        <v>1</v>
      </c>
      <c r="E97" s="111">
        <v>1</v>
      </c>
      <c r="F97" s="111">
        <v>1</v>
      </c>
      <c r="G97" s="111">
        <v>1</v>
      </c>
      <c r="H97" s="112">
        <f t="shared" ca="1" si="1"/>
        <v>1</v>
      </c>
    </row>
    <row r="98" spans="1:8">
      <c r="A98" s="110">
        <v>97</v>
      </c>
      <c r="B98" s="110" t="s">
        <v>615</v>
      </c>
      <c r="C98" s="111">
        <v>1</v>
      </c>
      <c r="D98" s="111">
        <v>1</v>
      </c>
      <c r="E98" s="111">
        <v>0</v>
      </c>
      <c r="F98" s="111">
        <v>1</v>
      </c>
      <c r="G98" s="111">
        <v>0</v>
      </c>
      <c r="H98" s="112">
        <f t="shared" ca="1" si="1"/>
        <v>1</v>
      </c>
    </row>
    <row r="99" spans="1:8">
      <c r="A99" s="110">
        <v>98</v>
      </c>
      <c r="B99" s="110" t="s">
        <v>618</v>
      </c>
      <c r="C99" s="111">
        <v>1</v>
      </c>
      <c r="D99" s="111">
        <v>0</v>
      </c>
      <c r="E99" s="111">
        <v>1</v>
      </c>
      <c r="F99" s="111">
        <v>1</v>
      </c>
      <c r="G99" s="111">
        <v>1</v>
      </c>
      <c r="H99" s="112">
        <f t="shared" ca="1" si="1"/>
        <v>0</v>
      </c>
    </row>
    <row r="100" spans="1:8">
      <c r="A100" s="110">
        <v>99</v>
      </c>
      <c r="B100" s="110" t="s">
        <v>621</v>
      </c>
      <c r="C100" s="111">
        <v>1</v>
      </c>
      <c r="D100" s="111">
        <v>1</v>
      </c>
      <c r="E100" s="111">
        <v>1</v>
      </c>
      <c r="F100" s="111">
        <v>1</v>
      </c>
      <c r="G100" s="111">
        <v>1</v>
      </c>
      <c r="H100" s="112">
        <f t="shared" ca="1" si="1"/>
        <v>1</v>
      </c>
    </row>
    <row r="101" spans="1:8">
      <c r="A101" s="110">
        <v>100</v>
      </c>
      <c r="B101" s="110" t="s">
        <v>625</v>
      </c>
      <c r="C101" s="111">
        <v>0</v>
      </c>
      <c r="D101" s="111">
        <v>1</v>
      </c>
      <c r="E101" s="111">
        <v>0</v>
      </c>
      <c r="F101" s="111">
        <v>1</v>
      </c>
      <c r="G101" s="111">
        <v>1</v>
      </c>
      <c r="H101" s="112">
        <f t="shared" ca="1" si="1"/>
        <v>0</v>
      </c>
    </row>
    <row r="102" spans="1:8">
      <c r="A102" s="110">
        <v>101</v>
      </c>
      <c r="B102" s="110" t="s">
        <v>628</v>
      </c>
      <c r="C102" s="111">
        <v>0</v>
      </c>
      <c r="D102" s="111">
        <v>0</v>
      </c>
      <c r="E102" s="111">
        <v>1</v>
      </c>
      <c r="F102" s="111">
        <v>0</v>
      </c>
      <c r="G102" s="111">
        <v>1</v>
      </c>
      <c r="H102" s="112">
        <f t="shared" ca="1" si="1"/>
        <v>1</v>
      </c>
    </row>
    <row r="103" spans="1:8">
      <c r="A103" s="110">
        <v>102</v>
      </c>
      <c r="B103" s="110" t="s">
        <v>631</v>
      </c>
      <c r="C103" s="111">
        <v>1</v>
      </c>
      <c r="D103" s="111">
        <v>1</v>
      </c>
      <c r="E103" s="111">
        <v>0</v>
      </c>
      <c r="F103" s="111">
        <v>1</v>
      </c>
      <c r="G103" s="111">
        <v>0</v>
      </c>
      <c r="H103" s="112">
        <f t="shared" ca="1" si="1"/>
        <v>0</v>
      </c>
    </row>
    <row r="104" spans="1:8">
      <c r="A104" s="110">
        <v>103</v>
      </c>
      <c r="B104" s="110" t="s">
        <v>634</v>
      </c>
      <c r="C104" s="111">
        <v>1</v>
      </c>
      <c r="D104" s="111">
        <v>0</v>
      </c>
      <c r="E104" s="111">
        <v>0</v>
      </c>
      <c r="F104" s="111">
        <v>1</v>
      </c>
      <c r="G104" s="111">
        <v>0</v>
      </c>
      <c r="H104" s="112">
        <f t="shared" ca="1" si="1"/>
        <v>1</v>
      </c>
    </row>
    <row r="105" spans="1:8">
      <c r="A105" s="110">
        <v>104</v>
      </c>
      <c r="B105" s="110" t="s">
        <v>637</v>
      </c>
      <c r="C105" s="111">
        <v>1</v>
      </c>
      <c r="D105" s="111">
        <v>1</v>
      </c>
      <c r="E105" s="111">
        <v>1</v>
      </c>
      <c r="F105" s="111">
        <v>1</v>
      </c>
      <c r="G105" s="111">
        <v>0</v>
      </c>
      <c r="H105" s="112">
        <f t="shared" ca="1" si="1"/>
        <v>1</v>
      </c>
    </row>
    <row r="106" spans="1:8">
      <c r="A106" s="110">
        <v>105</v>
      </c>
      <c r="B106" s="110" t="s">
        <v>640</v>
      </c>
      <c r="C106" s="111">
        <v>0</v>
      </c>
      <c r="D106" s="111">
        <v>1</v>
      </c>
      <c r="E106" s="111">
        <v>1</v>
      </c>
      <c r="F106" s="111">
        <v>0</v>
      </c>
      <c r="G106" s="111">
        <v>1</v>
      </c>
      <c r="H106" s="112">
        <f t="shared" ca="1" si="1"/>
        <v>1</v>
      </c>
    </row>
    <row r="107" spans="1:8">
      <c r="A107" s="110">
        <v>106</v>
      </c>
      <c r="B107" s="110" t="s">
        <v>644</v>
      </c>
      <c r="C107" s="111">
        <v>0</v>
      </c>
      <c r="D107" s="111">
        <v>1</v>
      </c>
      <c r="E107" s="111">
        <v>0</v>
      </c>
      <c r="F107" s="111">
        <v>0</v>
      </c>
      <c r="G107" s="111">
        <v>1</v>
      </c>
      <c r="H107" s="112">
        <f t="shared" ca="1" si="1"/>
        <v>1</v>
      </c>
    </row>
    <row r="108" spans="1:8">
      <c r="A108" s="110">
        <v>107</v>
      </c>
      <c r="B108" s="110" t="s">
        <v>647</v>
      </c>
      <c r="C108" s="111">
        <v>1</v>
      </c>
      <c r="D108" s="111">
        <v>1</v>
      </c>
      <c r="E108" s="111">
        <v>0</v>
      </c>
      <c r="F108" s="111">
        <v>0</v>
      </c>
      <c r="G108" s="111">
        <v>0</v>
      </c>
      <c r="H108" s="112">
        <f t="shared" ca="1" si="1"/>
        <v>1</v>
      </c>
    </row>
    <row r="109" spans="1:8">
      <c r="A109" s="110">
        <v>108</v>
      </c>
      <c r="B109" s="110" t="s">
        <v>650</v>
      </c>
      <c r="C109" s="111">
        <v>1</v>
      </c>
      <c r="D109" s="111">
        <v>1</v>
      </c>
      <c r="E109" s="111">
        <v>1</v>
      </c>
      <c r="F109" s="111">
        <v>1</v>
      </c>
      <c r="G109" s="111">
        <v>0</v>
      </c>
      <c r="H109" s="112">
        <f t="shared" ca="1" si="1"/>
        <v>1</v>
      </c>
    </row>
    <row r="110" spans="1:8">
      <c r="A110" s="110">
        <v>109</v>
      </c>
      <c r="B110" s="110" t="s">
        <v>655</v>
      </c>
      <c r="C110" s="111">
        <v>1</v>
      </c>
      <c r="D110" s="111">
        <v>1</v>
      </c>
      <c r="E110" s="111">
        <v>1</v>
      </c>
      <c r="F110" s="111">
        <v>1</v>
      </c>
      <c r="G110" s="111">
        <v>1</v>
      </c>
      <c r="H110" s="112">
        <f t="shared" ca="1" si="1"/>
        <v>0</v>
      </c>
    </row>
    <row r="111" spans="1:8">
      <c r="A111" s="110">
        <v>110</v>
      </c>
      <c r="B111" s="110" t="s">
        <v>658</v>
      </c>
      <c r="C111" s="111">
        <v>0</v>
      </c>
      <c r="D111" s="111">
        <v>0</v>
      </c>
      <c r="E111" s="111">
        <v>1</v>
      </c>
      <c r="F111" s="111">
        <v>0</v>
      </c>
      <c r="G111" s="111">
        <v>0</v>
      </c>
      <c r="H111" s="112">
        <f t="shared" ca="1" si="1"/>
        <v>0</v>
      </c>
    </row>
    <row r="112" spans="1:8">
      <c r="A112" s="110">
        <v>111</v>
      </c>
      <c r="B112" s="110" t="s">
        <v>661</v>
      </c>
      <c r="C112" s="111">
        <v>0</v>
      </c>
      <c r="D112" s="111">
        <v>0</v>
      </c>
      <c r="E112" s="111">
        <v>0</v>
      </c>
      <c r="F112" s="111">
        <v>1</v>
      </c>
      <c r="G112" s="111">
        <v>0</v>
      </c>
      <c r="H112" s="112">
        <f t="shared" ca="1" si="1"/>
        <v>0</v>
      </c>
    </row>
    <row r="113" spans="1:8">
      <c r="A113" s="110">
        <v>112</v>
      </c>
      <c r="B113" s="110" t="s">
        <v>663</v>
      </c>
      <c r="C113" s="111">
        <v>1</v>
      </c>
      <c r="D113" s="111">
        <v>0</v>
      </c>
      <c r="E113" s="111">
        <v>0</v>
      </c>
      <c r="F113" s="111">
        <v>1</v>
      </c>
      <c r="G113" s="111">
        <v>1</v>
      </c>
      <c r="H113" s="112">
        <f t="shared" ca="1" si="1"/>
        <v>0</v>
      </c>
    </row>
    <row r="114" spans="1:8">
      <c r="A114" s="110">
        <v>113</v>
      </c>
      <c r="B114" s="110" t="s">
        <v>666</v>
      </c>
      <c r="C114" s="111">
        <v>0</v>
      </c>
      <c r="D114" s="111">
        <v>1</v>
      </c>
      <c r="E114" s="111">
        <v>0</v>
      </c>
      <c r="F114" s="111">
        <v>0</v>
      </c>
      <c r="G114" s="111">
        <v>1</v>
      </c>
      <c r="H114" s="112">
        <f t="shared" ca="1" si="1"/>
        <v>0</v>
      </c>
    </row>
    <row r="115" spans="1:8">
      <c r="A115" s="110">
        <v>114</v>
      </c>
      <c r="B115" s="110" t="s">
        <v>670</v>
      </c>
      <c r="C115" s="111">
        <v>0</v>
      </c>
      <c r="D115" s="111">
        <v>1</v>
      </c>
      <c r="E115" s="111">
        <v>1</v>
      </c>
      <c r="F115" s="111">
        <v>1</v>
      </c>
      <c r="G115" s="111">
        <v>1</v>
      </c>
      <c r="H115" s="112">
        <f t="shared" ca="1" si="1"/>
        <v>0</v>
      </c>
    </row>
    <row r="116" spans="1:8">
      <c r="A116" s="110">
        <v>115</v>
      </c>
      <c r="B116" s="110" t="s">
        <v>673</v>
      </c>
      <c r="C116" s="111">
        <v>0</v>
      </c>
      <c r="D116" s="111">
        <v>0</v>
      </c>
      <c r="E116" s="111">
        <v>1</v>
      </c>
      <c r="F116" s="111">
        <v>1</v>
      </c>
      <c r="G116" s="111">
        <v>0</v>
      </c>
      <c r="H116" s="112">
        <f t="shared" ca="1" si="1"/>
        <v>0</v>
      </c>
    </row>
    <row r="117" spans="1:8">
      <c r="A117" s="110">
        <v>116</v>
      </c>
      <c r="B117" s="110" t="s">
        <v>677</v>
      </c>
      <c r="C117" s="111">
        <v>0</v>
      </c>
      <c r="D117" s="111">
        <v>0</v>
      </c>
      <c r="E117" s="111">
        <v>0</v>
      </c>
      <c r="F117" s="111">
        <v>1</v>
      </c>
      <c r="G117" s="111">
        <v>1</v>
      </c>
      <c r="H117" s="112">
        <f t="shared" ca="1" si="1"/>
        <v>0</v>
      </c>
    </row>
    <row r="118" spans="1:8">
      <c r="A118" s="110">
        <v>117</v>
      </c>
      <c r="B118" s="110" t="s">
        <v>681</v>
      </c>
      <c r="C118" s="111">
        <v>0</v>
      </c>
      <c r="D118" s="111">
        <v>1</v>
      </c>
      <c r="E118" s="111">
        <v>0</v>
      </c>
      <c r="F118" s="111">
        <v>0</v>
      </c>
      <c r="G118" s="111">
        <v>0</v>
      </c>
      <c r="H118" s="112">
        <f t="shared" ca="1" si="1"/>
        <v>0</v>
      </c>
    </row>
    <row r="119" spans="1:8">
      <c r="A119" s="110">
        <v>118</v>
      </c>
      <c r="B119" s="110" t="s">
        <v>684</v>
      </c>
      <c r="C119" s="111">
        <v>1</v>
      </c>
      <c r="D119" s="111">
        <v>1</v>
      </c>
      <c r="E119" s="111">
        <v>0</v>
      </c>
      <c r="F119" s="111">
        <v>1</v>
      </c>
      <c r="G119" s="111">
        <v>1</v>
      </c>
      <c r="H119" s="112">
        <f t="shared" ca="1" si="1"/>
        <v>1</v>
      </c>
    </row>
    <row r="120" spans="1:8">
      <c r="A120" s="110">
        <v>119</v>
      </c>
      <c r="B120" s="110" t="s">
        <v>686</v>
      </c>
      <c r="C120" s="111">
        <v>1</v>
      </c>
      <c r="D120" s="111">
        <v>0</v>
      </c>
      <c r="E120" s="111">
        <v>0</v>
      </c>
      <c r="F120" s="111">
        <v>0</v>
      </c>
      <c r="G120" s="111">
        <v>1</v>
      </c>
      <c r="H120" s="112">
        <f t="shared" ca="1" si="1"/>
        <v>1</v>
      </c>
    </row>
    <row r="121" spans="1:8">
      <c r="A121" s="110">
        <v>120</v>
      </c>
      <c r="B121" s="110" t="s">
        <v>689</v>
      </c>
      <c r="C121" s="111">
        <v>0</v>
      </c>
      <c r="D121" s="111">
        <v>0</v>
      </c>
      <c r="E121" s="111">
        <v>0</v>
      </c>
      <c r="F121" s="111">
        <v>1</v>
      </c>
      <c r="G121" s="111">
        <v>1</v>
      </c>
      <c r="H121" s="112">
        <f t="shared" ca="1" si="1"/>
        <v>0</v>
      </c>
    </row>
    <row r="122" spans="1:8">
      <c r="A122" s="110">
        <v>121</v>
      </c>
      <c r="B122" s="110" t="s">
        <v>692</v>
      </c>
      <c r="C122" s="111">
        <v>1</v>
      </c>
      <c r="D122" s="111">
        <v>1</v>
      </c>
      <c r="E122" s="111">
        <v>1</v>
      </c>
      <c r="F122" s="111">
        <v>0</v>
      </c>
      <c r="G122" s="111">
        <v>1</v>
      </c>
      <c r="H122" s="112">
        <f t="shared" ca="1" si="1"/>
        <v>0</v>
      </c>
    </row>
    <row r="123" spans="1:8">
      <c r="A123" s="110">
        <v>122</v>
      </c>
      <c r="B123" s="110" t="s">
        <v>694</v>
      </c>
      <c r="C123" s="111">
        <v>0</v>
      </c>
      <c r="D123" s="111">
        <v>0</v>
      </c>
      <c r="E123" s="111">
        <v>0</v>
      </c>
      <c r="F123" s="111">
        <v>0</v>
      </c>
      <c r="G123" s="111">
        <v>1</v>
      </c>
      <c r="H123" s="112">
        <f t="shared" ca="1" si="1"/>
        <v>0</v>
      </c>
    </row>
    <row r="124" spans="1:8">
      <c r="A124" s="110">
        <v>123</v>
      </c>
      <c r="B124" s="110" t="s">
        <v>699</v>
      </c>
      <c r="C124" s="111">
        <v>1</v>
      </c>
      <c r="D124" s="111">
        <v>1</v>
      </c>
      <c r="E124" s="111">
        <v>1</v>
      </c>
      <c r="F124" s="111">
        <v>0</v>
      </c>
      <c r="G124" s="111">
        <v>0</v>
      </c>
      <c r="H124" s="112">
        <f t="shared" ca="1" si="1"/>
        <v>1</v>
      </c>
    </row>
    <row r="125" spans="1:8">
      <c r="A125" s="110">
        <v>124</v>
      </c>
      <c r="B125" s="110" t="s">
        <v>702</v>
      </c>
      <c r="C125" s="111">
        <v>0</v>
      </c>
      <c r="D125" s="111">
        <v>1</v>
      </c>
      <c r="E125" s="111">
        <v>1</v>
      </c>
      <c r="F125" s="111">
        <v>0</v>
      </c>
      <c r="G125" s="111">
        <v>1</v>
      </c>
      <c r="H125" s="112">
        <f t="shared" ca="1" si="1"/>
        <v>0</v>
      </c>
    </row>
    <row r="126" spans="1:8">
      <c r="A126" s="110">
        <v>125</v>
      </c>
      <c r="B126" s="110" t="s">
        <v>704</v>
      </c>
      <c r="C126" s="111">
        <v>0</v>
      </c>
      <c r="D126" s="111">
        <v>0</v>
      </c>
      <c r="E126" s="111">
        <v>1</v>
      </c>
      <c r="F126" s="111">
        <v>1</v>
      </c>
      <c r="G126" s="111">
        <v>0</v>
      </c>
      <c r="H126" s="112">
        <f t="shared" ca="1" si="1"/>
        <v>0</v>
      </c>
    </row>
    <row r="127" spans="1:8">
      <c r="A127" s="110">
        <v>126</v>
      </c>
      <c r="B127" s="110" t="s">
        <v>706</v>
      </c>
      <c r="C127" s="111">
        <v>0</v>
      </c>
      <c r="D127" s="111">
        <v>1</v>
      </c>
      <c r="E127" s="111">
        <v>0</v>
      </c>
      <c r="F127" s="111">
        <v>0</v>
      </c>
      <c r="G127" s="111">
        <v>0</v>
      </c>
      <c r="H127" s="112">
        <f t="shared" ca="1" si="1"/>
        <v>0</v>
      </c>
    </row>
    <row r="128" spans="1:8">
      <c r="A128" s="110">
        <v>127</v>
      </c>
      <c r="B128" s="110" t="s">
        <v>710</v>
      </c>
      <c r="C128" s="111">
        <v>1</v>
      </c>
      <c r="D128" s="111">
        <v>1</v>
      </c>
      <c r="E128" s="111">
        <v>0</v>
      </c>
      <c r="F128" s="111">
        <v>0</v>
      </c>
      <c r="G128" s="111">
        <v>0</v>
      </c>
      <c r="H128" s="112">
        <f t="shared" ca="1" si="1"/>
        <v>0</v>
      </c>
    </row>
    <row r="129" spans="1:8">
      <c r="A129" s="110">
        <v>128</v>
      </c>
      <c r="B129" s="110" t="s">
        <v>713</v>
      </c>
      <c r="C129" s="111">
        <v>0</v>
      </c>
      <c r="D129" s="111">
        <v>1</v>
      </c>
      <c r="E129" s="111">
        <v>0</v>
      </c>
      <c r="F129" s="111">
        <v>1</v>
      </c>
      <c r="G129" s="111">
        <v>1</v>
      </c>
      <c r="H129" s="112">
        <f t="shared" ca="1" si="1"/>
        <v>0</v>
      </c>
    </row>
    <row r="130" spans="1:8">
      <c r="A130" s="110">
        <v>129</v>
      </c>
      <c r="B130" s="110" t="s">
        <v>716</v>
      </c>
      <c r="C130" s="111">
        <v>0</v>
      </c>
      <c r="D130" s="111">
        <v>1</v>
      </c>
      <c r="E130" s="111">
        <v>0</v>
      </c>
      <c r="F130" s="111">
        <v>1</v>
      </c>
      <c r="G130" s="111">
        <v>0</v>
      </c>
      <c r="H130" s="112">
        <f t="shared" ca="1" si="1"/>
        <v>1</v>
      </c>
    </row>
    <row r="131" spans="1:8">
      <c r="A131" s="110">
        <v>130</v>
      </c>
      <c r="B131" s="110" t="s">
        <v>719</v>
      </c>
      <c r="C131" s="111">
        <v>0</v>
      </c>
      <c r="D131" s="111">
        <v>0</v>
      </c>
      <c r="E131" s="111">
        <v>1</v>
      </c>
      <c r="F131" s="111">
        <v>1</v>
      </c>
      <c r="G131" s="111">
        <v>0</v>
      </c>
      <c r="H131" s="112">
        <f t="shared" ref="H131:H194" ca="1" si="2">IF(RAND()&lt;0.6,0,1)</f>
        <v>0</v>
      </c>
    </row>
    <row r="132" spans="1:8">
      <c r="A132" s="110">
        <v>131</v>
      </c>
      <c r="B132" s="110" t="s">
        <v>722</v>
      </c>
      <c r="C132" s="111">
        <v>1</v>
      </c>
      <c r="D132" s="111">
        <v>1</v>
      </c>
      <c r="E132" s="111">
        <v>0</v>
      </c>
      <c r="F132" s="111">
        <v>0</v>
      </c>
      <c r="G132" s="111">
        <v>1</v>
      </c>
      <c r="H132" s="112">
        <f t="shared" ca="1" si="2"/>
        <v>1</v>
      </c>
    </row>
    <row r="133" spans="1:8">
      <c r="A133" s="110">
        <v>132</v>
      </c>
      <c r="B133" s="110" t="s">
        <v>724</v>
      </c>
      <c r="C133" s="111">
        <v>0</v>
      </c>
      <c r="D133" s="111">
        <v>1</v>
      </c>
      <c r="E133" s="111">
        <v>1</v>
      </c>
      <c r="F133" s="111">
        <v>0</v>
      </c>
      <c r="G133" s="111">
        <v>1</v>
      </c>
      <c r="H133" s="112">
        <f t="shared" ca="1" si="2"/>
        <v>0</v>
      </c>
    </row>
    <row r="134" spans="1:8">
      <c r="A134" s="110">
        <v>133</v>
      </c>
      <c r="B134" s="110" t="s">
        <v>727</v>
      </c>
      <c r="C134" s="111">
        <v>1</v>
      </c>
      <c r="D134" s="111">
        <v>1</v>
      </c>
      <c r="E134" s="111">
        <v>0</v>
      </c>
      <c r="F134" s="111">
        <v>0</v>
      </c>
      <c r="G134" s="111">
        <v>0</v>
      </c>
      <c r="H134" s="112">
        <f t="shared" ca="1" si="2"/>
        <v>0</v>
      </c>
    </row>
    <row r="135" spans="1:8">
      <c r="A135" s="110">
        <v>134</v>
      </c>
      <c r="B135" s="110" t="s">
        <v>729</v>
      </c>
      <c r="C135" s="111">
        <v>1</v>
      </c>
      <c r="D135" s="111">
        <v>1</v>
      </c>
      <c r="E135" s="111">
        <v>0</v>
      </c>
      <c r="F135" s="111">
        <v>0</v>
      </c>
      <c r="G135" s="111">
        <v>0</v>
      </c>
      <c r="H135" s="112">
        <f t="shared" ca="1" si="2"/>
        <v>1</v>
      </c>
    </row>
    <row r="136" spans="1:8">
      <c r="A136" s="110">
        <v>135</v>
      </c>
      <c r="B136" s="110" t="s">
        <v>731</v>
      </c>
      <c r="C136" s="111">
        <v>0</v>
      </c>
      <c r="D136" s="111">
        <v>1</v>
      </c>
      <c r="E136" s="111">
        <v>0</v>
      </c>
      <c r="F136" s="111">
        <v>0</v>
      </c>
      <c r="G136" s="111">
        <v>1</v>
      </c>
      <c r="H136" s="112">
        <f t="shared" ca="1" si="2"/>
        <v>1</v>
      </c>
    </row>
    <row r="137" spans="1:8">
      <c r="A137" s="110">
        <v>136</v>
      </c>
      <c r="B137" s="110" t="s">
        <v>736</v>
      </c>
      <c r="C137" s="111">
        <v>1</v>
      </c>
      <c r="D137" s="111">
        <v>1</v>
      </c>
      <c r="E137" s="111">
        <v>1</v>
      </c>
      <c r="F137" s="111">
        <v>0</v>
      </c>
      <c r="G137" s="111">
        <v>0</v>
      </c>
      <c r="H137" s="112">
        <f t="shared" ca="1" si="2"/>
        <v>0</v>
      </c>
    </row>
    <row r="138" spans="1:8">
      <c r="A138" s="110">
        <v>137</v>
      </c>
      <c r="B138" s="110" t="s">
        <v>739</v>
      </c>
      <c r="C138" s="111">
        <v>1</v>
      </c>
      <c r="D138" s="111">
        <v>1</v>
      </c>
      <c r="E138" s="111">
        <v>1</v>
      </c>
      <c r="F138" s="111">
        <v>1</v>
      </c>
      <c r="G138" s="111">
        <v>1</v>
      </c>
      <c r="H138" s="112">
        <f t="shared" ca="1" si="2"/>
        <v>0</v>
      </c>
    </row>
    <row r="139" spans="1:8">
      <c r="A139" s="110">
        <v>138</v>
      </c>
      <c r="B139" s="110" t="s">
        <v>742</v>
      </c>
      <c r="C139" s="111">
        <v>0</v>
      </c>
      <c r="D139" s="111">
        <v>1</v>
      </c>
      <c r="E139" s="111">
        <v>0</v>
      </c>
      <c r="F139" s="111">
        <v>0</v>
      </c>
      <c r="G139" s="111">
        <v>1</v>
      </c>
      <c r="H139" s="112">
        <f t="shared" ca="1" si="2"/>
        <v>0</v>
      </c>
    </row>
    <row r="140" spans="1:8">
      <c r="A140" s="110">
        <v>139</v>
      </c>
      <c r="B140" s="110" t="s">
        <v>745</v>
      </c>
      <c r="C140" s="111">
        <v>1</v>
      </c>
      <c r="D140" s="111">
        <v>0</v>
      </c>
      <c r="E140" s="111">
        <v>0</v>
      </c>
      <c r="F140" s="111">
        <v>0</v>
      </c>
      <c r="G140" s="111">
        <v>0</v>
      </c>
      <c r="H140" s="112">
        <f t="shared" ca="1" si="2"/>
        <v>0</v>
      </c>
    </row>
    <row r="141" spans="1:8">
      <c r="A141" s="110">
        <v>140</v>
      </c>
      <c r="B141" s="110" t="s">
        <v>748</v>
      </c>
      <c r="C141" s="111">
        <v>0</v>
      </c>
      <c r="D141" s="111">
        <v>1</v>
      </c>
      <c r="E141" s="111">
        <v>1</v>
      </c>
      <c r="F141" s="111">
        <v>0</v>
      </c>
      <c r="G141" s="111">
        <v>1</v>
      </c>
      <c r="H141" s="112">
        <f t="shared" ca="1" si="2"/>
        <v>0</v>
      </c>
    </row>
    <row r="142" spans="1:8">
      <c r="A142" s="110">
        <v>141</v>
      </c>
      <c r="B142" s="110" t="s">
        <v>751</v>
      </c>
      <c r="C142" s="111">
        <v>0</v>
      </c>
      <c r="D142" s="111">
        <v>1</v>
      </c>
      <c r="E142" s="111">
        <v>0</v>
      </c>
      <c r="F142" s="111">
        <v>1</v>
      </c>
      <c r="G142" s="111">
        <v>0</v>
      </c>
      <c r="H142" s="112">
        <f t="shared" ca="1" si="2"/>
        <v>0</v>
      </c>
    </row>
    <row r="143" spans="1:8">
      <c r="A143" s="110">
        <v>142</v>
      </c>
      <c r="B143" s="110" t="s">
        <v>754</v>
      </c>
      <c r="C143" s="111">
        <v>1</v>
      </c>
      <c r="D143" s="111">
        <v>1</v>
      </c>
      <c r="E143" s="111">
        <v>1</v>
      </c>
      <c r="F143" s="111">
        <v>1</v>
      </c>
      <c r="G143" s="111">
        <v>1</v>
      </c>
      <c r="H143" s="112">
        <f t="shared" ca="1" si="2"/>
        <v>1</v>
      </c>
    </row>
    <row r="144" spans="1:8">
      <c r="A144" s="110">
        <v>143</v>
      </c>
      <c r="B144" s="110" t="s">
        <v>757</v>
      </c>
      <c r="C144" s="111">
        <v>0</v>
      </c>
      <c r="D144" s="111">
        <v>0</v>
      </c>
      <c r="E144" s="111">
        <v>0</v>
      </c>
      <c r="F144" s="111">
        <v>0</v>
      </c>
      <c r="G144" s="111">
        <v>0</v>
      </c>
      <c r="H144" s="112">
        <f t="shared" ca="1" si="2"/>
        <v>1</v>
      </c>
    </row>
    <row r="145" spans="1:8">
      <c r="A145" s="110">
        <v>144</v>
      </c>
      <c r="B145" s="110" t="s">
        <v>759</v>
      </c>
      <c r="C145" s="111">
        <v>0</v>
      </c>
      <c r="D145" s="111">
        <v>1</v>
      </c>
      <c r="E145" s="111">
        <v>1</v>
      </c>
      <c r="F145" s="111">
        <v>1</v>
      </c>
      <c r="G145" s="111">
        <v>1</v>
      </c>
      <c r="H145" s="112">
        <f t="shared" ca="1" si="2"/>
        <v>0</v>
      </c>
    </row>
    <row r="146" spans="1:8">
      <c r="A146" s="110">
        <v>145</v>
      </c>
      <c r="B146" s="110" t="s">
        <v>762</v>
      </c>
      <c r="C146" s="111">
        <v>0</v>
      </c>
      <c r="D146" s="111">
        <v>0</v>
      </c>
      <c r="E146" s="111">
        <v>1</v>
      </c>
      <c r="F146" s="111">
        <v>1</v>
      </c>
      <c r="G146" s="111">
        <v>1</v>
      </c>
      <c r="H146" s="112">
        <f t="shared" ca="1" si="2"/>
        <v>1</v>
      </c>
    </row>
    <row r="147" spans="1:8">
      <c r="A147" s="110">
        <v>146</v>
      </c>
      <c r="B147" s="110" t="s">
        <v>765</v>
      </c>
      <c r="C147" s="111">
        <v>1</v>
      </c>
      <c r="D147" s="111">
        <v>1</v>
      </c>
      <c r="E147" s="111">
        <v>0</v>
      </c>
      <c r="F147" s="111">
        <v>0</v>
      </c>
      <c r="G147" s="111">
        <v>1</v>
      </c>
      <c r="H147" s="112">
        <f t="shared" ca="1" si="2"/>
        <v>0</v>
      </c>
    </row>
    <row r="148" spans="1:8">
      <c r="A148" s="110">
        <v>147</v>
      </c>
      <c r="B148" s="110" t="s">
        <v>768</v>
      </c>
      <c r="C148" s="111">
        <v>1</v>
      </c>
      <c r="D148" s="111">
        <v>1</v>
      </c>
      <c r="E148" s="111">
        <v>0</v>
      </c>
      <c r="F148" s="111">
        <v>1</v>
      </c>
      <c r="G148" s="111">
        <v>0</v>
      </c>
      <c r="H148" s="112">
        <f t="shared" ca="1" si="2"/>
        <v>0</v>
      </c>
    </row>
    <row r="149" spans="1:8">
      <c r="A149" s="110">
        <v>148</v>
      </c>
      <c r="B149" s="110" t="s">
        <v>773</v>
      </c>
      <c r="C149" s="111">
        <v>0</v>
      </c>
      <c r="D149" s="111">
        <v>0</v>
      </c>
      <c r="E149" s="111">
        <v>1</v>
      </c>
      <c r="F149" s="111">
        <v>0</v>
      </c>
      <c r="G149" s="111">
        <v>0</v>
      </c>
      <c r="H149" s="112">
        <f t="shared" ca="1" si="2"/>
        <v>1</v>
      </c>
    </row>
    <row r="150" spans="1:8">
      <c r="A150" s="110">
        <v>149</v>
      </c>
      <c r="B150" s="110" t="s">
        <v>776</v>
      </c>
      <c r="C150" s="111">
        <v>0</v>
      </c>
      <c r="D150" s="111">
        <v>0</v>
      </c>
      <c r="E150" s="111">
        <v>1</v>
      </c>
      <c r="F150" s="111">
        <v>0</v>
      </c>
      <c r="G150" s="111">
        <v>0</v>
      </c>
      <c r="H150" s="112">
        <f t="shared" ca="1" si="2"/>
        <v>1</v>
      </c>
    </row>
    <row r="151" spans="1:8">
      <c r="A151" s="110">
        <v>150</v>
      </c>
      <c r="B151" s="110" t="s">
        <v>779</v>
      </c>
      <c r="C151" s="111">
        <v>1</v>
      </c>
      <c r="D151" s="111">
        <v>1</v>
      </c>
      <c r="E151" s="111">
        <v>0</v>
      </c>
      <c r="F151" s="111">
        <v>0</v>
      </c>
      <c r="G151" s="111">
        <v>0</v>
      </c>
      <c r="H151" s="112">
        <f t="shared" ca="1" si="2"/>
        <v>0</v>
      </c>
    </row>
    <row r="152" spans="1:8">
      <c r="A152" s="110">
        <v>151</v>
      </c>
      <c r="B152" s="110" t="s">
        <v>782</v>
      </c>
      <c r="C152" s="111">
        <v>0</v>
      </c>
      <c r="D152" s="111">
        <v>1</v>
      </c>
      <c r="E152" s="111">
        <v>0</v>
      </c>
      <c r="F152" s="111">
        <v>0</v>
      </c>
      <c r="G152" s="111">
        <v>1</v>
      </c>
      <c r="H152" s="112">
        <f t="shared" ca="1" si="2"/>
        <v>1</v>
      </c>
    </row>
    <row r="153" spans="1:8">
      <c r="A153" s="110">
        <v>152</v>
      </c>
      <c r="B153" s="110" t="s">
        <v>786</v>
      </c>
      <c r="C153" s="111">
        <v>1</v>
      </c>
      <c r="D153" s="111">
        <v>1</v>
      </c>
      <c r="E153" s="111">
        <v>0</v>
      </c>
      <c r="F153" s="111">
        <v>0</v>
      </c>
      <c r="G153" s="111">
        <v>1</v>
      </c>
      <c r="H153" s="112">
        <f t="shared" ca="1" si="2"/>
        <v>1</v>
      </c>
    </row>
    <row r="154" spans="1:8">
      <c r="A154" s="110">
        <v>153</v>
      </c>
      <c r="B154" s="110" t="s">
        <v>791</v>
      </c>
      <c r="C154" s="111">
        <v>1</v>
      </c>
      <c r="D154" s="111">
        <v>1</v>
      </c>
      <c r="E154" s="111">
        <v>1</v>
      </c>
      <c r="F154" s="111">
        <v>0</v>
      </c>
      <c r="G154" s="111">
        <v>0</v>
      </c>
      <c r="H154" s="112">
        <f t="shared" ca="1" si="2"/>
        <v>1</v>
      </c>
    </row>
    <row r="155" spans="1:8">
      <c r="A155" s="110">
        <v>154</v>
      </c>
      <c r="B155" s="110" t="s">
        <v>796</v>
      </c>
      <c r="C155" s="111">
        <v>1</v>
      </c>
      <c r="D155" s="111">
        <v>0</v>
      </c>
      <c r="E155" s="111">
        <v>0</v>
      </c>
      <c r="F155" s="111">
        <v>0</v>
      </c>
      <c r="G155" s="111">
        <v>1</v>
      </c>
      <c r="H155" s="112">
        <f t="shared" ca="1" si="2"/>
        <v>1</v>
      </c>
    </row>
    <row r="156" spans="1:8">
      <c r="A156" s="110">
        <v>155</v>
      </c>
      <c r="B156" s="110" t="s">
        <v>799</v>
      </c>
      <c r="C156" s="111">
        <v>0</v>
      </c>
      <c r="D156" s="111">
        <v>0</v>
      </c>
      <c r="E156" s="111">
        <v>0</v>
      </c>
      <c r="F156" s="111">
        <v>0</v>
      </c>
      <c r="G156" s="111">
        <v>1</v>
      </c>
      <c r="H156" s="112">
        <f t="shared" ca="1" si="2"/>
        <v>0</v>
      </c>
    </row>
    <row r="157" spans="1:8">
      <c r="A157" s="110">
        <v>156</v>
      </c>
      <c r="B157" s="110" t="s">
        <v>802</v>
      </c>
      <c r="C157" s="111">
        <v>0</v>
      </c>
      <c r="D157" s="111">
        <v>1</v>
      </c>
      <c r="E157" s="111">
        <v>0</v>
      </c>
      <c r="F157" s="111">
        <v>1</v>
      </c>
      <c r="G157" s="111">
        <v>1</v>
      </c>
      <c r="H157" s="112">
        <f t="shared" ca="1" si="2"/>
        <v>0</v>
      </c>
    </row>
    <row r="158" spans="1:8">
      <c r="A158" s="110">
        <v>157</v>
      </c>
      <c r="B158" s="110" t="s">
        <v>805</v>
      </c>
      <c r="C158" s="111">
        <v>1</v>
      </c>
      <c r="D158" s="111">
        <v>0</v>
      </c>
      <c r="E158" s="111">
        <v>1</v>
      </c>
      <c r="F158" s="111">
        <v>1</v>
      </c>
      <c r="G158" s="111">
        <v>1</v>
      </c>
      <c r="H158" s="112">
        <f t="shared" ca="1" si="2"/>
        <v>0</v>
      </c>
    </row>
    <row r="159" spans="1:8">
      <c r="A159" s="110">
        <v>158</v>
      </c>
      <c r="B159" s="110" t="s">
        <v>808</v>
      </c>
      <c r="C159" s="111">
        <v>1</v>
      </c>
      <c r="D159" s="111">
        <v>1</v>
      </c>
      <c r="E159" s="111">
        <v>0</v>
      </c>
      <c r="F159" s="111">
        <v>0</v>
      </c>
      <c r="G159" s="111">
        <v>0</v>
      </c>
      <c r="H159" s="112">
        <f t="shared" ca="1" si="2"/>
        <v>0</v>
      </c>
    </row>
    <row r="160" spans="1:8">
      <c r="A160" s="110">
        <v>159</v>
      </c>
      <c r="B160" s="110" t="s">
        <v>811</v>
      </c>
      <c r="C160" s="111">
        <v>1</v>
      </c>
      <c r="D160" s="111">
        <v>0</v>
      </c>
      <c r="E160" s="111">
        <v>0</v>
      </c>
      <c r="F160" s="111">
        <v>0</v>
      </c>
      <c r="G160" s="111">
        <v>0</v>
      </c>
      <c r="H160" s="112">
        <f t="shared" ca="1" si="2"/>
        <v>0</v>
      </c>
    </row>
    <row r="161" spans="1:8">
      <c r="A161" s="110">
        <v>160</v>
      </c>
      <c r="B161" s="110" t="s">
        <v>813</v>
      </c>
      <c r="C161" s="111">
        <v>0</v>
      </c>
      <c r="D161" s="111">
        <v>1</v>
      </c>
      <c r="E161" s="111">
        <v>0</v>
      </c>
      <c r="F161" s="111">
        <v>1</v>
      </c>
      <c r="G161" s="111">
        <v>1</v>
      </c>
      <c r="H161" s="112">
        <f t="shared" ca="1" si="2"/>
        <v>0</v>
      </c>
    </row>
    <row r="162" spans="1:8">
      <c r="A162" s="110">
        <v>161</v>
      </c>
      <c r="B162" s="110" t="s">
        <v>816</v>
      </c>
      <c r="C162" s="111">
        <v>1</v>
      </c>
      <c r="D162" s="111">
        <v>1</v>
      </c>
      <c r="E162" s="111">
        <v>0</v>
      </c>
      <c r="F162" s="111">
        <v>1</v>
      </c>
      <c r="G162" s="111">
        <v>1</v>
      </c>
      <c r="H162" s="112">
        <f t="shared" ca="1" si="2"/>
        <v>1</v>
      </c>
    </row>
    <row r="163" spans="1:8">
      <c r="A163" s="110">
        <v>162</v>
      </c>
      <c r="B163" s="110" t="s">
        <v>820</v>
      </c>
      <c r="C163" s="111">
        <v>0</v>
      </c>
      <c r="D163" s="111">
        <v>1</v>
      </c>
      <c r="E163" s="111">
        <v>0</v>
      </c>
      <c r="F163" s="111">
        <v>0</v>
      </c>
      <c r="G163" s="111">
        <v>0</v>
      </c>
      <c r="H163" s="112">
        <f t="shared" ca="1" si="2"/>
        <v>1</v>
      </c>
    </row>
    <row r="164" spans="1:8">
      <c r="A164" s="110">
        <v>163</v>
      </c>
      <c r="B164" s="110" t="s">
        <v>823</v>
      </c>
      <c r="C164" s="111">
        <v>0</v>
      </c>
      <c r="D164" s="111">
        <v>0</v>
      </c>
      <c r="E164" s="111">
        <v>1</v>
      </c>
      <c r="F164" s="111">
        <v>0</v>
      </c>
      <c r="G164" s="111">
        <v>0</v>
      </c>
      <c r="H164" s="112">
        <f t="shared" ca="1" si="2"/>
        <v>0</v>
      </c>
    </row>
    <row r="165" spans="1:8">
      <c r="A165" s="110">
        <v>164</v>
      </c>
      <c r="B165" s="110" t="s">
        <v>826</v>
      </c>
      <c r="C165" s="111">
        <v>1</v>
      </c>
      <c r="D165" s="111">
        <v>0</v>
      </c>
      <c r="E165" s="111">
        <v>0</v>
      </c>
      <c r="F165" s="111">
        <v>0</v>
      </c>
      <c r="G165" s="111">
        <v>1</v>
      </c>
      <c r="H165" s="112">
        <f t="shared" ca="1" si="2"/>
        <v>1</v>
      </c>
    </row>
    <row r="166" spans="1:8">
      <c r="A166" s="110">
        <v>165</v>
      </c>
      <c r="B166" s="110" t="s">
        <v>828</v>
      </c>
      <c r="C166" s="111">
        <v>1</v>
      </c>
      <c r="D166" s="111">
        <v>1</v>
      </c>
      <c r="E166" s="111">
        <v>1</v>
      </c>
      <c r="F166" s="111">
        <v>1</v>
      </c>
      <c r="G166" s="111">
        <v>1</v>
      </c>
      <c r="H166" s="112">
        <f t="shared" ca="1" si="2"/>
        <v>1</v>
      </c>
    </row>
    <row r="167" spans="1:8">
      <c r="A167" s="110">
        <v>166</v>
      </c>
      <c r="B167" s="110" t="s">
        <v>831</v>
      </c>
      <c r="C167" s="111">
        <v>1</v>
      </c>
      <c r="D167" s="111">
        <v>0</v>
      </c>
      <c r="E167" s="111">
        <v>0</v>
      </c>
      <c r="F167" s="111">
        <v>1</v>
      </c>
      <c r="G167" s="111">
        <v>1</v>
      </c>
      <c r="H167" s="112">
        <f t="shared" ca="1" si="2"/>
        <v>0</v>
      </c>
    </row>
    <row r="168" spans="1:8">
      <c r="A168" s="110">
        <v>167</v>
      </c>
      <c r="B168" s="110" t="s">
        <v>834</v>
      </c>
      <c r="C168" s="111">
        <v>0</v>
      </c>
      <c r="D168" s="111">
        <v>0</v>
      </c>
      <c r="E168" s="111">
        <v>1</v>
      </c>
      <c r="F168" s="111">
        <v>1</v>
      </c>
      <c r="G168" s="111">
        <v>0</v>
      </c>
      <c r="H168" s="112">
        <f t="shared" ca="1" si="2"/>
        <v>0</v>
      </c>
    </row>
    <row r="169" spans="1:8">
      <c r="A169" s="110">
        <v>168</v>
      </c>
      <c r="B169" s="110" t="s">
        <v>837</v>
      </c>
      <c r="C169" s="111">
        <v>0</v>
      </c>
      <c r="D169" s="111">
        <v>1</v>
      </c>
      <c r="E169" s="111">
        <v>1</v>
      </c>
      <c r="F169" s="111">
        <v>1</v>
      </c>
      <c r="G169" s="111">
        <v>0</v>
      </c>
      <c r="H169" s="112">
        <f t="shared" ca="1" si="2"/>
        <v>0</v>
      </c>
    </row>
    <row r="170" spans="1:8">
      <c r="A170" s="110">
        <v>169</v>
      </c>
      <c r="B170" s="110" t="s">
        <v>840</v>
      </c>
      <c r="C170" s="111">
        <v>0</v>
      </c>
      <c r="D170" s="111">
        <v>1</v>
      </c>
      <c r="E170" s="111">
        <v>1</v>
      </c>
      <c r="F170" s="111">
        <v>0</v>
      </c>
      <c r="G170" s="111">
        <v>1</v>
      </c>
      <c r="H170" s="112">
        <f t="shared" ca="1" si="2"/>
        <v>0</v>
      </c>
    </row>
    <row r="171" spans="1:8">
      <c r="A171" s="110">
        <v>170</v>
      </c>
      <c r="B171" s="110" t="s">
        <v>843</v>
      </c>
      <c r="C171" s="111">
        <v>1</v>
      </c>
      <c r="D171" s="111">
        <v>0</v>
      </c>
      <c r="E171" s="111">
        <v>1</v>
      </c>
      <c r="F171" s="111">
        <v>1</v>
      </c>
      <c r="G171" s="111">
        <v>0</v>
      </c>
      <c r="H171" s="112">
        <f t="shared" ca="1" si="2"/>
        <v>0</v>
      </c>
    </row>
    <row r="172" spans="1:8">
      <c r="A172" s="110">
        <v>171</v>
      </c>
      <c r="B172" s="110" t="s">
        <v>846</v>
      </c>
      <c r="C172" s="111">
        <v>1</v>
      </c>
      <c r="D172" s="111">
        <v>0</v>
      </c>
      <c r="E172" s="111">
        <v>0</v>
      </c>
      <c r="F172" s="111">
        <v>0</v>
      </c>
      <c r="G172" s="111">
        <v>0</v>
      </c>
      <c r="H172" s="112">
        <f t="shared" ca="1" si="2"/>
        <v>1</v>
      </c>
    </row>
    <row r="173" spans="1:8">
      <c r="A173" s="110">
        <v>172</v>
      </c>
      <c r="B173" s="110" t="s">
        <v>849</v>
      </c>
      <c r="C173" s="111">
        <v>0</v>
      </c>
      <c r="D173" s="111">
        <v>0</v>
      </c>
      <c r="E173" s="111">
        <v>1</v>
      </c>
      <c r="F173" s="111">
        <v>0</v>
      </c>
      <c r="G173" s="111">
        <v>1</v>
      </c>
      <c r="H173" s="112">
        <f t="shared" ca="1" si="2"/>
        <v>0</v>
      </c>
    </row>
    <row r="174" spans="1:8">
      <c r="A174" s="110">
        <v>173</v>
      </c>
      <c r="B174" s="110" t="s">
        <v>851</v>
      </c>
      <c r="C174" s="111">
        <v>1</v>
      </c>
      <c r="D174" s="111">
        <v>0</v>
      </c>
      <c r="E174" s="111">
        <v>0</v>
      </c>
      <c r="F174" s="111">
        <v>1</v>
      </c>
      <c r="G174" s="111">
        <v>1</v>
      </c>
      <c r="H174" s="112">
        <f t="shared" ca="1" si="2"/>
        <v>0</v>
      </c>
    </row>
    <row r="175" spans="1:8">
      <c r="A175" s="110">
        <v>174</v>
      </c>
      <c r="B175" s="110" t="s">
        <v>854</v>
      </c>
      <c r="C175" s="111">
        <v>1</v>
      </c>
      <c r="D175" s="111">
        <v>1</v>
      </c>
      <c r="E175" s="111">
        <v>1</v>
      </c>
      <c r="F175" s="111">
        <v>1</v>
      </c>
      <c r="G175" s="111">
        <v>1</v>
      </c>
      <c r="H175" s="112">
        <f t="shared" ca="1" si="2"/>
        <v>0</v>
      </c>
    </row>
    <row r="176" spans="1:8">
      <c r="A176" s="110">
        <v>175</v>
      </c>
      <c r="B176" s="110" t="s">
        <v>856</v>
      </c>
      <c r="C176" s="111">
        <v>0</v>
      </c>
      <c r="D176" s="111">
        <v>1</v>
      </c>
      <c r="E176" s="111">
        <v>1</v>
      </c>
      <c r="F176" s="111">
        <v>0</v>
      </c>
      <c r="G176" s="111">
        <v>0</v>
      </c>
      <c r="H176" s="112">
        <f t="shared" ca="1" si="2"/>
        <v>1</v>
      </c>
    </row>
    <row r="177" spans="1:8">
      <c r="A177" s="110">
        <v>176</v>
      </c>
      <c r="B177" s="110" t="s">
        <v>859</v>
      </c>
      <c r="C177" s="111">
        <v>1</v>
      </c>
      <c r="D177" s="111">
        <v>0</v>
      </c>
      <c r="E177" s="111">
        <v>0</v>
      </c>
      <c r="F177" s="111">
        <v>1</v>
      </c>
      <c r="G177" s="111">
        <v>0</v>
      </c>
      <c r="H177" s="112">
        <f t="shared" ca="1" si="2"/>
        <v>1</v>
      </c>
    </row>
    <row r="178" spans="1:8">
      <c r="A178" s="110">
        <v>177</v>
      </c>
      <c r="B178" s="110" t="s">
        <v>862</v>
      </c>
      <c r="C178" s="111">
        <v>0</v>
      </c>
      <c r="D178" s="111">
        <v>1</v>
      </c>
      <c r="E178" s="111">
        <v>1</v>
      </c>
      <c r="F178" s="111">
        <v>0</v>
      </c>
      <c r="G178" s="111">
        <v>1</v>
      </c>
      <c r="H178" s="112">
        <f t="shared" ca="1" si="2"/>
        <v>0</v>
      </c>
    </row>
    <row r="179" spans="1:8">
      <c r="A179" s="110">
        <v>178</v>
      </c>
      <c r="B179" s="110" t="s">
        <v>868</v>
      </c>
      <c r="C179" s="111">
        <v>0</v>
      </c>
      <c r="D179" s="111">
        <v>0</v>
      </c>
      <c r="E179" s="111">
        <v>0</v>
      </c>
      <c r="F179" s="111">
        <v>1</v>
      </c>
      <c r="G179" s="111">
        <v>0</v>
      </c>
      <c r="H179" s="112">
        <f t="shared" ca="1" si="2"/>
        <v>0</v>
      </c>
    </row>
    <row r="180" spans="1:8">
      <c r="A180" s="110">
        <v>179</v>
      </c>
      <c r="B180" s="110" t="s">
        <v>871</v>
      </c>
      <c r="C180" s="111">
        <v>0</v>
      </c>
      <c r="D180" s="111">
        <v>1</v>
      </c>
      <c r="E180" s="111">
        <v>1</v>
      </c>
      <c r="F180" s="111">
        <v>1</v>
      </c>
      <c r="G180" s="111">
        <v>1</v>
      </c>
      <c r="H180" s="112">
        <f t="shared" ca="1" si="2"/>
        <v>1</v>
      </c>
    </row>
    <row r="181" spans="1:8">
      <c r="A181" s="110">
        <v>180</v>
      </c>
      <c r="B181" s="110" t="s">
        <v>874</v>
      </c>
      <c r="C181" s="111">
        <v>1</v>
      </c>
      <c r="D181" s="111">
        <v>0</v>
      </c>
      <c r="E181" s="111">
        <v>1</v>
      </c>
      <c r="F181" s="111">
        <v>0</v>
      </c>
      <c r="G181" s="111">
        <v>1</v>
      </c>
      <c r="H181" s="112">
        <f t="shared" ca="1" si="2"/>
        <v>0</v>
      </c>
    </row>
    <row r="182" spans="1:8">
      <c r="A182" s="110">
        <v>181</v>
      </c>
      <c r="B182" s="110" t="s">
        <v>877</v>
      </c>
      <c r="C182" s="111">
        <v>1</v>
      </c>
      <c r="D182" s="111">
        <v>0</v>
      </c>
      <c r="E182" s="111">
        <v>1</v>
      </c>
      <c r="F182" s="111">
        <v>0</v>
      </c>
      <c r="G182" s="111">
        <v>1</v>
      </c>
      <c r="H182" s="112">
        <f t="shared" ca="1" si="2"/>
        <v>1</v>
      </c>
    </row>
    <row r="183" spans="1:8">
      <c r="A183" s="110">
        <v>182</v>
      </c>
      <c r="B183" s="110" t="s">
        <v>880</v>
      </c>
      <c r="C183" s="111">
        <v>0</v>
      </c>
      <c r="D183" s="111">
        <v>1</v>
      </c>
      <c r="E183" s="111">
        <v>1</v>
      </c>
      <c r="F183" s="111">
        <v>0</v>
      </c>
      <c r="G183" s="111">
        <v>0</v>
      </c>
      <c r="H183" s="112">
        <f t="shared" ca="1" si="2"/>
        <v>0</v>
      </c>
    </row>
    <row r="184" spans="1:8">
      <c r="A184" s="110">
        <v>183</v>
      </c>
      <c r="B184" s="110" t="s">
        <v>882</v>
      </c>
      <c r="C184" s="111">
        <v>1</v>
      </c>
      <c r="D184" s="111">
        <v>0</v>
      </c>
      <c r="E184" s="111">
        <v>0</v>
      </c>
      <c r="F184" s="111">
        <v>1</v>
      </c>
      <c r="G184" s="111">
        <v>0</v>
      </c>
      <c r="H184" s="112">
        <f t="shared" ca="1" si="2"/>
        <v>1</v>
      </c>
    </row>
    <row r="185" spans="1:8">
      <c r="A185" s="110">
        <v>184</v>
      </c>
      <c r="B185" s="110" t="s">
        <v>885</v>
      </c>
      <c r="C185" s="111">
        <v>1</v>
      </c>
      <c r="D185" s="111">
        <v>1</v>
      </c>
      <c r="E185" s="111">
        <v>1</v>
      </c>
      <c r="F185" s="111">
        <v>0</v>
      </c>
      <c r="G185" s="111">
        <v>0</v>
      </c>
      <c r="H185" s="112">
        <f t="shared" ca="1" si="2"/>
        <v>0</v>
      </c>
    </row>
    <row r="186" spans="1:8">
      <c r="A186" s="110">
        <v>185</v>
      </c>
      <c r="B186" s="110" t="s">
        <v>888</v>
      </c>
      <c r="C186" s="111">
        <v>1</v>
      </c>
      <c r="D186" s="111">
        <v>0</v>
      </c>
      <c r="E186" s="111">
        <v>0</v>
      </c>
      <c r="F186" s="111">
        <v>0</v>
      </c>
      <c r="G186" s="111">
        <v>0</v>
      </c>
      <c r="H186" s="112">
        <f t="shared" ca="1" si="2"/>
        <v>0</v>
      </c>
    </row>
    <row r="187" spans="1:8">
      <c r="A187" s="110">
        <v>186</v>
      </c>
      <c r="B187" s="110" t="s">
        <v>893</v>
      </c>
      <c r="C187" s="111">
        <v>0</v>
      </c>
      <c r="D187" s="111">
        <v>0</v>
      </c>
      <c r="E187" s="111">
        <v>1</v>
      </c>
      <c r="F187" s="111">
        <v>1</v>
      </c>
      <c r="G187" s="111">
        <v>0</v>
      </c>
      <c r="H187" s="112">
        <f t="shared" ca="1" si="2"/>
        <v>0</v>
      </c>
    </row>
    <row r="188" spans="1:8">
      <c r="A188" s="110">
        <v>187</v>
      </c>
      <c r="B188" s="110" t="s">
        <v>897</v>
      </c>
      <c r="C188" s="111">
        <v>0</v>
      </c>
      <c r="D188" s="111">
        <v>0</v>
      </c>
      <c r="E188" s="111">
        <v>1</v>
      </c>
      <c r="F188" s="111">
        <v>1</v>
      </c>
      <c r="G188" s="111">
        <v>1</v>
      </c>
      <c r="H188" s="112">
        <f t="shared" ca="1" si="2"/>
        <v>0</v>
      </c>
    </row>
    <row r="189" spans="1:8">
      <c r="A189" s="110">
        <v>188</v>
      </c>
      <c r="B189" s="110" t="s">
        <v>900</v>
      </c>
      <c r="C189" s="111">
        <v>0</v>
      </c>
      <c r="D189" s="111">
        <v>0</v>
      </c>
      <c r="E189" s="111">
        <v>0</v>
      </c>
      <c r="F189" s="111">
        <v>0</v>
      </c>
      <c r="G189" s="111">
        <v>0</v>
      </c>
      <c r="H189" s="112">
        <f t="shared" ca="1" si="2"/>
        <v>1</v>
      </c>
    </row>
    <row r="190" spans="1:8">
      <c r="A190" s="110">
        <v>189</v>
      </c>
      <c r="B190" s="110" t="s">
        <v>903</v>
      </c>
      <c r="C190" s="111">
        <v>0</v>
      </c>
      <c r="D190" s="111">
        <v>1</v>
      </c>
      <c r="E190" s="111">
        <v>1</v>
      </c>
      <c r="F190" s="111">
        <v>0</v>
      </c>
      <c r="G190" s="111">
        <v>0</v>
      </c>
      <c r="H190" s="112">
        <f t="shared" ca="1" si="2"/>
        <v>1</v>
      </c>
    </row>
    <row r="191" spans="1:8">
      <c r="A191" s="110">
        <v>190</v>
      </c>
      <c r="B191" s="110" t="s">
        <v>905</v>
      </c>
      <c r="C191" s="111">
        <v>0</v>
      </c>
      <c r="D191" s="111">
        <v>0</v>
      </c>
      <c r="E191" s="111">
        <v>0</v>
      </c>
      <c r="F191" s="111">
        <v>1</v>
      </c>
      <c r="G191" s="111">
        <v>0</v>
      </c>
      <c r="H191" s="112">
        <f t="shared" ca="1" si="2"/>
        <v>0</v>
      </c>
    </row>
    <row r="192" spans="1:8">
      <c r="A192" s="110">
        <v>191</v>
      </c>
      <c r="B192" s="110" t="s">
        <v>907</v>
      </c>
      <c r="C192" s="111">
        <v>0</v>
      </c>
      <c r="D192" s="111">
        <v>1</v>
      </c>
      <c r="E192" s="111">
        <v>0</v>
      </c>
      <c r="F192" s="111">
        <v>1</v>
      </c>
      <c r="G192" s="111">
        <v>1</v>
      </c>
      <c r="H192" s="112">
        <f t="shared" ca="1" si="2"/>
        <v>0</v>
      </c>
    </row>
    <row r="193" spans="1:8">
      <c r="A193" s="110">
        <v>192</v>
      </c>
      <c r="B193" s="110" t="s">
        <v>909</v>
      </c>
      <c r="C193" s="111">
        <v>0</v>
      </c>
      <c r="D193" s="111">
        <v>1</v>
      </c>
      <c r="E193" s="111">
        <v>0</v>
      </c>
      <c r="F193" s="111">
        <v>1</v>
      </c>
      <c r="G193" s="111">
        <v>0</v>
      </c>
      <c r="H193" s="112">
        <f t="shared" ca="1" si="2"/>
        <v>0</v>
      </c>
    </row>
    <row r="194" spans="1:8">
      <c r="A194" s="110">
        <v>193</v>
      </c>
      <c r="B194" s="110" t="s">
        <v>912</v>
      </c>
      <c r="C194" s="111">
        <v>0</v>
      </c>
      <c r="D194" s="111">
        <v>1</v>
      </c>
      <c r="E194" s="111">
        <v>0</v>
      </c>
      <c r="F194" s="111">
        <v>0</v>
      </c>
      <c r="G194" s="111">
        <v>1</v>
      </c>
      <c r="H194" s="112">
        <f t="shared" ca="1" si="2"/>
        <v>0</v>
      </c>
    </row>
    <row r="195" spans="1:8">
      <c r="A195" s="110">
        <v>194</v>
      </c>
      <c r="B195" s="110" t="s">
        <v>915</v>
      </c>
      <c r="C195" s="111">
        <v>0</v>
      </c>
      <c r="D195" s="111">
        <v>1</v>
      </c>
      <c r="E195" s="111">
        <v>0</v>
      </c>
      <c r="F195" s="111">
        <v>1</v>
      </c>
      <c r="G195" s="111">
        <v>0</v>
      </c>
      <c r="H195" s="112">
        <f t="shared" ref="H195:H258" ca="1" si="3">IF(RAND()&lt;0.6,0,1)</f>
        <v>0</v>
      </c>
    </row>
    <row r="196" spans="1:8">
      <c r="A196" s="110">
        <v>195</v>
      </c>
      <c r="B196" s="110" t="s">
        <v>918</v>
      </c>
      <c r="C196" s="111">
        <v>1</v>
      </c>
      <c r="D196" s="111">
        <v>0</v>
      </c>
      <c r="E196" s="111">
        <v>1</v>
      </c>
      <c r="F196" s="111">
        <v>0</v>
      </c>
      <c r="G196" s="111">
        <v>0</v>
      </c>
      <c r="H196" s="112">
        <f t="shared" ca="1" si="3"/>
        <v>0</v>
      </c>
    </row>
    <row r="197" spans="1:8">
      <c r="A197" s="110">
        <v>196</v>
      </c>
      <c r="B197" s="110" t="s">
        <v>921</v>
      </c>
      <c r="C197" s="111">
        <v>0</v>
      </c>
      <c r="D197" s="111">
        <v>1</v>
      </c>
      <c r="E197" s="111">
        <v>0</v>
      </c>
      <c r="F197" s="111">
        <v>0</v>
      </c>
      <c r="G197" s="111">
        <v>1</v>
      </c>
      <c r="H197" s="112">
        <f t="shared" ca="1" si="3"/>
        <v>1</v>
      </c>
    </row>
    <row r="198" spans="1:8">
      <c r="A198" s="110">
        <v>197</v>
      </c>
      <c r="B198" s="110" t="s">
        <v>926</v>
      </c>
      <c r="C198" s="111">
        <v>1</v>
      </c>
      <c r="D198" s="111">
        <v>1</v>
      </c>
      <c r="E198" s="111">
        <v>0</v>
      </c>
      <c r="F198" s="111">
        <v>0</v>
      </c>
      <c r="G198" s="111">
        <v>1</v>
      </c>
      <c r="H198" s="112">
        <f t="shared" ca="1" si="3"/>
        <v>0</v>
      </c>
    </row>
    <row r="199" spans="1:8">
      <c r="A199" s="110">
        <v>198</v>
      </c>
      <c r="B199" s="110" t="s">
        <v>929</v>
      </c>
      <c r="C199" s="111">
        <v>0</v>
      </c>
      <c r="D199" s="111">
        <v>0</v>
      </c>
      <c r="E199" s="111">
        <v>0</v>
      </c>
      <c r="F199" s="111">
        <v>1</v>
      </c>
      <c r="G199" s="111">
        <v>0</v>
      </c>
      <c r="H199" s="112">
        <f t="shared" ca="1" si="3"/>
        <v>0</v>
      </c>
    </row>
    <row r="200" spans="1:8">
      <c r="A200" s="110">
        <v>199</v>
      </c>
      <c r="B200" s="110" t="s">
        <v>932</v>
      </c>
      <c r="C200" s="111">
        <v>0</v>
      </c>
      <c r="D200" s="111">
        <v>1</v>
      </c>
      <c r="E200" s="111">
        <v>0</v>
      </c>
      <c r="F200" s="111">
        <v>1</v>
      </c>
      <c r="G200" s="111">
        <v>1</v>
      </c>
      <c r="H200" s="112">
        <f t="shared" ca="1" si="3"/>
        <v>0</v>
      </c>
    </row>
    <row r="201" spans="1:8">
      <c r="A201" s="110">
        <v>200</v>
      </c>
      <c r="B201" s="110" t="s">
        <v>935</v>
      </c>
      <c r="C201" s="111">
        <v>0</v>
      </c>
      <c r="D201" s="111">
        <v>0</v>
      </c>
      <c r="E201" s="111">
        <v>1</v>
      </c>
      <c r="F201" s="111">
        <v>0</v>
      </c>
      <c r="G201" s="111">
        <v>0</v>
      </c>
      <c r="H201" s="112">
        <f t="shared" ca="1" si="3"/>
        <v>0</v>
      </c>
    </row>
    <row r="202" spans="1:8">
      <c r="A202" s="110">
        <v>201</v>
      </c>
      <c r="B202" s="110" t="s">
        <v>940</v>
      </c>
      <c r="C202" s="111">
        <v>1</v>
      </c>
      <c r="D202" s="111">
        <v>1</v>
      </c>
      <c r="E202" s="111">
        <v>0</v>
      </c>
      <c r="F202" s="111">
        <v>1</v>
      </c>
      <c r="G202" s="111">
        <v>0</v>
      </c>
      <c r="H202" s="112">
        <f t="shared" ca="1" si="3"/>
        <v>0</v>
      </c>
    </row>
    <row r="203" spans="1:8">
      <c r="A203" s="110">
        <v>202</v>
      </c>
      <c r="B203" s="110" t="s">
        <v>942</v>
      </c>
      <c r="C203" s="111">
        <v>0</v>
      </c>
      <c r="D203" s="111">
        <v>0</v>
      </c>
      <c r="E203" s="111">
        <v>1</v>
      </c>
      <c r="F203" s="111">
        <v>1</v>
      </c>
      <c r="G203" s="111">
        <v>1</v>
      </c>
      <c r="H203" s="112">
        <f t="shared" ca="1" si="3"/>
        <v>0</v>
      </c>
    </row>
    <row r="204" spans="1:8">
      <c r="A204" s="110">
        <v>203</v>
      </c>
      <c r="B204" s="110" t="s">
        <v>945</v>
      </c>
      <c r="C204" s="111">
        <v>1</v>
      </c>
      <c r="D204" s="111">
        <v>0</v>
      </c>
      <c r="E204" s="111">
        <v>1</v>
      </c>
      <c r="F204" s="111">
        <v>0</v>
      </c>
      <c r="G204" s="111">
        <v>1</v>
      </c>
      <c r="H204" s="112">
        <f t="shared" ca="1" si="3"/>
        <v>1</v>
      </c>
    </row>
    <row r="205" spans="1:8">
      <c r="A205" s="110">
        <v>204</v>
      </c>
      <c r="B205" s="110" t="s">
        <v>948</v>
      </c>
      <c r="C205" s="111">
        <v>1</v>
      </c>
      <c r="D205" s="111">
        <v>1</v>
      </c>
      <c r="E205" s="111">
        <v>0</v>
      </c>
      <c r="F205" s="111">
        <v>1</v>
      </c>
      <c r="G205" s="111">
        <v>0</v>
      </c>
      <c r="H205" s="112">
        <f t="shared" ca="1" si="3"/>
        <v>0</v>
      </c>
    </row>
    <row r="206" spans="1:8">
      <c r="A206" s="110">
        <v>205</v>
      </c>
      <c r="B206" s="110" t="s">
        <v>951</v>
      </c>
      <c r="C206" s="111">
        <v>0</v>
      </c>
      <c r="D206" s="111">
        <v>0</v>
      </c>
      <c r="E206" s="111">
        <v>1</v>
      </c>
      <c r="F206" s="111">
        <v>0</v>
      </c>
      <c r="G206" s="111">
        <v>0</v>
      </c>
      <c r="H206" s="112">
        <f t="shared" ca="1" si="3"/>
        <v>0</v>
      </c>
    </row>
    <row r="207" spans="1:8">
      <c r="A207" s="110">
        <v>206</v>
      </c>
      <c r="B207" s="110" t="s">
        <v>953</v>
      </c>
      <c r="C207" s="111">
        <v>1</v>
      </c>
      <c r="D207" s="111">
        <v>1</v>
      </c>
      <c r="E207" s="111">
        <v>1</v>
      </c>
      <c r="F207" s="111">
        <v>1</v>
      </c>
      <c r="G207" s="111">
        <v>1</v>
      </c>
      <c r="H207" s="112">
        <f t="shared" ca="1" si="3"/>
        <v>0</v>
      </c>
    </row>
    <row r="208" spans="1:8">
      <c r="A208" s="110">
        <v>207</v>
      </c>
      <c r="B208" s="110" t="s">
        <v>956</v>
      </c>
      <c r="C208" s="111">
        <v>1</v>
      </c>
      <c r="D208" s="111">
        <v>1</v>
      </c>
      <c r="E208" s="111">
        <v>0</v>
      </c>
      <c r="F208" s="111">
        <v>0</v>
      </c>
      <c r="G208" s="111">
        <v>1</v>
      </c>
      <c r="H208" s="112">
        <f t="shared" ca="1" si="3"/>
        <v>0</v>
      </c>
    </row>
    <row r="209" spans="1:8">
      <c r="A209" s="110">
        <v>208</v>
      </c>
      <c r="B209" s="110" t="s">
        <v>959</v>
      </c>
      <c r="C209" s="111">
        <v>0</v>
      </c>
      <c r="D209" s="111">
        <v>0</v>
      </c>
      <c r="E209" s="111">
        <v>1</v>
      </c>
      <c r="F209" s="111">
        <v>0</v>
      </c>
      <c r="G209" s="111">
        <v>1</v>
      </c>
      <c r="H209" s="112">
        <f t="shared" ca="1" si="3"/>
        <v>0</v>
      </c>
    </row>
    <row r="210" spans="1:8">
      <c r="A210" s="110">
        <v>209</v>
      </c>
      <c r="B210" s="110" t="s">
        <v>963</v>
      </c>
      <c r="C210" s="111">
        <v>1</v>
      </c>
      <c r="D210" s="111">
        <v>0</v>
      </c>
      <c r="E210" s="111">
        <v>0</v>
      </c>
      <c r="F210" s="111">
        <v>0</v>
      </c>
      <c r="G210" s="111">
        <v>0</v>
      </c>
      <c r="H210" s="112">
        <f t="shared" ca="1" si="3"/>
        <v>0</v>
      </c>
    </row>
    <row r="211" spans="1:8">
      <c r="A211" s="110">
        <v>210</v>
      </c>
      <c r="B211" s="110" t="s">
        <v>967</v>
      </c>
      <c r="C211" s="111">
        <v>0</v>
      </c>
      <c r="D211" s="111">
        <v>1</v>
      </c>
      <c r="E211" s="111">
        <v>1</v>
      </c>
      <c r="F211" s="111">
        <v>0</v>
      </c>
      <c r="G211" s="111">
        <v>0</v>
      </c>
      <c r="H211" s="112">
        <f t="shared" ca="1" si="3"/>
        <v>1</v>
      </c>
    </row>
    <row r="212" spans="1:8">
      <c r="A212" s="110">
        <v>211</v>
      </c>
      <c r="B212" s="110" t="s">
        <v>970</v>
      </c>
      <c r="C212" s="111">
        <v>1</v>
      </c>
      <c r="D212" s="111">
        <v>1</v>
      </c>
      <c r="E212" s="111">
        <v>0</v>
      </c>
      <c r="F212" s="111">
        <v>1</v>
      </c>
      <c r="G212" s="111">
        <v>1</v>
      </c>
      <c r="H212" s="112">
        <f t="shared" ca="1" si="3"/>
        <v>0</v>
      </c>
    </row>
    <row r="213" spans="1:8">
      <c r="A213" s="110">
        <v>212</v>
      </c>
      <c r="B213" s="110" t="s">
        <v>973</v>
      </c>
      <c r="C213" s="111">
        <v>0</v>
      </c>
      <c r="D213" s="111">
        <v>0</v>
      </c>
      <c r="E213" s="111">
        <v>0</v>
      </c>
      <c r="F213" s="111">
        <v>1</v>
      </c>
      <c r="G213" s="111">
        <v>1</v>
      </c>
      <c r="H213" s="112">
        <f t="shared" ca="1" si="3"/>
        <v>0</v>
      </c>
    </row>
    <row r="214" spans="1:8">
      <c r="A214" s="110">
        <v>213</v>
      </c>
      <c r="B214" s="110" t="s">
        <v>977</v>
      </c>
      <c r="C214" s="111">
        <v>0</v>
      </c>
      <c r="D214" s="111">
        <v>1</v>
      </c>
      <c r="E214" s="111">
        <v>0</v>
      </c>
      <c r="F214" s="111">
        <v>0</v>
      </c>
      <c r="G214" s="111">
        <v>1</v>
      </c>
      <c r="H214" s="112">
        <f t="shared" ca="1" si="3"/>
        <v>1</v>
      </c>
    </row>
    <row r="215" spans="1:8">
      <c r="A215" s="110">
        <v>214</v>
      </c>
      <c r="B215" s="110" t="s">
        <v>980</v>
      </c>
      <c r="C215" s="111">
        <v>0</v>
      </c>
      <c r="D215" s="111">
        <v>1</v>
      </c>
      <c r="E215" s="111">
        <v>1</v>
      </c>
      <c r="F215" s="111">
        <v>0</v>
      </c>
      <c r="G215" s="111">
        <v>1</v>
      </c>
      <c r="H215" s="112">
        <f t="shared" ca="1" si="3"/>
        <v>0</v>
      </c>
    </row>
    <row r="216" spans="1:8">
      <c r="A216" s="110">
        <v>215</v>
      </c>
      <c r="B216" s="110" t="s">
        <v>982</v>
      </c>
      <c r="C216" s="111">
        <v>0</v>
      </c>
      <c r="D216" s="111">
        <v>0</v>
      </c>
      <c r="E216" s="111">
        <v>0</v>
      </c>
      <c r="F216" s="111">
        <v>0</v>
      </c>
      <c r="G216" s="111">
        <v>1</v>
      </c>
      <c r="H216" s="112">
        <f t="shared" ca="1" si="3"/>
        <v>1</v>
      </c>
    </row>
    <row r="217" spans="1:8">
      <c r="A217" s="110">
        <v>216</v>
      </c>
      <c r="B217" s="110" t="s">
        <v>984</v>
      </c>
      <c r="C217" s="111">
        <v>1</v>
      </c>
      <c r="D217" s="111">
        <v>1</v>
      </c>
      <c r="E217" s="111">
        <v>1</v>
      </c>
      <c r="F217" s="111">
        <v>0</v>
      </c>
      <c r="G217" s="111">
        <v>1</v>
      </c>
      <c r="H217" s="112">
        <f t="shared" ca="1" si="3"/>
        <v>1</v>
      </c>
    </row>
    <row r="218" spans="1:8">
      <c r="A218" s="110">
        <v>217</v>
      </c>
      <c r="B218" s="110" t="s">
        <v>986</v>
      </c>
      <c r="C218" s="111">
        <v>1</v>
      </c>
      <c r="D218" s="111">
        <v>0</v>
      </c>
      <c r="E218" s="111">
        <v>0</v>
      </c>
      <c r="F218" s="111">
        <v>0</v>
      </c>
      <c r="G218" s="111">
        <v>1</v>
      </c>
      <c r="H218" s="112">
        <f t="shared" ca="1" si="3"/>
        <v>0</v>
      </c>
    </row>
    <row r="219" spans="1:8">
      <c r="A219" s="110">
        <v>218</v>
      </c>
      <c r="B219" s="110" t="s">
        <v>989</v>
      </c>
      <c r="C219" s="111">
        <v>0</v>
      </c>
      <c r="D219" s="111">
        <v>1</v>
      </c>
      <c r="E219" s="111">
        <v>1</v>
      </c>
      <c r="F219" s="111">
        <v>1</v>
      </c>
      <c r="G219" s="111">
        <v>0</v>
      </c>
      <c r="H219" s="112">
        <f t="shared" ca="1" si="3"/>
        <v>1</v>
      </c>
    </row>
    <row r="220" spans="1:8">
      <c r="A220" s="110">
        <v>219</v>
      </c>
      <c r="B220" s="110" t="s">
        <v>992</v>
      </c>
      <c r="C220" s="111">
        <v>1</v>
      </c>
      <c r="D220" s="111">
        <v>1</v>
      </c>
      <c r="E220" s="111">
        <v>0</v>
      </c>
      <c r="F220" s="111">
        <v>0</v>
      </c>
      <c r="G220" s="111">
        <v>0</v>
      </c>
      <c r="H220" s="112">
        <f t="shared" ca="1" si="3"/>
        <v>0</v>
      </c>
    </row>
    <row r="221" spans="1:8">
      <c r="A221" s="110">
        <v>220</v>
      </c>
      <c r="B221" s="110" t="s">
        <v>994</v>
      </c>
      <c r="C221" s="111">
        <v>0</v>
      </c>
      <c r="D221" s="111">
        <v>0</v>
      </c>
      <c r="E221" s="111">
        <v>0</v>
      </c>
      <c r="F221" s="111">
        <v>1</v>
      </c>
      <c r="G221" s="111">
        <v>0</v>
      </c>
      <c r="H221" s="112">
        <f t="shared" ca="1" si="3"/>
        <v>1</v>
      </c>
    </row>
    <row r="222" spans="1:8">
      <c r="A222" s="110">
        <v>221</v>
      </c>
      <c r="B222" s="110" t="s">
        <v>996</v>
      </c>
      <c r="C222" s="111">
        <v>1</v>
      </c>
      <c r="D222" s="111">
        <v>0</v>
      </c>
      <c r="E222" s="111">
        <v>0</v>
      </c>
      <c r="F222" s="111">
        <v>1</v>
      </c>
      <c r="G222" s="111">
        <v>0</v>
      </c>
      <c r="H222" s="112">
        <f t="shared" ca="1" si="3"/>
        <v>0</v>
      </c>
    </row>
    <row r="223" spans="1:8">
      <c r="A223" s="110">
        <v>222</v>
      </c>
      <c r="B223" s="110" t="s">
        <v>999</v>
      </c>
      <c r="C223" s="111">
        <v>0</v>
      </c>
      <c r="D223" s="111">
        <v>1</v>
      </c>
      <c r="E223" s="111">
        <v>1</v>
      </c>
      <c r="F223" s="111">
        <v>0</v>
      </c>
      <c r="G223" s="111">
        <v>1</v>
      </c>
      <c r="H223" s="112">
        <f t="shared" ca="1" si="3"/>
        <v>0</v>
      </c>
    </row>
    <row r="224" spans="1:8">
      <c r="A224" s="110">
        <v>223</v>
      </c>
      <c r="B224" s="110" t="s">
        <v>1002</v>
      </c>
      <c r="C224" s="111">
        <v>1</v>
      </c>
      <c r="D224" s="111">
        <v>1</v>
      </c>
      <c r="E224" s="111">
        <v>1</v>
      </c>
      <c r="F224" s="111">
        <v>1</v>
      </c>
      <c r="G224" s="111">
        <v>0</v>
      </c>
      <c r="H224" s="112">
        <f t="shared" ca="1" si="3"/>
        <v>0</v>
      </c>
    </row>
    <row r="225" spans="1:8">
      <c r="A225" s="110">
        <v>224</v>
      </c>
      <c r="B225" s="110" t="s">
        <v>1005</v>
      </c>
      <c r="C225" s="111">
        <v>1</v>
      </c>
      <c r="D225" s="111">
        <v>1</v>
      </c>
      <c r="E225" s="111">
        <v>1</v>
      </c>
      <c r="F225" s="111">
        <v>0</v>
      </c>
      <c r="G225" s="111">
        <v>0</v>
      </c>
      <c r="H225" s="112">
        <f t="shared" ca="1" si="3"/>
        <v>0</v>
      </c>
    </row>
    <row r="226" spans="1:8">
      <c r="A226" s="110">
        <v>225</v>
      </c>
      <c r="B226" s="110" t="s">
        <v>1008</v>
      </c>
      <c r="C226" s="111">
        <v>1</v>
      </c>
      <c r="D226" s="111">
        <v>0</v>
      </c>
      <c r="E226" s="111">
        <v>0</v>
      </c>
      <c r="F226" s="111">
        <v>0</v>
      </c>
      <c r="G226" s="111">
        <v>0</v>
      </c>
      <c r="H226" s="112">
        <f t="shared" ca="1" si="3"/>
        <v>0</v>
      </c>
    </row>
    <row r="227" spans="1:8">
      <c r="A227" s="110">
        <v>226</v>
      </c>
      <c r="B227" s="110" t="s">
        <v>1010</v>
      </c>
      <c r="C227" s="111">
        <v>1</v>
      </c>
      <c r="D227" s="111">
        <v>0</v>
      </c>
      <c r="E227" s="111">
        <v>0</v>
      </c>
      <c r="F227" s="111">
        <v>0</v>
      </c>
      <c r="G227" s="111">
        <v>1</v>
      </c>
      <c r="H227" s="112">
        <f t="shared" ca="1" si="3"/>
        <v>0</v>
      </c>
    </row>
    <row r="228" spans="1:8">
      <c r="A228" s="110">
        <v>227</v>
      </c>
      <c r="B228" s="110" t="s">
        <v>1012</v>
      </c>
      <c r="C228" s="111">
        <v>1</v>
      </c>
      <c r="D228" s="111">
        <v>1</v>
      </c>
      <c r="E228" s="111">
        <v>0</v>
      </c>
      <c r="F228" s="111">
        <v>0</v>
      </c>
      <c r="G228" s="111">
        <v>1</v>
      </c>
      <c r="H228" s="112">
        <f t="shared" ca="1" si="3"/>
        <v>1</v>
      </c>
    </row>
    <row r="229" spans="1:8">
      <c r="A229" s="110">
        <v>228</v>
      </c>
      <c r="B229" s="110" t="s">
        <v>1015</v>
      </c>
      <c r="C229" s="111">
        <v>1</v>
      </c>
      <c r="D229" s="111">
        <v>1</v>
      </c>
      <c r="E229" s="111">
        <v>0</v>
      </c>
      <c r="F229" s="111">
        <v>1</v>
      </c>
      <c r="G229" s="111">
        <v>1</v>
      </c>
      <c r="H229" s="112">
        <f t="shared" ca="1" si="3"/>
        <v>0</v>
      </c>
    </row>
    <row r="230" spans="1:8">
      <c r="A230" s="110">
        <v>229</v>
      </c>
      <c r="B230" s="110" t="s">
        <v>1018</v>
      </c>
      <c r="C230" s="111">
        <v>0</v>
      </c>
      <c r="D230" s="111">
        <v>1</v>
      </c>
      <c r="E230" s="111">
        <v>1</v>
      </c>
      <c r="F230" s="111">
        <v>1</v>
      </c>
      <c r="G230" s="111">
        <v>1</v>
      </c>
      <c r="H230" s="112">
        <f t="shared" ca="1" si="3"/>
        <v>0</v>
      </c>
    </row>
    <row r="231" spans="1:8">
      <c r="A231" s="110">
        <v>230</v>
      </c>
      <c r="B231" s="110" t="s">
        <v>1021</v>
      </c>
      <c r="C231" s="111">
        <v>1</v>
      </c>
      <c r="D231" s="111">
        <v>0</v>
      </c>
      <c r="E231" s="111">
        <v>1</v>
      </c>
      <c r="F231" s="111">
        <v>1</v>
      </c>
      <c r="G231" s="111">
        <v>1</v>
      </c>
      <c r="H231" s="112">
        <f t="shared" ca="1" si="3"/>
        <v>1</v>
      </c>
    </row>
    <row r="232" spans="1:8">
      <c r="A232" s="110">
        <v>231</v>
      </c>
      <c r="B232" s="110" t="s">
        <v>1023</v>
      </c>
      <c r="C232" s="111">
        <v>1</v>
      </c>
      <c r="D232" s="111">
        <v>0</v>
      </c>
      <c r="E232" s="111">
        <v>0</v>
      </c>
      <c r="F232" s="111">
        <v>1</v>
      </c>
      <c r="G232" s="111">
        <v>1</v>
      </c>
      <c r="H232" s="112">
        <f t="shared" ca="1" si="3"/>
        <v>0</v>
      </c>
    </row>
    <row r="233" spans="1:8">
      <c r="A233" s="110">
        <v>232</v>
      </c>
      <c r="B233" s="110" t="s">
        <v>1025</v>
      </c>
      <c r="C233" s="111">
        <v>1</v>
      </c>
      <c r="D233" s="111">
        <v>0</v>
      </c>
      <c r="E233" s="111">
        <v>0</v>
      </c>
      <c r="F233" s="111">
        <v>0</v>
      </c>
      <c r="G233" s="111">
        <v>1</v>
      </c>
      <c r="H233" s="112">
        <f t="shared" ca="1" si="3"/>
        <v>0</v>
      </c>
    </row>
    <row r="234" spans="1:8">
      <c r="A234" s="110">
        <v>233</v>
      </c>
      <c r="B234" s="110" t="s">
        <v>1028</v>
      </c>
      <c r="C234" s="111">
        <v>1</v>
      </c>
      <c r="D234" s="111">
        <v>0</v>
      </c>
      <c r="E234" s="111">
        <v>1</v>
      </c>
      <c r="F234" s="111">
        <v>1</v>
      </c>
      <c r="G234" s="111">
        <v>0</v>
      </c>
      <c r="H234" s="112">
        <f t="shared" ca="1" si="3"/>
        <v>1</v>
      </c>
    </row>
    <row r="235" spans="1:8">
      <c r="A235" s="110">
        <v>234</v>
      </c>
      <c r="B235" s="110" t="s">
        <v>1031</v>
      </c>
      <c r="C235" s="111">
        <v>1</v>
      </c>
      <c r="D235" s="111">
        <v>0</v>
      </c>
      <c r="E235" s="111">
        <v>0</v>
      </c>
      <c r="F235" s="111">
        <v>1</v>
      </c>
      <c r="G235" s="111">
        <v>1</v>
      </c>
      <c r="H235" s="112">
        <f t="shared" ca="1" si="3"/>
        <v>1</v>
      </c>
    </row>
    <row r="236" spans="1:8">
      <c r="A236" s="110">
        <v>235</v>
      </c>
      <c r="B236" s="110" t="s">
        <v>1034</v>
      </c>
      <c r="C236" s="111">
        <v>1</v>
      </c>
      <c r="D236" s="111">
        <v>1</v>
      </c>
      <c r="E236" s="111">
        <v>1</v>
      </c>
      <c r="F236" s="111">
        <v>0</v>
      </c>
      <c r="G236" s="111">
        <v>1</v>
      </c>
      <c r="H236" s="112">
        <f t="shared" ca="1" si="3"/>
        <v>0</v>
      </c>
    </row>
    <row r="237" spans="1:8">
      <c r="A237" s="110">
        <v>236</v>
      </c>
      <c r="B237" s="110" t="s">
        <v>1036</v>
      </c>
      <c r="C237" s="111">
        <v>0</v>
      </c>
      <c r="D237" s="111">
        <v>1</v>
      </c>
      <c r="E237" s="111">
        <v>1</v>
      </c>
      <c r="F237" s="111">
        <v>0</v>
      </c>
      <c r="G237" s="111">
        <v>1</v>
      </c>
      <c r="H237" s="112">
        <f t="shared" ca="1" si="3"/>
        <v>0</v>
      </c>
    </row>
    <row r="238" spans="1:8">
      <c r="A238" s="110">
        <v>237</v>
      </c>
      <c r="B238" s="110" t="s">
        <v>1039</v>
      </c>
      <c r="C238" s="111">
        <v>1</v>
      </c>
      <c r="D238" s="111">
        <v>0</v>
      </c>
      <c r="E238" s="111">
        <v>0</v>
      </c>
      <c r="F238" s="111">
        <v>1</v>
      </c>
      <c r="G238" s="111">
        <v>0</v>
      </c>
      <c r="H238" s="112">
        <f t="shared" ca="1" si="3"/>
        <v>0</v>
      </c>
    </row>
    <row r="239" spans="1:8">
      <c r="A239" s="110">
        <v>238</v>
      </c>
      <c r="B239" s="110" t="s">
        <v>1042</v>
      </c>
      <c r="C239" s="111">
        <v>0</v>
      </c>
      <c r="D239" s="111">
        <v>0</v>
      </c>
      <c r="E239" s="111">
        <v>0</v>
      </c>
      <c r="F239" s="111">
        <v>0</v>
      </c>
      <c r="G239" s="111">
        <v>1</v>
      </c>
      <c r="H239" s="112">
        <f t="shared" ca="1" si="3"/>
        <v>0</v>
      </c>
    </row>
    <row r="240" spans="1:8">
      <c r="A240" s="110">
        <v>239</v>
      </c>
      <c r="B240" s="110" t="s">
        <v>1045</v>
      </c>
      <c r="C240" s="111">
        <v>0</v>
      </c>
      <c r="D240" s="111">
        <v>1</v>
      </c>
      <c r="E240" s="111">
        <v>1</v>
      </c>
      <c r="F240" s="111">
        <v>1</v>
      </c>
      <c r="G240" s="111">
        <v>0</v>
      </c>
      <c r="H240" s="112">
        <f t="shared" ca="1" si="3"/>
        <v>1</v>
      </c>
    </row>
    <row r="241" spans="1:8">
      <c r="A241" s="110">
        <v>240</v>
      </c>
      <c r="B241" s="110" t="s">
        <v>1047</v>
      </c>
      <c r="C241" s="111">
        <v>0</v>
      </c>
      <c r="D241" s="111">
        <v>0</v>
      </c>
      <c r="E241" s="111">
        <v>0</v>
      </c>
      <c r="F241" s="111">
        <v>1</v>
      </c>
      <c r="G241" s="111">
        <v>0</v>
      </c>
      <c r="H241" s="112">
        <f t="shared" ca="1" si="3"/>
        <v>0</v>
      </c>
    </row>
    <row r="242" spans="1:8">
      <c r="A242" s="110">
        <v>241</v>
      </c>
      <c r="B242" s="110" t="s">
        <v>1049</v>
      </c>
      <c r="C242" s="111">
        <v>1</v>
      </c>
      <c r="D242" s="111">
        <v>1</v>
      </c>
      <c r="E242" s="111">
        <v>0</v>
      </c>
      <c r="F242" s="111">
        <v>0</v>
      </c>
      <c r="G242" s="111">
        <v>0</v>
      </c>
      <c r="H242" s="112">
        <f t="shared" ca="1" si="3"/>
        <v>0</v>
      </c>
    </row>
    <row r="243" spans="1:8">
      <c r="A243" s="110">
        <v>242</v>
      </c>
      <c r="B243" s="110" t="s">
        <v>1052</v>
      </c>
      <c r="C243" s="111">
        <v>1</v>
      </c>
      <c r="D243" s="111">
        <v>0</v>
      </c>
      <c r="E243" s="111">
        <v>0</v>
      </c>
      <c r="F243" s="111">
        <v>0</v>
      </c>
      <c r="G243" s="111">
        <v>1</v>
      </c>
      <c r="H243" s="112">
        <f t="shared" ca="1" si="3"/>
        <v>1</v>
      </c>
    </row>
    <row r="244" spans="1:8">
      <c r="A244" s="110">
        <v>243</v>
      </c>
      <c r="B244" s="110" t="s">
        <v>1055</v>
      </c>
      <c r="C244" s="111">
        <v>1</v>
      </c>
      <c r="D244" s="111">
        <v>1</v>
      </c>
      <c r="E244" s="111">
        <v>0</v>
      </c>
      <c r="F244" s="111">
        <v>0</v>
      </c>
      <c r="G244" s="111">
        <v>1</v>
      </c>
      <c r="H244" s="112">
        <f t="shared" ca="1" si="3"/>
        <v>0</v>
      </c>
    </row>
    <row r="245" spans="1:8">
      <c r="A245" s="110">
        <v>244</v>
      </c>
      <c r="B245" s="110" t="s">
        <v>1057</v>
      </c>
      <c r="C245" s="111">
        <v>1</v>
      </c>
      <c r="D245" s="111">
        <v>1</v>
      </c>
      <c r="E245" s="111">
        <v>0</v>
      </c>
      <c r="F245" s="111">
        <v>1</v>
      </c>
      <c r="G245" s="111">
        <v>0</v>
      </c>
      <c r="H245" s="112">
        <f t="shared" ca="1" si="3"/>
        <v>0</v>
      </c>
    </row>
    <row r="246" spans="1:8">
      <c r="A246" s="110">
        <v>245</v>
      </c>
      <c r="B246" s="110" t="s">
        <v>1059</v>
      </c>
      <c r="C246" s="111">
        <v>1</v>
      </c>
      <c r="D246" s="111">
        <v>1</v>
      </c>
      <c r="E246" s="111">
        <v>0</v>
      </c>
      <c r="F246" s="111">
        <v>1</v>
      </c>
      <c r="G246" s="111">
        <v>1</v>
      </c>
      <c r="H246" s="112">
        <f t="shared" ca="1" si="3"/>
        <v>1</v>
      </c>
    </row>
    <row r="247" spans="1:8">
      <c r="A247" s="110">
        <v>246</v>
      </c>
      <c r="B247" s="110" t="s">
        <v>1062</v>
      </c>
      <c r="C247" s="111">
        <v>0</v>
      </c>
      <c r="D247" s="111">
        <v>0</v>
      </c>
      <c r="E247" s="111">
        <v>0</v>
      </c>
      <c r="F247" s="111">
        <v>0</v>
      </c>
      <c r="G247" s="111">
        <v>1</v>
      </c>
      <c r="H247" s="112">
        <f t="shared" ca="1" si="3"/>
        <v>0</v>
      </c>
    </row>
    <row r="248" spans="1:8">
      <c r="A248" s="110">
        <v>247</v>
      </c>
      <c r="B248" s="110" t="s">
        <v>1065</v>
      </c>
      <c r="C248" s="111">
        <v>1</v>
      </c>
      <c r="D248" s="111">
        <v>1</v>
      </c>
      <c r="E248" s="111">
        <v>0</v>
      </c>
      <c r="F248" s="111">
        <v>1</v>
      </c>
      <c r="G248" s="111">
        <v>0</v>
      </c>
      <c r="H248" s="112">
        <f t="shared" ca="1" si="3"/>
        <v>1</v>
      </c>
    </row>
    <row r="249" spans="1:8">
      <c r="A249" s="110">
        <v>248</v>
      </c>
      <c r="B249" s="110" t="s">
        <v>1068</v>
      </c>
      <c r="C249" s="111">
        <v>0</v>
      </c>
      <c r="D249" s="111">
        <v>0</v>
      </c>
      <c r="E249" s="111">
        <v>1</v>
      </c>
      <c r="F249" s="111">
        <v>1</v>
      </c>
      <c r="G249" s="111">
        <v>0</v>
      </c>
      <c r="H249" s="112">
        <f t="shared" ca="1" si="3"/>
        <v>0</v>
      </c>
    </row>
    <row r="250" spans="1:8">
      <c r="A250" s="110">
        <v>249</v>
      </c>
      <c r="B250" s="110" t="s">
        <v>1071</v>
      </c>
      <c r="C250" s="111">
        <v>1</v>
      </c>
      <c r="D250" s="111">
        <v>1</v>
      </c>
      <c r="E250" s="111">
        <v>1</v>
      </c>
      <c r="F250" s="111">
        <v>0</v>
      </c>
      <c r="G250" s="111">
        <v>0</v>
      </c>
      <c r="H250" s="112">
        <f t="shared" ca="1" si="3"/>
        <v>0</v>
      </c>
    </row>
    <row r="251" spans="1:8">
      <c r="A251" s="110">
        <v>250</v>
      </c>
      <c r="B251" s="110" t="s">
        <v>1074</v>
      </c>
      <c r="C251" s="111">
        <v>0</v>
      </c>
      <c r="D251" s="111">
        <v>0</v>
      </c>
      <c r="E251" s="111">
        <v>0</v>
      </c>
      <c r="F251" s="111">
        <v>0</v>
      </c>
      <c r="G251" s="111">
        <v>1</v>
      </c>
      <c r="H251" s="112">
        <f t="shared" ca="1" si="3"/>
        <v>0</v>
      </c>
    </row>
    <row r="252" spans="1:8">
      <c r="A252" s="110">
        <v>251</v>
      </c>
      <c r="B252" s="110" t="s">
        <v>1077</v>
      </c>
      <c r="C252" s="111">
        <v>0</v>
      </c>
      <c r="D252" s="111">
        <v>1</v>
      </c>
      <c r="E252" s="111">
        <v>1</v>
      </c>
      <c r="F252" s="111">
        <v>0</v>
      </c>
      <c r="G252" s="111">
        <v>0</v>
      </c>
      <c r="H252" s="112">
        <f t="shared" ca="1" si="3"/>
        <v>0</v>
      </c>
    </row>
    <row r="253" spans="1:8">
      <c r="A253" s="110">
        <v>252</v>
      </c>
      <c r="B253" s="110" t="s">
        <v>1079</v>
      </c>
      <c r="C253" s="111">
        <v>0</v>
      </c>
      <c r="D253" s="111">
        <v>0</v>
      </c>
      <c r="E253" s="111">
        <v>1</v>
      </c>
      <c r="F253" s="111">
        <v>0</v>
      </c>
      <c r="G253" s="111">
        <v>1</v>
      </c>
      <c r="H253" s="112">
        <f t="shared" ca="1" si="3"/>
        <v>0</v>
      </c>
    </row>
    <row r="254" spans="1:8">
      <c r="A254" s="110">
        <v>253</v>
      </c>
      <c r="B254" s="110" t="s">
        <v>1082</v>
      </c>
      <c r="C254" s="111">
        <v>0</v>
      </c>
      <c r="D254" s="111">
        <v>1</v>
      </c>
      <c r="E254" s="111">
        <v>1</v>
      </c>
      <c r="F254" s="111">
        <v>0</v>
      </c>
      <c r="G254" s="111">
        <v>0</v>
      </c>
      <c r="H254" s="112">
        <f t="shared" ca="1" si="3"/>
        <v>0</v>
      </c>
    </row>
    <row r="255" spans="1:8">
      <c r="A255" s="110">
        <v>254</v>
      </c>
      <c r="B255" s="110" t="s">
        <v>1085</v>
      </c>
      <c r="C255" s="111">
        <v>0</v>
      </c>
      <c r="D255" s="111">
        <v>0</v>
      </c>
      <c r="E255" s="111">
        <v>0</v>
      </c>
      <c r="F255" s="111">
        <v>0</v>
      </c>
      <c r="G255" s="111">
        <v>1</v>
      </c>
      <c r="H255" s="112">
        <f t="shared" ca="1" si="3"/>
        <v>1</v>
      </c>
    </row>
    <row r="256" spans="1:8">
      <c r="A256" s="110">
        <v>255</v>
      </c>
      <c r="B256" s="110" t="s">
        <v>1087</v>
      </c>
      <c r="C256" s="111">
        <v>0</v>
      </c>
      <c r="D256" s="111">
        <v>0</v>
      </c>
      <c r="E256" s="111">
        <v>1</v>
      </c>
      <c r="F256" s="111">
        <v>1</v>
      </c>
      <c r="G256" s="111">
        <v>0</v>
      </c>
      <c r="H256" s="112">
        <f t="shared" ca="1" si="3"/>
        <v>0</v>
      </c>
    </row>
    <row r="257" spans="1:8">
      <c r="A257" s="110">
        <v>256</v>
      </c>
      <c r="B257" s="110" t="s">
        <v>1090</v>
      </c>
      <c r="C257" s="111">
        <v>1</v>
      </c>
      <c r="D257" s="111">
        <v>0</v>
      </c>
      <c r="E257" s="111">
        <v>0</v>
      </c>
      <c r="F257" s="111">
        <v>0</v>
      </c>
      <c r="G257" s="111">
        <v>0</v>
      </c>
      <c r="H257" s="112">
        <f t="shared" ca="1" si="3"/>
        <v>0</v>
      </c>
    </row>
    <row r="258" spans="1:8">
      <c r="A258" s="110">
        <v>257</v>
      </c>
      <c r="B258" s="110" t="s">
        <v>1094</v>
      </c>
      <c r="C258" s="111">
        <v>1</v>
      </c>
      <c r="D258" s="111">
        <v>0</v>
      </c>
      <c r="E258" s="111">
        <v>1</v>
      </c>
      <c r="F258" s="111">
        <v>1</v>
      </c>
      <c r="G258" s="111">
        <v>0</v>
      </c>
      <c r="H258" s="112">
        <f t="shared" ca="1" si="3"/>
        <v>0</v>
      </c>
    </row>
    <row r="259" spans="1:8">
      <c r="A259" s="110">
        <v>258</v>
      </c>
      <c r="B259" s="110" t="s">
        <v>1097</v>
      </c>
      <c r="C259" s="111">
        <v>1</v>
      </c>
      <c r="D259" s="111">
        <v>0</v>
      </c>
      <c r="E259" s="111">
        <v>0</v>
      </c>
      <c r="F259" s="111">
        <v>0</v>
      </c>
      <c r="G259" s="111">
        <v>0</v>
      </c>
      <c r="H259" s="112">
        <f t="shared" ref="H259:H322" ca="1" si="4">IF(RAND()&lt;0.6,0,1)</f>
        <v>0</v>
      </c>
    </row>
    <row r="260" spans="1:8">
      <c r="A260" s="110">
        <v>259</v>
      </c>
      <c r="B260" s="110" t="s">
        <v>1100</v>
      </c>
      <c r="C260" s="111">
        <v>1</v>
      </c>
      <c r="D260" s="111">
        <v>0</v>
      </c>
      <c r="E260" s="111">
        <v>1</v>
      </c>
      <c r="F260" s="111">
        <v>0</v>
      </c>
      <c r="G260" s="111">
        <v>0</v>
      </c>
      <c r="H260" s="112">
        <f t="shared" ca="1" si="4"/>
        <v>1</v>
      </c>
    </row>
    <row r="261" spans="1:8">
      <c r="A261" s="110">
        <v>260</v>
      </c>
      <c r="B261" s="110" t="s">
        <v>1104</v>
      </c>
      <c r="C261" s="111">
        <v>0</v>
      </c>
      <c r="D261" s="111">
        <v>1</v>
      </c>
      <c r="E261" s="111">
        <v>1</v>
      </c>
      <c r="F261" s="111">
        <v>1</v>
      </c>
      <c r="G261" s="111">
        <v>1</v>
      </c>
      <c r="H261" s="112">
        <f t="shared" ca="1" si="4"/>
        <v>0</v>
      </c>
    </row>
    <row r="262" spans="1:8">
      <c r="A262" s="110">
        <v>261</v>
      </c>
      <c r="B262" s="110" t="s">
        <v>1106</v>
      </c>
      <c r="C262" s="111">
        <v>0</v>
      </c>
      <c r="D262" s="111">
        <v>0</v>
      </c>
      <c r="E262" s="111">
        <v>1</v>
      </c>
      <c r="F262" s="111">
        <v>1</v>
      </c>
      <c r="G262" s="111">
        <v>0</v>
      </c>
      <c r="H262" s="112">
        <f t="shared" ca="1" si="4"/>
        <v>1</v>
      </c>
    </row>
    <row r="263" spans="1:8">
      <c r="A263" s="110">
        <v>262</v>
      </c>
      <c r="B263" s="110" t="s">
        <v>1109</v>
      </c>
      <c r="C263" s="111">
        <v>0</v>
      </c>
      <c r="D263" s="111">
        <v>0</v>
      </c>
      <c r="E263" s="111">
        <v>1</v>
      </c>
      <c r="F263" s="111">
        <v>1</v>
      </c>
      <c r="G263" s="111">
        <v>1</v>
      </c>
      <c r="H263" s="112">
        <f t="shared" ca="1" si="4"/>
        <v>1</v>
      </c>
    </row>
    <row r="264" spans="1:8">
      <c r="A264" s="110">
        <v>263</v>
      </c>
      <c r="B264" s="110" t="s">
        <v>1111</v>
      </c>
      <c r="C264" s="111">
        <v>0</v>
      </c>
      <c r="D264" s="111">
        <v>1</v>
      </c>
      <c r="E264" s="111">
        <v>0</v>
      </c>
      <c r="F264" s="111">
        <v>1</v>
      </c>
      <c r="G264" s="111">
        <v>0</v>
      </c>
      <c r="H264" s="112">
        <f t="shared" ca="1" si="4"/>
        <v>1</v>
      </c>
    </row>
    <row r="265" spans="1:8">
      <c r="A265" s="110">
        <v>264</v>
      </c>
      <c r="B265" s="110" t="s">
        <v>1114</v>
      </c>
      <c r="C265" s="111">
        <v>1</v>
      </c>
      <c r="D265" s="111">
        <v>1</v>
      </c>
      <c r="E265" s="111">
        <v>1</v>
      </c>
      <c r="F265" s="111">
        <v>0</v>
      </c>
      <c r="G265" s="111">
        <v>1</v>
      </c>
      <c r="H265" s="112">
        <f t="shared" ca="1" si="4"/>
        <v>0</v>
      </c>
    </row>
    <row r="266" spans="1:8">
      <c r="A266" s="110">
        <v>265</v>
      </c>
      <c r="B266" s="110" t="s">
        <v>1116</v>
      </c>
      <c r="C266" s="111">
        <v>1</v>
      </c>
      <c r="D266" s="111">
        <v>1</v>
      </c>
      <c r="E266" s="111">
        <v>0</v>
      </c>
      <c r="F266" s="111">
        <v>1</v>
      </c>
      <c r="G266" s="111">
        <v>1</v>
      </c>
      <c r="H266" s="112">
        <f t="shared" ca="1" si="4"/>
        <v>1</v>
      </c>
    </row>
    <row r="267" spans="1:8">
      <c r="A267" s="110">
        <v>266</v>
      </c>
      <c r="B267" s="110" t="s">
        <v>1118</v>
      </c>
      <c r="C267" s="111">
        <v>0</v>
      </c>
      <c r="D267" s="111">
        <v>1</v>
      </c>
      <c r="E267" s="111">
        <v>1</v>
      </c>
      <c r="F267" s="111">
        <v>0</v>
      </c>
      <c r="G267" s="111">
        <v>0</v>
      </c>
      <c r="H267" s="112">
        <f t="shared" ca="1" si="4"/>
        <v>0</v>
      </c>
    </row>
    <row r="268" spans="1:8">
      <c r="A268" s="110">
        <v>267</v>
      </c>
      <c r="B268" s="110" t="s">
        <v>1121</v>
      </c>
      <c r="C268" s="111">
        <v>0</v>
      </c>
      <c r="D268" s="111">
        <v>1</v>
      </c>
      <c r="E268" s="111">
        <v>0</v>
      </c>
      <c r="F268" s="111">
        <v>0</v>
      </c>
      <c r="G268" s="111">
        <v>1</v>
      </c>
      <c r="H268" s="112">
        <f t="shared" ca="1" si="4"/>
        <v>0</v>
      </c>
    </row>
    <row r="269" spans="1:8">
      <c r="A269" s="110">
        <v>268</v>
      </c>
      <c r="B269" s="110" t="s">
        <v>1124</v>
      </c>
      <c r="C269" s="111">
        <v>1</v>
      </c>
      <c r="D269" s="111">
        <v>1</v>
      </c>
      <c r="E269" s="111">
        <v>0</v>
      </c>
      <c r="F269" s="111">
        <v>0</v>
      </c>
      <c r="G269" s="111">
        <v>0</v>
      </c>
      <c r="H269" s="112">
        <f t="shared" ca="1" si="4"/>
        <v>1</v>
      </c>
    </row>
    <row r="270" spans="1:8">
      <c r="A270" s="110">
        <v>269</v>
      </c>
      <c r="B270" s="110" t="s">
        <v>1128</v>
      </c>
      <c r="C270" s="111">
        <v>1</v>
      </c>
      <c r="D270" s="111">
        <v>1</v>
      </c>
      <c r="E270" s="111">
        <v>1</v>
      </c>
      <c r="F270" s="111">
        <v>1</v>
      </c>
      <c r="G270" s="111">
        <v>0</v>
      </c>
      <c r="H270" s="112">
        <f t="shared" ca="1" si="4"/>
        <v>1</v>
      </c>
    </row>
    <row r="271" spans="1:8">
      <c r="A271" s="110">
        <v>270</v>
      </c>
      <c r="B271" s="110" t="s">
        <v>1130</v>
      </c>
      <c r="C271" s="111">
        <v>1</v>
      </c>
      <c r="D271" s="111">
        <v>0</v>
      </c>
      <c r="E271" s="111">
        <v>1</v>
      </c>
      <c r="F271" s="111">
        <v>1</v>
      </c>
      <c r="G271" s="111">
        <v>0</v>
      </c>
      <c r="H271" s="112">
        <f t="shared" ca="1" si="4"/>
        <v>1</v>
      </c>
    </row>
    <row r="272" spans="1:8">
      <c r="A272" s="110">
        <v>271</v>
      </c>
      <c r="B272" s="110" t="s">
        <v>1132</v>
      </c>
      <c r="C272" s="111">
        <v>0</v>
      </c>
      <c r="D272" s="111">
        <v>0</v>
      </c>
      <c r="E272" s="111">
        <v>0</v>
      </c>
      <c r="F272" s="111">
        <v>1</v>
      </c>
      <c r="G272" s="111">
        <v>0</v>
      </c>
      <c r="H272" s="112">
        <f t="shared" ca="1" si="4"/>
        <v>0</v>
      </c>
    </row>
    <row r="273" spans="1:8">
      <c r="A273" s="110">
        <v>272</v>
      </c>
      <c r="B273" s="110" t="s">
        <v>1134</v>
      </c>
      <c r="C273" s="111">
        <v>1</v>
      </c>
      <c r="D273" s="111">
        <v>0</v>
      </c>
      <c r="E273" s="111">
        <v>1</v>
      </c>
      <c r="F273" s="111">
        <v>1</v>
      </c>
      <c r="G273" s="111">
        <v>1</v>
      </c>
      <c r="H273" s="112">
        <f t="shared" ca="1" si="4"/>
        <v>0</v>
      </c>
    </row>
    <row r="274" spans="1:8">
      <c r="A274" s="110">
        <v>273</v>
      </c>
      <c r="B274" s="110" t="s">
        <v>1137</v>
      </c>
      <c r="C274" s="111">
        <v>0</v>
      </c>
      <c r="D274" s="111">
        <v>1</v>
      </c>
      <c r="E274" s="111">
        <v>1</v>
      </c>
      <c r="F274" s="111">
        <v>1</v>
      </c>
      <c r="G274" s="111">
        <v>1</v>
      </c>
      <c r="H274" s="112">
        <f t="shared" ca="1" si="4"/>
        <v>0</v>
      </c>
    </row>
    <row r="275" spans="1:8">
      <c r="A275" s="110">
        <v>274</v>
      </c>
      <c r="B275" s="110" t="s">
        <v>1143</v>
      </c>
      <c r="C275" s="111">
        <v>1</v>
      </c>
      <c r="D275" s="111">
        <v>1</v>
      </c>
      <c r="E275" s="111">
        <v>1</v>
      </c>
      <c r="F275" s="111">
        <v>1</v>
      </c>
      <c r="G275" s="111">
        <v>1</v>
      </c>
      <c r="H275" s="112">
        <f t="shared" ca="1" si="4"/>
        <v>1</v>
      </c>
    </row>
    <row r="276" spans="1:8">
      <c r="A276" s="110">
        <v>275</v>
      </c>
      <c r="B276" s="110" t="s">
        <v>1145</v>
      </c>
      <c r="C276" s="111">
        <v>0</v>
      </c>
      <c r="D276" s="111">
        <v>0</v>
      </c>
      <c r="E276" s="111">
        <v>0</v>
      </c>
      <c r="F276" s="111">
        <v>0</v>
      </c>
      <c r="G276" s="111">
        <v>0</v>
      </c>
      <c r="H276" s="112">
        <f t="shared" ca="1" si="4"/>
        <v>0</v>
      </c>
    </row>
    <row r="277" spans="1:8">
      <c r="A277" s="110">
        <v>276</v>
      </c>
      <c r="B277" s="110" t="s">
        <v>1148</v>
      </c>
      <c r="C277" s="111">
        <v>0</v>
      </c>
      <c r="D277" s="111">
        <v>1</v>
      </c>
      <c r="E277" s="111">
        <v>0</v>
      </c>
      <c r="F277" s="111">
        <v>0</v>
      </c>
      <c r="G277" s="111">
        <v>0</v>
      </c>
      <c r="H277" s="112">
        <f t="shared" ca="1" si="4"/>
        <v>0</v>
      </c>
    </row>
    <row r="278" spans="1:8">
      <c r="A278" s="110">
        <v>277</v>
      </c>
      <c r="B278" s="110" t="s">
        <v>1151</v>
      </c>
      <c r="C278" s="111">
        <v>1</v>
      </c>
      <c r="D278" s="111">
        <v>0</v>
      </c>
      <c r="E278" s="111">
        <v>1</v>
      </c>
      <c r="F278" s="111">
        <v>1</v>
      </c>
      <c r="G278" s="111">
        <v>1</v>
      </c>
      <c r="H278" s="112">
        <f t="shared" ca="1" si="4"/>
        <v>0</v>
      </c>
    </row>
    <row r="279" spans="1:8">
      <c r="A279" s="110">
        <v>278</v>
      </c>
      <c r="B279" s="110" t="s">
        <v>1153</v>
      </c>
      <c r="C279" s="111">
        <v>1</v>
      </c>
      <c r="D279" s="111">
        <v>1</v>
      </c>
      <c r="E279" s="111">
        <v>1</v>
      </c>
      <c r="F279" s="111">
        <v>0</v>
      </c>
      <c r="G279" s="111">
        <v>0</v>
      </c>
      <c r="H279" s="112">
        <f t="shared" ca="1" si="4"/>
        <v>1</v>
      </c>
    </row>
    <row r="280" spans="1:8">
      <c r="A280" s="110">
        <v>279</v>
      </c>
      <c r="B280" s="110" t="s">
        <v>1156</v>
      </c>
      <c r="C280" s="111">
        <v>1</v>
      </c>
      <c r="D280" s="111">
        <v>0</v>
      </c>
      <c r="E280" s="111">
        <v>1</v>
      </c>
      <c r="F280" s="111">
        <v>1</v>
      </c>
      <c r="G280" s="111">
        <v>0</v>
      </c>
      <c r="H280" s="112">
        <f t="shared" ca="1" si="4"/>
        <v>0</v>
      </c>
    </row>
    <row r="281" spans="1:8">
      <c r="A281" s="110">
        <v>280</v>
      </c>
      <c r="B281" s="110" t="s">
        <v>1158</v>
      </c>
      <c r="C281" s="111">
        <v>1</v>
      </c>
      <c r="D281" s="111">
        <v>1</v>
      </c>
      <c r="E281" s="111">
        <v>1</v>
      </c>
      <c r="F281" s="111">
        <v>1</v>
      </c>
      <c r="G281" s="111">
        <v>0</v>
      </c>
      <c r="H281" s="112">
        <f t="shared" ca="1" si="4"/>
        <v>0</v>
      </c>
    </row>
    <row r="282" spans="1:8">
      <c r="A282" s="110">
        <v>281</v>
      </c>
      <c r="B282" s="110" t="s">
        <v>1161</v>
      </c>
      <c r="C282" s="111">
        <v>0</v>
      </c>
      <c r="D282" s="111">
        <v>0</v>
      </c>
      <c r="E282" s="111">
        <v>0</v>
      </c>
      <c r="F282" s="111">
        <v>1</v>
      </c>
      <c r="G282" s="111">
        <v>0</v>
      </c>
      <c r="H282" s="112">
        <f t="shared" ca="1" si="4"/>
        <v>1</v>
      </c>
    </row>
    <row r="283" spans="1:8">
      <c r="A283" s="110">
        <v>282</v>
      </c>
      <c r="B283" s="110" t="s">
        <v>1164</v>
      </c>
      <c r="C283" s="111">
        <v>1</v>
      </c>
      <c r="D283" s="111">
        <v>1</v>
      </c>
      <c r="E283" s="111">
        <v>1</v>
      </c>
      <c r="F283" s="111">
        <v>0</v>
      </c>
      <c r="G283" s="111">
        <v>0</v>
      </c>
      <c r="H283" s="112">
        <f t="shared" ca="1" si="4"/>
        <v>1</v>
      </c>
    </row>
    <row r="284" spans="1:8">
      <c r="A284" s="110">
        <v>283</v>
      </c>
      <c r="B284" s="110" t="s">
        <v>1166</v>
      </c>
      <c r="C284" s="111">
        <v>1</v>
      </c>
      <c r="D284" s="111">
        <v>0</v>
      </c>
      <c r="E284" s="111">
        <v>0</v>
      </c>
      <c r="F284" s="111">
        <v>0</v>
      </c>
      <c r="G284" s="111">
        <v>0</v>
      </c>
      <c r="H284" s="112">
        <f t="shared" ca="1" si="4"/>
        <v>0</v>
      </c>
    </row>
    <row r="285" spans="1:8">
      <c r="A285" s="110">
        <v>284</v>
      </c>
      <c r="B285" s="110" t="s">
        <v>1169</v>
      </c>
      <c r="C285" s="111">
        <v>0</v>
      </c>
      <c r="D285" s="111">
        <v>0</v>
      </c>
      <c r="E285" s="111">
        <v>1</v>
      </c>
      <c r="F285" s="111">
        <v>1</v>
      </c>
      <c r="G285" s="111">
        <v>1</v>
      </c>
      <c r="H285" s="112">
        <f t="shared" ca="1" si="4"/>
        <v>0</v>
      </c>
    </row>
    <row r="286" spans="1:8">
      <c r="A286" s="110">
        <v>285</v>
      </c>
      <c r="B286" s="110" t="s">
        <v>1173</v>
      </c>
      <c r="C286" s="111">
        <v>0</v>
      </c>
      <c r="D286" s="111">
        <v>0</v>
      </c>
      <c r="E286" s="111">
        <v>1</v>
      </c>
      <c r="F286" s="111">
        <v>0</v>
      </c>
      <c r="G286" s="111">
        <v>0</v>
      </c>
      <c r="H286" s="112">
        <f t="shared" ca="1" si="4"/>
        <v>0</v>
      </c>
    </row>
    <row r="287" spans="1:8">
      <c r="A287" s="110">
        <v>286</v>
      </c>
      <c r="B287" s="110" t="s">
        <v>1179</v>
      </c>
      <c r="C287" s="111">
        <v>1</v>
      </c>
      <c r="D287" s="111">
        <v>0</v>
      </c>
      <c r="E287" s="111">
        <v>0</v>
      </c>
      <c r="F287" s="111">
        <v>1</v>
      </c>
      <c r="G287" s="111">
        <v>1</v>
      </c>
      <c r="H287" s="112">
        <f t="shared" ca="1" si="4"/>
        <v>1</v>
      </c>
    </row>
    <row r="288" spans="1:8">
      <c r="A288" s="110">
        <v>287</v>
      </c>
      <c r="B288" s="110" t="s">
        <v>1183</v>
      </c>
      <c r="C288" s="111">
        <v>1</v>
      </c>
      <c r="D288" s="111">
        <v>1</v>
      </c>
      <c r="E288" s="111">
        <v>0</v>
      </c>
      <c r="F288" s="111">
        <v>1</v>
      </c>
      <c r="G288" s="111">
        <v>0</v>
      </c>
      <c r="H288" s="112">
        <f t="shared" ca="1" si="4"/>
        <v>0</v>
      </c>
    </row>
    <row r="289" spans="1:8">
      <c r="A289" s="110">
        <v>288</v>
      </c>
      <c r="B289" s="110" t="s">
        <v>1186</v>
      </c>
      <c r="C289" s="111">
        <v>1</v>
      </c>
      <c r="D289" s="111">
        <v>0</v>
      </c>
      <c r="E289" s="111">
        <v>0</v>
      </c>
      <c r="F289" s="111">
        <v>1</v>
      </c>
      <c r="G289" s="111">
        <v>0</v>
      </c>
      <c r="H289" s="112">
        <f t="shared" ca="1" si="4"/>
        <v>1</v>
      </c>
    </row>
    <row r="290" spans="1:8">
      <c r="A290" s="110">
        <v>289</v>
      </c>
      <c r="B290" s="110" t="s">
        <v>1189</v>
      </c>
      <c r="C290" s="111">
        <v>1</v>
      </c>
      <c r="D290" s="111">
        <v>1</v>
      </c>
      <c r="E290" s="111">
        <v>1</v>
      </c>
      <c r="F290" s="111">
        <v>1</v>
      </c>
      <c r="G290" s="111">
        <v>1</v>
      </c>
      <c r="H290" s="112">
        <f t="shared" ca="1" si="4"/>
        <v>0</v>
      </c>
    </row>
    <row r="291" spans="1:8">
      <c r="A291" s="110">
        <v>290</v>
      </c>
      <c r="B291" s="110" t="s">
        <v>1192</v>
      </c>
      <c r="C291" s="111">
        <v>1</v>
      </c>
      <c r="D291" s="111">
        <v>1</v>
      </c>
      <c r="E291" s="111">
        <v>1</v>
      </c>
      <c r="F291" s="111">
        <v>1</v>
      </c>
      <c r="G291" s="111">
        <v>1</v>
      </c>
      <c r="H291" s="112">
        <f t="shared" ca="1" si="4"/>
        <v>0</v>
      </c>
    </row>
    <row r="292" spans="1:8">
      <c r="A292" s="110">
        <v>291</v>
      </c>
      <c r="B292" s="110" t="s">
        <v>1195</v>
      </c>
      <c r="C292" s="111">
        <v>1</v>
      </c>
      <c r="D292" s="111">
        <v>0</v>
      </c>
      <c r="E292" s="111">
        <v>0</v>
      </c>
      <c r="F292" s="111">
        <v>0</v>
      </c>
      <c r="G292" s="111">
        <v>1</v>
      </c>
      <c r="H292" s="112">
        <f t="shared" ca="1" si="4"/>
        <v>0</v>
      </c>
    </row>
    <row r="293" spans="1:8">
      <c r="A293" s="110">
        <v>292</v>
      </c>
      <c r="B293" s="110" t="s">
        <v>1198</v>
      </c>
      <c r="C293" s="111">
        <v>1</v>
      </c>
      <c r="D293" s="111">
        <v>0</v>
      </c>
      <c r="E293" s="111">
        <v>1</v>
      </c>
      <c r="F293" s="111">
        <v>1</v>
      </c>
      <c r="G293" s="111">
        <v>0</v>
      </c>
      <c r="H293" s="112">
        <f t="shared" ca="1" si="4"/>
        <v>0</v>
      </c>
    </row>
    <row r="294" spans="1:8">
      <c r="A294" s="110">
        <v>293</v>
      </c>
      <c r="B294" s="110" t="s">
        <v>1201</v>
      </c>
      <c r="C294" s="111">
        <v>1</v>
      </c>
      <c r="D294" s="111">
        <v>1</v>
      </c>
      <c r="E294" s="111">
        <v>1</v>
      </c>
      <c r="F294" s="111">
        <v>0</v>
      </c>
      <c r="G294" s="111">
        <v>0</v>
      </c>
      <c r="H294" s="112">
        <f t="shared" ca="1" si="4"/>
        <v>1</v>
      </c>
    </row>
    <row r="295" spans="1:8">
      <c r="A295" s="110">
        <v>294</v>
      </c>
      <c r="B295" s="110" t="s">
        <v>1203</v>
      </c>
      <c r="C295" s="111">
        <v>0</v>
      </c>
      <c r="D295" s="111">
        <v>0</v>
      </c>
      <c r="E295" s="111">
        <v>0</v>
      </c>
      <c r="F295" s="111">
        <v>1</v>
      </c>
      <c r="G295" s="111">
        <v>0</v>
      </c>
      <c r="H295" s="112">
        <f t="shared" ca="1" si="4"/>
        <v>0</v>
      </c>
    </row>
    <row r="296" spans="1:8">
      <c r="A296" s="110">
        <v>295</v>
      </c>
      <c r="B296" s="110" t="s">
        <v>1205</v>
      </c>
      <c r="C296" s="111">
        <v>0</v>
      </c>
      <c r="D296" s="111">
        <v>0</v>
      </c>
      <c r="E296" s="111">
        <v>0</v>
      </c>
      <c r="F296" s="111">
        <v>1</v>
      </c>
      <c r="G296" s="111">
        <v>1</v>
      </c>
      <c r="H296" s="112">
        <f t="shared" ca="1" si="4"/>
        <v>0</v>
      </c>
    </row>
    <row r="297" spans="1:8">
      <c r="A297" s="110">
        <v>296</v>
      </c>
      <c r="B297" s="110" t="s">
        <v>1208</v>
      </c>
      <c r="C297" s="111">
        <v>1</v>
      </c>
      <c r="D297" s="111">
        <v>0</v>
      </c>
      <c r="E297" s="111">
        <v>0</v>
      </c>
      <c r="F297" s="111">
        <v>1</v>
      </c>
      <c r="G297" s="111">
        <v>1</v>
      </c>
      <c r="H297" s="112">
        <f t="shared" ca="1" si="4"/>
        <v>0</v>
      </c>
    </row>
    <row r="298" spans="1:8">
      <c r="A298" s="110">
        <v>297</v>
      </c>
      <c r="B298" s="110" t="s">
        <v>1211</v>
      </c>
      <c r="C298" s="111">
        <v>0</v>
      </c>
      <c r="D298" s="111">
        <v>1</v>
      </c>
      <c r="E298" s="111">
        <v>1</v>
      </c>
      <c r="F298" s="111">
        <v>1</v>
      </c>
      <c r="G298" s="111">
        <v>1</v>
      </c>
      <c r="H298" s="112">
        <f t="shared" ca="1" si="4"/>
        <v>0</v>
      </c>
    </row>
    <row r="299" spans="1:8">
      <c r="A299" s="110">
        <v>298</v>
      </c>
      <c r="B299" s="110" t="s">
        <v>1216</v>
      </c>
      <c r="C299" s="111">
        <v>0</v>
      </c>
      <c r="D299" s="111">
        <v>0</v>
      </c>
      <c r="E299" s="111">
        <v>1</v>
      </c>
      <c r="F299" s="111">
        <v>1</v>
      </c>
      <c r="G299" s="111">
        <v>0</v>
      </c>
      <c r="H299" s="112">
        <f t="shared" ca="1" si="4"/>
        <v>0</v>
      </c>
    </row>
    <row r="300" spans="1:8">
      <c r="A300" s="110">
        <v>299</v>
      </c>
      <c r="B300" s="110" t="s">
        <v>1219</v>
      </c>
      <c r="C300" s="111">
        <v>1</v>
      </c>
      <c r="D300" s="111">
        <v>1</v>
      </c>
      <c r="E300" s="111">
        <v>1</v>
      </c>
      <c r="F300" s="111">
        <v>0</v>
      </c>
      <c r="G300" s="111">
        <v>0</v>
      </c>
      <c r="H300" s="112">
        <f t="shared" ca="1" si="4"/>
        <v>1</v>
      </c>
    </row>
    <row r="301" spans="1:8">
      <c r="A301" s="110">
        <v>300</v>
      </c>
      <c r="B301" s="110" t="s">
        <v>1222</v>
      </c>
      <c r="C301" s="111">
        <v>1</v>
      </c>
      <c r="D301" s="111">
        <v>0</v>
      </c>
      <c r="E301" s="111">
        <v>1</v>
      </c>
      <c r="F301" s="111">
        <v>0</v>
      </c>
      <c r="G301" s="111">
        <v>0</v>
      </c>
      <c r="H301" s="112">
        <f t="shared" ca="1" si="4"/>
        <v>0</v>
      </c>
    </row>
    <row r="302" spans="1:8">
      <c r="A302" s="110">
        <v>301</v>
      </c>
      <c r="B302" s="110" t="s">
        <v>1226</v>
      </c>
      <c r="C302" s="111">
        <v>1</v>
      </c>
      <c r="D302" s="111">
        <v>0</v>
      </c>
      <c r="E302" s="111">
        <v>1</v>
      </c>
      <c r="F302" s="111">
        <v>0</v>
      </c>
      <c r="G302" s="111">
        <v>0</v>
      </c>
      <c r="H302" s="112">
        <f t="shared" ca="1" si="4"/>
        <v>0</v>
      </c>
    </row>
    <row r="303" spans="1:8">
      <c r="A303" s="110">
        <v>302</v>
      </c>
      <c r="B303" s="110" t="s">
        <v>1230</v>
      </c>
      <c r="C303" s="111">
        <v>1</v>
      </c>
      <c r="D303" s="111">
        <v>1</v>
      </c>
      <c r="E303" s="111">
        <v>0</v>
      </c>
      <c r="F303" s="111">
        <v>0</v>
      </c>
      <c r="G303" s="111">
        <v>1</v>
      </c>
      <c r="H303" s="112">
        <f t="shared" ca="1" si="4"/>
        <v>0</v>
      </c>
    </row>
    <row r="304" spans="1:8">
      <c r="A304" s="110">
        <v>303</v>
      </c>
      <c r="B304" s="110" t="s">
        <v>1233</v>
      </c>
      <c r="C304" s="111">
        <v>0</v>
      </c>
      <c r="D304" s="111">
        <v>1</v>
      </c>
      <c r="E304" s="111">
        <v>1</v>
      </c>
      <c r="F304" s="111">
        <v>0</v>
      </c>
      <c r="G304" s="111">
        <v>0</v>
      </c>
      <c r="H304" s="112">
        <f t="shared" ca="1" si="4"/>
        <v>0</v>
      </c>
    </row>
    <row r="305" spans="1:8">
      <c r="A305" s="110">
        <v>304</v>
      </c>
      <c r="B305" s="110" t="s">
        <v>1236</v>
      </c>
      <c r="C305" s="111">
        <v>0</v>
      </c>
      <c r="D305" s="111">
        <v>1</v>
      </c>
      <c r="E305" s="111">
        <v>0</v>
      </c>
      <c r="F305" s="111">
        <v>0</v>
      </c>
      <c r="G305" s="111">
        <v>0</v>
      </c>
      <c r="H305" s="112">
        <f t="shared" ca="1" si="4"/>
        <v>0</v>
      </c>
    </row>
    <row r="306" spans="1:8">
      <c r="A306" s="110">
        <v>305</v>
      </c>
      <c r="B306" s="110" t="s">
        <v>1239</v>
      </c>
      <c r="C306" s="111">
        <v>1</v>
      </c>
      <c r="D306" s="111">
        <v>0</v>
      </c>
      <c r="E306" s="111">
        <v>1</v>
      </c>
      <c r="F306" s="111">
        <v>0</v>
      </c>
      <c r="G306" s="111">
        <v>1</v>
      </c>
      <c r="H306" s="112">
        <f t="shared" ca="1" si="4"/>
        <v>0</v>
      </c>
    </row>
    <row r="307" spans="1:8">
      <c r="A307" s="110">
        <v>306</v>
      </c>
      <c r="B307" s="110" t="s">
        <v>1241</v>
      </c>
      <c r="C307" s="111">
        <v>0</v>
      </c>
      <c r="D307" s="111">
        <v>1</v>
      </c>
      <c r="E307" s="111">
        <v>1</v>
      </c>
      <c r="F307" s="111">
        <v>0</v>
      </c>
      <c r="G307" s="111">
        <v>0</v>
      </c>
      <c r="H307" s="112">
        <f t="shared" ca="1" si="4"/>
        <v>0</v>
      </c>
    </row>
    <row r="308" spans="1:8">
      <c r="A308" s="110">
        <v>307</v>
      </c>
      <c r="B308" s="110" t="s">
        <v>1244</v>
      </c>
      <c r="C308" s="111">
        <v>0</v>
      </c>
      <c r="D308" s="111">
        <v>0</v>
      </c>
      <c r="E308" s="111">
        <v>0</v>
      </c>
      <c r="F308" s="111">
        <v>0</v>
      </c>
      <c r="G308" s="111">
        <v>0</v>
      </c>
      <c r="H308" s="112">
        <f t="shared" ca="1" si="4"/>
        <v>1</v>
      </c>
    </row>
    <row r="309" spans="1:8">
      <c r="A309" s="110">
        <v>308</v>
      </c>
      <c r="B309" s="110" t="s">
        <v>1247</v>
      </c>
      <c r="C309" s="111">
        <v>0</v>
      </c>
      <c r="D309" s="111">
        <v>0</v>
      </c>
      <c r="E309" s="111">
        <v>0</v>
      </c>
      <c r="F309" s="111">
        <v>1</v>
      </c>
      <c r="G309" s="111">
        <v>1</v>
      </c>
      <c r="H309" s="112">
        <f t="shared" ca="1" si="4"/>
        <v>0</v>
      </c>
    </row>
    <row r="310" spans="1:8">
      <c r="A310" s="110">
        <v>309</v>
      </c>
      <c r="B310" s="110" t="s">
        <v>1249</v>
      </c>
      <c r="C310" s="111">
        <v>0</v>
      </c>
      <c r="D310" s="111">
        <v>1</v>
      </c>
      <c r="E310" s="111">
        <v>0</v>
      </c>
      <c r="F310" s="111">
        <v>0</v>
      </c>
      <c r="G310" s="111">
        <v>1</v>
      </c>
      <c r="H310" s="112">
        <f t="shared" ca="1" si="4"/>
        <v>1</v>
      </c>
    </row>
    <row r="311" spans="1:8">
      <c r="A311" s="110">
        <v>310</v>
      </c>
      <c r="B311" s="110" t="s">
        <v>1252</v>
      </c>
      <c r="C311" s="111">
        <v>0</v>
      </c>
      <c r="D311" s="111">
        <v>0</v>
      </c>
      <c r="E311" s="111">
        <v>1</v>
      </c>
      <c r="F311" s="111">
        <v>0</v>
      </c>
      <c r="G311" s="111">
        <v>1</v>
      </c>
      <c r="H311" s="112">
        <f t="shared" ca="1" si="4"/>
        <v>0</v>
      </c>
    </row>
    <row r="312" spans="1:8">
      <c r="A312" s="110">
        <v>311</v>
      </c>
      <c r="B312" s="110" t="s">
        <v>1255</v>
      </c>
      <c r="C312" s="111">
        <v>0</v>
      </c>
      <c r="D312" s="111">
        <v>1</v>
      </c>
      <c r="E312" s="111">
        <v>0</v>
      </c>
      <c r="F312" s="111">
        <v>0</v>
      </c>
      <c r="G312" s="111">
        <v>0</v>
      </c>
      <c r="H312" s="112">
        <f t="shared" ca="1" si="4"/>
        <v>0</v>
      </c>
    </row>
    <row r="313" spans="1:8">
      <c r="A313" s="110">
        <v>312</v>
      </c>
      <c r="B313" s="110" t="s">
        <v>1258</v>
      </c>
      <c r="C313" s="111">
        <v>1</v>
      </c>
      <c r="D313" s="111">
        <v>1</v>
      </c>
      <c r="E313" s="111">
        <v>0</v>
      </c>
      <c r="F313" s="111">
        <v>1</v>
      </c>
      <c r="G313" s="111">
        <v>0</v>
      </c>
      <c r="H313" s="112">
        <f t="shared" ca="1" si="4"/>
        <v>0</v>
      </c>
    </row>
    <row r="314" spans="1:8">
      <c r="A314" s="110">
        <v>313</v>
      </c>
      <c r="B314" s="110" t="s">
        <v>1261</v>
      </c>
      <c r="C314" s="111">
        <v>1</v>
      </c>
      <c r="D314" s="111">
        <v>0</v>
      </c>
      <c r="E314" s="111">
        <v>1</v>
      </c>
      <c r="F314" s="111">
        <v>1</v>
      </c>
      <c r="G314" s="111">
        <v>1</v>
      </c>
      <c r="H314" s="112">
        <f t="shared" ca="1" si="4"/>
        <v>0</v>
      </c>
    </row>
    <row r="315" spans="1:8">
      <c r="A315" s="110">
        <v>314</v>
      </c>
      <c r="B315" s="110" t="s">
        <v>1263</v>
      </c>
      <c r="C315" s="111">
        <v>0</v>
      </c>
      <c r="D315" s="111">
        <v>1</v>
      </c>
      <c r="E315" s="111">
        <v>1</v>
      </c>
      <c r="F315" s="111">
        <v>1</v>
      </c>
      <c r="G315" s="111">
        <v>0</v>
      </c>
      <c r="H315" s="112">
        <f t="shared" ca="1" si="4"/>
        <v>1</v>
      </c>
    </row>
    <row r="316" spans="1:8">
      <c r="A316" s="110">
        <v>315</v>
      </c>
      <c r="B316" s="110" t="s">
        <v>1266</v>
      </c>
      <c r="C316" s="111">
        <v>1</v>
      </c>
      <c r="D316" s="111">
        <v>1</v>
      </c>
      <c r="E316" s="111">
        <v>1</v>
      </c>
      <c r="F316" s="111">
        <v>1</v>
      </c>
      <c r="G316" s="111">
        <v>1</v>
      </c>
      <c r="H316" s="112">
        <f t="shared" ca="1" si="4"/>
        <v>1</v>
      </c>
    </row>
    <row r="317" spans="1:8">
      <c r="A317" s="110">
        <v>316</v>
      </c>
      <c r="B317" s="110" t="s">
        <v>1269</v>
      </c>
      <c r="C317" s="111">
        <v>1</v>
      </c>
      <c r="D317" s="111">
        <v>1</v>
      </c>
      <c r="E317" s="111">
        <v>1</v>
      </c>
      <c r="F317" s="111">
        <v>0</v>
      </c>
      <c r="G317" s="111">
        <v>1</v>
      </c>
      <c r="H317" s="112">
        <f t="shared" ca="1" si="4"/>
        <v>0</v>
      </c>
    </row>
    <row r="318" spans="1:8">
      <c r="A318" s="110">
        <v>317</v>
      </c>
      <c r="B318" s="110" t="s">
        <v>1272</v>
      </c>
      <c r="C318" s="111">
        <v>0</v>
      </c>
      <c r="D318" s="111">
        <v>0</v>
      </c>
      <c r="E318" s="111">
        <v>0</v>
      </c>
      <c r="F318" s="111">
        <v>0</v>
      </c>
      <c r="G318" s="111">
        <v>1</v>
      </c>
      <c r="H318" s="112">
        <f t="shared" ca="1" si="4"/>
        <v>0</v>
      </c>
    </row>
    <row r="319" spans="1:8">
      <c r="A319" s="110">
        <v>318</v>
      </c>
      <c r="B319" s="110" t="s">
        <v>1275</v>
      </c>
      <c r="C319" s="111">
        <v>1</v>
      </c>
      <c r="D319" s="111">
        <v>1</v>
      </c>
      <c r="E319" s="111">
        <v>1</v>
      </c>
      <c r="F319" s="111">
        <v>1</v>
      </c>
      <c r="G319" s="111">
        <v>0</v>
      </c>
      <c r="H319" s="112">
        <f t="shared" ca="1" si="4"/>
        <v>0</v>
      </c>
    </row>
    <row r="320" spans="1:8">
      <c r="A320" s="110">
        <v>319</v>
      </c>
      <c r="B320" s="110" t="s">
        <v>1278</v>
      </c>
      <c r="C320" s="111">
        <v>0</v>
      </c>
      <c r="D320" s="111">
        <v>1</v>
      </c>
      <c r="E320" s="111">
        <v>1</v>
      </c>
      <c r="F320" s="111">
        <v>0</v>
      </c>
      <c r="G320" s="111">
        <v>1</v>
      </c>
      <c r="H320" s="112">
        <f t="shared" ca="1" si="4"/>
        <v>0</v>
      </c>
    </row>
    <row r="321" spans="1:8">
      <c r="A321" s="110">
        <v>320</v>
      </c>
      <c r="B321" s="110" t="s">
        <v>1281</v>
      </c>
      <c r="C321" s="111">
        <v>0</v>
      </c>
      <c r="D321" s="111">
        <v>1</v>
      </c>
      <c r="E321" s="111">
        <v>0</v>
      </c>
      <c r="F321" s="111">
        <v>1</v>
      </c>
      <c r="G321" s="111">
        <v>1</v>
      </c>
      <c r="H321" s="112">
        <f t="shared" ca="1" si="4"/>
        <v>1</v>
      </c>
    </row>
    <row r="322" spans="1:8">
      <c r="A322" s="110">
        <v>321</v>
      </c>
      <c r="B322" s="110" t="s">
        <v>1284</v>
      </c>
      <c r="C322" s="111">
        <v>0</v>
      </c>
      <c r="D322" s="111">
        <v>1</v>
      </c>
      <c r="E322" s="111">
        <v>0</v>
      </c>
      <c r="F322" s="111">
        <v>1</v>
      </c>
      <c r="G322" s="111">
        <v>0</v>
      </c>
      <c r="H322" s="112">
        <f t="shared" ca="1" si="4"/>
        <v>0</v>
      </c>
    </row>
    <row r="323" spans="1:8">
      <c r="A323" s="110">
        <v>322</v>
      </c>
      <c r="B323" s="110" t="s">
        <v>1288</v>
      </c>
      <c r="C323" s="111">
        <v>1</v>
      </c>
      <c r="D323" s="111">
        <v>1</v>
      </c>
      <c r="E323" s="111">
        <v>1</v>
      </c>
      <c r="F323" s="111">
        <v>0</v>
      </c>
      <c r="G323" s="111">
        <v>0</v>
      </c>
      <c r="H323" s="112">
        <f t="shared" ref="H323:H386" ca="1" si="5">IF(RAND()&lt;0.6,0,1)</f>
        <v>1</v>
      </c>
    </row>
    <row r="324" spans="1:8">
      <c r="A324" s="110">
        <v>323</v>
      </c>
      <c r="B324" s="110" t="s">
        <v>1291</v>
      </c>
      <c r="C324" s="111">
        <v>0</v>
      </c>
      <c r="D324" s="111">
        <v>0</v>
      </c>
      <c r="E324" s="111">
        <v>0</v>
      </c>
      <c r="F324" s="111">
        <v>1</v>
      </c>
      <c r="G324" s="111">
        <v>1</v>
      </c>
      <c r="H324" s="112">
        <f t="shared" ca="1" si="5"/>
        <v>1</v>
      </c>
    </row>
    <row r="325" spans="1:8">
      <c r="A325" s="110">
        <v>324</v>
      </c>
      <c r="B325" s="110" t="s">
        <v>1294</v>
      </c>
      <c r="C325" s="111">
        <v>1</v>
      </c>
      <c r="D325" s="111">
        <v>1</v>
      </c>
      <c r="E325" s="111">
        <v>1</v>
      </c>
      <c r="F325" s="111">
        <v>1</v>
      </c>
      <c r="G325" s="111">
        <v>1</v>
      </c>
      <c r="H325" s="112">
        <f t="shared" ca="1" si="5"/>
        <v>1</v>
      </c>
    </row>
    <row r="326" spans="1:8">
      <c r="A326" s="110">
        <v>325</v>
      </c>
      <c r="B326" s="110" t="s">
        <v>1297</v>
      </c>
      <c r="C326" s="111">
        <v>0</v>
      </c>
      <c r="D326" s="111">
        <v>0</v>
      </c>
      <c r="E326" s="111">
        <v>1</v>
      </c>
      <c r="F326" s="111">
        <v>1</v>
      </c>
      <c r="G326" s="111">
        <v>0</v>
      </c>
      <c r="H326" s="112">
        <f t="shared" ca="1" si="5"/>
        <v>0</v>
      </c>
    </row>
    <row r="327" spans="1:8">
      <c r="A327" s="110">
        <v>326</v>
      </c>
      <c r="B327" s="110" t="s">
        <v>1299</v>
      </c>
      <c r="C327" s="111">
        <v>1</v>
      </c>
      <c r="D327" s="111">
        <v>0</v>
      </c>
      <c r="E327" s="111">
        <v>1</v>
      </c>
      <c r="F327" s="111">
        <v>0</v>
      </c>
      <c r="G327" s="111">
        <v>0</v>
      </c>
      <c r="H327" s="112">
        <f t="shared" ca="1" si="5"/>
        <v>0</v>
      </c>
    </row>
    <row r="328" spans="1:8">
      <c r="A328" s="110">
        <v>327</v>
      </c>
      <c r="B328" s="110" t="s">
        <v>1301</v>
      </c>
      <c r="C328" s="111">
        <v>1</v>
      </c>
      <c r="D328" s="111">
        <v>1</v>
      </c>
      <c r="E328" s="111">
        <v>0</v>
      </c>
      <c r="F328" s="111">
        <v>1</v>
      </c>
      <c r="G328" s="111">
        <v>1</v>
      </c>
      <c r="H328" s="112">
        <f t="shared" ca="1" si="5"/>
        <v>0</v>
      </c>
    </row>
    <row r="329" spans="1:8">
      <c r="A329" s="110">
        <v>328</v>
      </c>
      <c r="B329" s="110" t="s">
        <v>1304</v>
      </c>
      <c r="C329" s="111">
        <v>0</v>
      </c>
      <c r="D329" s="111">
        <v>1</v>
      </c>
      <c r="E329" s="111">
        <v>1</v>
      </c>
      <c r="F329" s="111">
        <v>0</v>
      </c>
      <c r="G329" s="111">
        <v>0</v>
      </c>
      <c r="H329" s="112">
        <f t="shared" ca="1" si="5"/>
        <v>0</v>
      </c>
    </row>
    <row r="330" spans="1:8">
      <c r="A330" s="110">
        <v>329</v>
      </c>
      <c r="B330" s="110" t="s">
        <v>1306</v>
      </c>
      <c r="C330" s="111">
        <v>1</v>
      </c>
      <c r="D330" s="111">
        <v>1</v>
      </c>
      <c r="E330" s="111">
        <v>1</v>
      </c>
      <c r="F330" s="111">
        <v>0</v>
      </c>
      <c r="G330" s="111">
        <v>1</v>
      </c>
      <c r="H330" s="112">
        <f t="shared" ca="1" si="5"/>
        <v>0</v>
      </c>
    </row>
    <row r="331" spans="1:8">
      <c r="A331" s="110">
        <v>330</v>
      </c>
      <c r="B331" s="110" t="s">
        <v>1309</v>
      </c>
      <c r="C331" s="111">
        <v>0</v>
      </c>
      <c r="D331" s="111">
        <v>0</v>
      </c>
      <c r="E331" s="111">
        <v>1</v>
      </c>
      <c r="F331" s="111">
        <v>0</v>
      </c>
      <c r="G331" s="111">
        <v>0</v>
      </c>
      <c r="H331" s="112">
        <f t="shared" ca="1" si="5"/>
        <v>0</v>
      </c>
    </row>
    <row r="332" spans="1:8">
      <c r="A332" s="110">
        <v>331</v>
      </c>
      <c r="B332" s="110" t="s">
        <v>1312</v>
      </c>
      <c r="C332" s="111">
        <v>0</v>
      </c>
      <c r="D332" s="111">
        <v>1</v>
      </c>
      <c r="E332" s="111">
        <v>0</v>
      </c>
      <c r="F332" s="111">
        <v>1</v>
      </c>
      <c r="G332" s="111">
        <v>0</v>
      </c>
      <c r="H332" s="112">
        <f t="shared" ca="1" si="5"/>
        <v>1</v>
      </c>
    </row>
    <row r="333" spans="1:8">
      <c r="A333" s="110">
        <v>332</v>
      </c>
      <c r="B333" s="110" t="s">
        <v>1315</v>
      </c>
      <c r="C333" s="111">
        <v>0</v>
      </c>
      <c r="D333" s="111">
        <v>1</v>
      </c>
      <c r="E333" s="111">
        <v>0</v>
      </c>
      <c r="F333" s="111">
        <v>1</v>
      </c>
      <c r="G333" s="111">
        <v>1</v>
      </c>
      <c r="H333" s="112">
        <f t="shared" ca="1" si="5"/>
        <v>0</v>
      </c>
    </row>
    <row r="334" spans="1:8">
      <c r="A334" s="110">
        <v>333</v>
      </c>
      <c r="B334" s="110" t="s">
        <v>1317</v>
      </c>
      <c r="C334" s="111">
        <v>0</v>
      </c>
      <c r="D334" s="111">
        <v>1</v>
      </c>
      <c r="E334" s="111">
        <v>0</v>
      </c>
      <c r="F334" s="111">
        <v>1</v>
      </c>
      <c r="G334" s="111">
        <v>1</v>
      </c>
      <c r="H334" s="112">
        <f t="shared" ca="1" si="5"/>
        <v>1</v>
      </c>
    </row>
    <row r="335" spans="1:8">
      <c r="A335" s="110">
        <v>334</v>
      </c>
      <c r="B335" s="110" t="s">
        <v>1320</v>
      </c>
      <c r="C335" s="111">
        <v>0</v>
      </c>
      <c r="D335" s="111">
        <v>0</v>
      </c>
      <c r="E335" s="111">
        <v>0</v>
      </c>
      <c r="F335" s="111">
        <v>0</v>
      </c>
      <c r="G335" s="111">
        <v>1</v>
      </c>
      <c r="H335" s="112">
        <f t="shared" ca="1" si="5"/>
        <v>1</v>
      </c>
    </row>
    <row r="336" spans="1:8">
      <c r="A336" s="110">
        <v>335</v>
      </c>
      <c r="B336" s="110" t="s">
        <v>1323</v>
      </c>
      <c r="C336" s="111">
        <v>0</v>
      </c>
      <c r="D336" s="111">
        <v>0</v>
      </c>
      <c r="E336" s="111">
        <v>0</v>
      </c>
      <c r="F336" s="111">
        <v>1</v>
      </c>
      <c r="G336" s="111">
        <v>1</v>
      </c>
      <c r="H336" s="112">
        <f t="shared" ca="1" si="5"/>
        <v>0</v>
      </c>
    </row>
    <row r="337" spans="1:8">
      <c r="A337" s="110">
        <v>336</v>
      </c>
      <c r="B337" s="110" t="s">
        <v>1326</v>
      </c>
      <c r="C337" s="111">
        <v>1</v>
      </c>
      <c r="D337" s="111">
        <v>0</v>
      </c>
      <c r="E337" s="111">
        <v>0</v>
      </c>
      <c r="F337" s="111">
        <v>0</v>
      </c>
      <c r="G337" s="111">
        <v>1</v>
      </c>
      <c r="H337" s="112">
        <f t="shared" ca="1" si="5"/>
        <v>0</v>
      </c>
    </row>
    <row r="338" spans="1:8">
      <c r="A338" s="110">
        <v>337</v>
      </c>
      <c r="B338" s="110" t="s">
        <v>1329</v>
      </c>
      <c r="C338" s="111">
        <v>0</v>
      </c>
      <c r="D338" s="111">
        <v>0</v>
      </c>
      <c r="E338" s="111">
        <v>1</v>
      </c>
      <c r="F338" s="111">
        <v>0</v>
      </c>
      <c r="G338" s="111">
        <v>0</v>
      </c>
      <c r="H338" s="112">
        <f t="shared" ca="1" si="5"/>
        <v>0</v>
      </c>
    </row>
    <row r="339" spans="1:8">
      <c r="A339" s="110">
        <v>338</v>
      </c>
      <c r="B339" s="110" t="s">
        <v>1332</v>
      </c>
      <c r="C339" s="111">
        <v>1</v>
      </c>
      <c r="D339" s="111">
        <v>0</v>
      </c>
      <c r="E339" s="111">
        <v>0</v>
      </c>
      <c r="F339" s="111">
        <v>1</v>
      </c>
      <c r="G339" s="111">
        <v>1</v>
      </c>
      <c r="H339" s="112">
        <f t="shared" ca="1" si="5"/>
        <v>1</v>
      </c>
    </row>
    <row r="340" spans="1:8">
      <c r="A340" s="110">
        <v>339</v>
      </c>
      <c r="B340" s="110" t="s">
        <v>1335</v>
      </c>
      <c r="C340" s="111">
        <v>1</v>
      </c>
      <c r="D340" s="111">
        <v>0</v>
      </c>
      <c r="E340" s="111">
        <v>0</v>
      </c>
      <c r="F340" s="111">
        <v>1</v>
      </c>
      <c r="G340" s="111">
        <v>1</v>
      </c>
      <c r="H340" s="112">
        <f t="shared" ca="1" si="5"/>
        <v>1</v>
      </c>
    </row>
    <row r="341" spans="1:8">
      <c r="A341" s="110">
        <v>340</v>
      </c>
      <c r="B341" s="110" t="s">
        <v>1337</v>
      </c>
      <c r="C341" s="111">
        <v>0</v>
      </c>
      <c r="D341" s="111">
        <v>0</v>
      </c>
      <c r="E341" s="111">
        <v>0</v>
      </c>
      <c r="F341" s="111">
        <v>0</v>
      </c>
      <c r="G341" s="111">
        <v>0</v>
      </c>
      <c r="H341" s="112">
        <f t="shared" ca="1" si="5"/>
        <v>1</v>
      </c>
    </row>
    <row r="342" spans="1:8">
      <c r="A342" s="110">
        <v>341</v>
      </c>
      <c r="B342" s="110" t="s">
        <v>1340</v>
      </c>
      <c r="C342" s="111">
        <v>0</v>
      </c>
      <c r="D342" s="111">
        <v>0</v>
      </c>
      <c r="E342" s="111">
        <v>0</v>
      </c>
      <c r="F342" s="111">
        <v>0</v>
      </c>
      <c r="G342" s="111">
        <v>0</v>
      </c>
      <c r="H342" s="112">
        <f t="shared" ca="1" si="5"/>
        <v>0</v>
      </c>
    </row>
    <row r="343" spans="1:8">
      <c r="A343" s="110">
        <v>342</v>
      </c>
      <c r="B343" s="110" t="s">
        <v>1344</v>
      </c>
      <c r="C343" s="111">
        <v>0</v>
      </c>
      <c r="D343" s="111">
        <v>1</v>
      </c>
      <c r="E343" s="111">
        <v>1</v>
      </c>
      <c r="F343" s="111">
        <v>1</v>
      </c>
      <c r="G343" s="111">
        <v>1</v>
      </c>
      <c r="H343" s="112">
        <f t="shared" ca="1" si="5"/>
        <v>1</v>
      </c>
    </row>
    <row r="344" spans="1:8">
      <c r="A344" s="110">
        <v>343</v>
      </c>
      <c r="B344" s="110" t="s">
        <v>1349</v>
      </c>
      <c r="C344" s="111">
        <v>0</v>
      </c>
      <c r="D344" s="111">
        <v>0</v>
      </c>
      <c r="E344" s="111">
        <v>1</v>
      </c>
      <c r="F344" s="111">
        <v>1</v>
      </c>
      <c r="G344" s="111">
        <v>0</v>
      </c>
      <c r="H344" s="112">
        <f t="shared" ca="1" si="5"/>
        <v>0</v>
      </c>
    </row>
    <row r="345" spans="1:8">
      <c r="A345" s="110">
        <v>344</v>
      </c>
      <c r="B345" s="110" t="s">
        <v>1352</v>
      </c>
      <c r="C345" s="111">
        <v>0</v>
      </c>
      <c r="D345" s="111">
        <v>0</v>
      </c>
      <c r="E345" s="111">
        <v>1</v>
      </c>
      <c r="F345" s="111">
        <v>0</v>
      </c>
      <c r="G345" s="111">
        <v>1</v>
      </c>
      <c r="H345" s="112">
        <f t="shared" ca="1" si="5"/>
        <v>0</v>
      </c>
    </row>
    <row r="346" spans="1:8">
      <c r="A346" s="110">
        <v>345</v>
      </c>
      <c r="B346" s="110" t="s">
        <v>1355</v>
      </c>
      <c r="C346" s="111">
        <v>1</v>
      </c>
      <c r="D346" s="111">
        <v>0</v>
      </c>
      <c r="E346" s="111">
        <v>1</v>
      </c>
      <c r="F346" s="111">
        <v>0</v>
      </c>
      <c r="G346" s="111">
        <v>0</v>
      </c>
      <c r="H346" s="112">
        <f t="shared" ca="1" si="5"/>
        <v>1</v>
      </c>
    </row>
    <row r="347" spans="1:8">
      <c r="A347" s="110">
        <v>346</v>
      </c>
      <c r="B347" s="110" t="s">
        <v>1358</v>
      </c>
      <c r="C347" s="111">
        <v>0</v>
      </c>
      <c r="D347" s="111">
        <v>1</v>
      </c>
      <c r="E347" s="111">
        <v>1</v>
      </c>
      <c r="F347" s="111">
        <v>0</v>
      </c>
      <c r="G347" s="111">
        <v>1</v>
      </c>
      <c r="H347" s="112">
        <f t="shared" ca="1" si="5"/>
        <v>0</v>
      </c>
    </row>
    <row r="348" spans="1:8">
      <c r="A348" s="110">
        <v>347</v>
      </c>
      <c r="B348" s="110" t="s">
        <v>1360</v>
      </c>
      <c r="C348" s="111">
        <v>1</v>
      </c>
      <c r="D348" s="111">
        <v>1</v>
      </c>
      <c r="E348" s="111">
        <v>1</v>
      </c>
      <c r="F348" s="111">
        <v>0</v>
      </c>
      <c r="G348" s="111">
        <v>1</v>
      </c>
      <c r="H348" s="112">
        <f t="shared" ca="1" si="5"/>
        <v>0</v>
      </c>
    </row>
    <row r="349" spans="1:8">
      <c r="A349" s="110">
        <v>348</v>
      </c>
      <c r="B349" s="110" t="s">
        <v>1363</v>
      </c>
      <c r="C349" s="111">
        <v>0</v>
      </c>
      <c r="D349" s="111">
        <v>0</v>
      </c>
      <c r="E349" s="111">
        <v>1</v>
      </c>
      <c r="F349" s="111">
        <v>1</v>
      </c>
      <c r="G349" s="111">
        <v>1</v>
      </c>
      <c r="H349" s="112">
        <f t="shared" ca="1" si="5"/>
        <v>0</v>
      </c>
    </row>
    <row r="350" spans="1:8">
      <c r="A350" s="110">
        <v>349</v>
      </c>
      <c r="B350" s="110" t="s">
        <v>1366</v>
      </c>
      <c r="C350" s="111">
        <v>1</v>
      </c>
      <c r="D350" s="111">
        <v>1</v>
      </c>
      <c r="E350" s="111">
        <v>1</v>
      </c>
      <c r="F350" s="111">
        <v>0</v>
      </c>
      <c r="G350" s="111">
        <v>0</v>
      </c>
      <c r="H350" s="112">
        <f t="shared" ca="1" si="5"/>
        <v>0</v>
      </c>
    </row>
    <row r="351" spans="1:8">
      <c r="A351" s="110">
        <v>350</v>
      </c>
      <c r="B351" s="110" t="s">
        <v>1369</v>
      </c>
      <c r="C351" s="111">
        <v>1</v>
      </c>
      <c r="D351" s="111">
        <v>0</v>
      </c>
      <c r="E351" s="111">
        <v>0</v>
      </c>
      <c r="F351" s="111">
        <v>1</v>
      </c>
      <c r="G351" s="111">
        <v>1</v>
      </c>
      <c r="H351" s="112">
        <f t="shared" ca="1" si="5"/>
        <v>0</v>
      </c>
    </row>
    <row r="352" spans="1:8">
      <c r="A352" s="110">
        <v>351</v>
      </c>
      <c r="B352" s="110" t="s">
        <v>1374</v>
      </c>
      <c r="C352" s="111">
        <v>1</v>
      </c>
      <c r="D352" s="111">
        <v>1</v>
      </c>
      <c r="E352" s="111">
        <v>1</v>
      </c>
      <c r="F352" s="111">
        <v>1</v>
      </c>
      <c r="G352" s="111">
        <v>0</v>
      </c>
      <c r="H352" s="112">
        <f t="shared" ca="1" si="5"/>
        <v>1</v>
      </c>
    </row>
    <row r="353" spans="1:8">
      <c r="A353" s="110">
        <v>352</v>
      </c>
      <c r="B353" s="110" t="s">
        <v>1377</v>
      </c>
      <c r="C353" s="111">
        <v>1</v>
      </c>
      <c r="D353" s="111">
        <v>0</v>
      </c>
      <c r="E353" s="111">
        <v>0</v>
      </c>
      <c r="F353" s="111">
        <v>1</v>
      </c>
      <c r="G353" s="111">
        <v>0</v>
      </c>
      <c r="H353" s="112">
        <f t="shared" ca="1" si="5"/>
        <v>0</v>
      </c>
    </row>
    <row r="354" spans="1:8">
      <c r="A354" s="110">
        <v>353</v>
      </c>
      <c r="B354" s="110" t="s">
        <v>1380</v>
      </c>
      <c r="C354" s="111">
        <v>1</v>
      </c>
      <c r="D354" s="111">
        <v>0</v>
      </c>
      <c r="E354" s="111">
        <v>0</v>
      </c>
      <c r="F354" s="111">
        <v>0</v>
      </c>
      <c r="G354" s="111">
        <v>1</v>
      </c>
      <c r="H354" s="112">
        <f t="shared" ca="1" si="5"/>
        <v>0</v>
      </c>
    </row>
    <row r="355" spans="1:8">
      <c r="A355" s="110">
        <v>354</v>
      </c>
      <c r="B355" s="110" t="s">
        <v>1382</v>
      </c>
      <c r="C355" s="111">
        <v>0</v>
      </c>
      <c r="D355" s="111">
        <v>1</v>
      </c>
      <c r="E355" s="111">
        <v>1</v>
      </c>
      <c r="F355" s="111">
        <v>1</v>
      </c>
      <c r="G355" s="111">
        <v>0</v>
      </c>
      <c r="H355" s="112">
        <f t="shared" ca="1" si="5"/>
        <v>1</v>
      </c>
    </row>
    <row r="356" spans="1:8">
      <c r="A356" s="110">
        <v>355</v>
      </c>
      <c r="B356" s="110" t="s">
        <v>1386</v>
      </c>
      <c r="C356" s="111">
        <v>1</v>
      </c>
      <c r="D356" s="111">
        <v>0</v>
      </c>
      <c r="E356" s="111">
        <v>0</v>
      </c>
      <c r="F356" s="111">
        <v>1</v>
      </c>
      <c r="G356" s="111">
        <v>1</v>
      </c>
      <c r="H356" s="112">
        <f t="shared" ca="1" si="5"/>
        <v>0</v>
      </c>
    </row>
    <row r="357" spans="1:8">
      <c r="A357" s="110">
        <v>356</v>
      </c>
      <c r="B357" s="110" t="s">
        <v>1389</v>
      </c>
      <c r="C357" s="111">
        <v>1</v>
      </c>
      <c r="D357" s="111">
        <v>1</v>
      </c>
      <c r="E357" s="111">
        <v>0</v>
      </c>
      <c r="F357" s="111">
        <v>0</v>
      </c>
      <c r="G357" s="111">
        <v>0</v>
      </c>
      <c r="H357" s="112">
        <f t="shared" ca="1" si="5"/>
        <v>0</v>
      </c>
    </row>
    <row r="358" spans="1:8">
      <c r="A358" s="110">
        <v>357</v>
      </c>
      <c r="B358" s="110" t="s">
        <v>1392</v>
      </c>
      <c r="C358" s="111">
        <v>0</v>
      </c>
      <c r="D358" s="111">
        <v>1</v>
      </c>
      <c r="E358" s="111">
        <v>0</v>
      </c>
      <c r="F358" s="111">
        <v>0</v>
      </c>
      <c r="G358" s="111">
        <v>0</v>
      </c>
      <c r="H358" s="112">
        <f t="shared" ca="1" si="5"/>
        <v>0</v>
      </c>
    </row>
    <row r="359" spans="1:8">
      <c r="A359" s="110">
        <v>358</v>
      </c>
      <c r="B359" s="110" t="s">
        <v>1395</v>
      </c>
      <c r="C359" s="111">
        <v>1</v>
      </c>
      <c r="D359" s="111">
        <v>1</v>
      </c>
      <c r="E359" s="111">
        <v>1</v>
      </c>
      <c r="F359" s="111">
        <v>1</v>
      </c>
      <c r="G359" s="111">
        <v>1</v>
      </c>
      <c r="H359" s="112">
        <f t="shared" ca="1" si="5"/>
        <v>1</v>
      </c>
    </row>
    <row r="360" spans="1:8">
      <c r="A360" s="110">
        <v>359</v>
      </c>
      <c r="B360" s="110" t="s">
        <v>1397</v>
      </c>
      <c r="C360" s="111">
        <v>1</v>
      </c>
      <c r="D360" s="111">
        <v>1</v>
      </c>
      <c r="E360" s="111">
        <v>0</v>
      </c>
      <c r="F360" s="111">
        <v>1</v>
      </c>
      <c r="G360" s="111">
        <v>1</v>
      </c>
      <c r="H360" s="112">
        <f t="shared" ca="1" si="5"/>
        <v>1</v>
      </c>
    </row>
    <row r="361" spans="1:8">
      <c r="A361" s="110">
        <v>360</v>
      </c>
      <c r="B361" s="110" t="s">
        <v>1399</v>
      </c>
      <c r="C361" s="111">
        <v>0</v>
      </c>
      <c r="D361" s="111">
        <v>0</v>
      </c>
      <c r="E361" s="111">
        <v>1</v>
      </c>
      <c r="F361" s="111">
        <v>1</v>
      </c>
      <c r="G361" s="111">
        <v>0</v>
      </c>
      <c r="H361" s="112">
        <f t="shared" ca="1" si="5"/>
        <v>0</v>
      </c>
    </row>
    <row r="362" spans="1:8">
      <c r="A362" s="110">
        <v>361</v>
      </c>
      <c r="B362" s="110" t="s">
        <v>1403</v>
      </c>
      <c r="C362" s="111">
        <v>0</v>
      </c>
      <c r="D362" s="111">
        <v>1</v>
      </c>
      <c r="E362" s="111">
        <v>0</v>
      </c>
      <c r="F362" s="111">
        <v>1</v>
      </c>
      <c r="G362" s="111">
        <v>1</v>
      </c>
      <c r="H362" s="112">
        <f t="shared" ca="1" si="5"/>
        <v>1</v>
      </c>
    </row>
    <row r="363" spans="1:8">
      <c r="A363" s="110">
        <v>362</v>
      </c>
      <c r="B363" s="110" t="s">
        <v>1405</v>
      </c>
      <c r="C363" s="111">
        <v>1</v>
      </c>
      <c r="D363" s="111">
        <v>0</v>
      </c>
      <c r="E363" s="111">
        <v>0</v>
      </c>
      <c r="F363" s="111">
        <v>0</v>
      </c>
      <c r="G363" s="111">
        <v>0</v>
      </c>
      <c r="H363" s="112">
        <f t="shared" ca="1" si="5"/>
        <v>0</v>
      </c>
    </row>
    <row r="364" spans="1:8">
      <c r="A364" s="110">
        <v>363</v>
      </c>
      <c r="B364" s="110" t="s">
        <v>1407</v>
      </c>
      <c r="C364" s="111">
        <v>0</v>
      </c>
      <c r="D364" s="111">
        <v>0</v>
      </c>
      <c r="E364" s="111">
        <v>0</v>
      </c>
      <c r="F364" s="111">
        <v>0</v>
      </c>
      <c r="G364" s="111">
        <v>0</v>
      </c>
      <c r="H364" s="112">
        <f t="shared" ca="1" si="5"/>
        <v>0</v>
      </c>
    </row>
    <row r="365" spans="1:8">
      <c r="A365" s="110">
        <v>364</v>
      </c>
      <c r="B365" s="110" t="s">
        <v>1409</v>
      </c>
      <c r="C365" s="111">
        <v>0</v>
      </c>
      <c r="D365" s="111">
        <v>0</v>
      </c>
      <c r="E365" s="111">
        <v>0</v>
      </c>
      <c r="F365" s="111">
        <v>0</v>
      </c>
      <c r="G365" s="111">
        <v>0</v>
      </c>
      <c r="H365" s="112">
        <f t="shared" ca="1" si="5"/>
        <v>0</v>
      </c>
    </row>
    <row r="366" spans="1:8">
      <c r="A366" s="110">
        <v>365</v>
      </c>
      <c r="B366" s="110" t="s">
        <v>1412</v>
      </c>
      <c r="C366" s="111">
        <v>1</v>
      </c>
      <c r="D366" s="111">
        <v>0</v>
      </c>
      <c r="E366" s="111">
        <v>0</v>
      </c>
      <c r="F366" s="111">
        <v>1</v>
      </c>
      <c r="G366" s="111">
        <v>0</v>
      </c>
      <c r="H366" s="112">
        <f t="shared" ca="1" si="5"/>
        <v>1</v>
      </c>
    </row>
    <row r="367" spans="1:8">
      <c r="A367" s="110">
        <v>366</v>
      </c>
      <c r="B367" s="110" t="s">
        <v>1415</v>
      </c>
      <c r="C367" s="111">
        <v>0</v>
      </c>
      <c r="D367" s="111">
        <v>1</v>
      </c>
      <c r="E367" s="111">
        <v>0</v>
      </c>
      <c r="F367" s="111">
        <v>1</v>
      </c>
      <c r="G367" s="111">
        <v>0</v>
      </c>
      <c r="H367" s="112">
        <f t="shared" ca="1" si="5"/>
        <v>0</v>
      </c>
    </row>
    <row r="368" spans="1:8">
      <c r="A368" s="110">
        <v>367</v>
      </c>
      <c r="B368" s="110" t="s">
        <v>1418</v>
      </c>
      <c r="C368" s="111">
        <v>0</v>
      </c>
      <c r="D368" s="111">
        <v>0</v>
      </c>
      <c r="E368" s="111">
        <v>0</v>
      </c>
      <c r="F368" s="111">
        <v>0</v>
      </c>
      <c r="G368" s="111">
        <v>0</v>
      </c>
      <c r="H368" s="112">
        <f t="shared" ca="1" si="5"/>
        <v>0</v>
      </c>
    </row>
    <row r="369" spans="1:8">
      <c r="A369" s="110">
        <v>368</v>
      </c>
      <c r="B369" s="110" t="s">
        <v>1421</v>
      </c>
      <c r="C369" s="111">
        <v>1</v>
      </c>
      <c r="D369" s="111">
        <v>0</v>
      </c>
      <c r="E369" s="111">
        <v>0</v>
      </c>
      <c r="F369" s="111">
        <v>1</v>
      </c>
      <c r="G369" s="111">
        <v>0</v>
      </c>
      <c r="H369" s="112">
        <f t="shared" ca="1" si="5"/>
        <v>0</v>
      </c>
    </row>
    <row r="370" spans="1:8">
      <c r="A370" s="110">
        <v>369</v>
      </c>
      <c r="B370" s="110" t="s">
        <v>1424</v>
      </c>
      <c r="C370" s="111">
        <v>1</v>
      </c>
      <c r="D370" s="111">
        <v>0</v>
      </c>
      <c r="E370" s="111">
        <v>1</v>
      </c>
      <c r="F370" s="111">
        <v>0</v>
      </c>
      <c r="G370" s="111">
        <v>0</v>
      </c>
      <c r="H370" s="112">
        <f t="shared" ca="1" si="5"/>
        <v>0</v>
      </c>
    </row>
    <row r="371" spans="1:8">
      <c r="A371" s="110">
        <v>370</v>
      </c>
      <c r="B371" s="110" t="s">
        <v>1426</v>
      </c>
      <c r="C371" s="111">
        <v>1</v>
      </c>
      <c r="D371" s="111">
        <v>1</v>
      </c>
      <c r="E371" s="111">
        <v>1</v>
      </c>
      <c r="F371" s="111">
        <v>1</v>
      </c>
      <c r="G371" s="111">
        <v>1</v>
      </c>
      <c r="H371" s="112">
        <f t="shared" ca="1" si="5"/>
        <v>1</v>
      </c>
    </row>
    <row r="372" spans="1:8">
      <c r="A372" s="110">
        <v>371</v>
      </c>
      <c r="B372" s="110" t="s">
        <v>1429</v>
      </c>
      <c r="C372" s="111">
        <v>1</v>
      </c>
      <c r="D372" s="111">
        <v>0</v>
      </c>
      <c r="E372" s="111">
        <v>1</v>
      </c>
      <c r="F372" s="111">
        <v>1</v>
      </c>
      <c r="G372" s="111">
        <v>1</v>
      </c>
      <c r="H372" s="112">
        <f t="shared" ca="1" si="5"/>
        <v>0</v>
      </c>
    </row>
    <row r="373" spans="1:8">
      <c r="A373" s="110">
        <v>372</v>
      </c>
      <c r="B373" s="110" t="s">
        <v>1432</v>
      </c>
      <c r="C373" s="111">
        <v>0</v>
      </c>
      <c r="D373" s="111">
        <v>1</v>
      </c>
      <c r="E373" s="111">
        <v>0</v>
      </c>
      <c r="F373" s="111">
        <v>1</v>
      </c>
      <c r="G373" s="111">
        <v>0</v>
      </c>
      <c r="H373" s="112">
        <f t="shared" ca="1" si="5"/>
        <v>1</v>
      </c>
    </row>
    <row r="374" spans="1:8">
      <c r="A374" s="110">
        <v>373</v>
      </c>
      <c r="B374" s="110" t="s">
        <v>1434</v>
      </c>
      <c r="C374" s="111">
        <v>0</v>
      </c>
      <c r="D374" s="111">
        <v>0</v>
      </c>
      <c r="E374" s="111">
        <v>1</v>
      </c>
      <c r="F374" s="111">
        <v>0</v>
      </c>
      <c r="G374" s="111">
        <v>0</v>
      </c>
      <c r="H374" s="112">
        <f t="shared" ca="1" si="5"/>
        <v>0</v>
      </c>
    </row>
    <row r="375" spans="1:8">
      <c r="A375" s="110">
        <v>374</v>
      </c>
      <c r="B375" s="110" t="s">
        <v>1437</v>
      </c>
      <c r="C375" s="111">
        <v>1</v>
      </c>
      <c r="D375" s="111">
        <v>1</v>
      </c>
      <c r="E375" s="111">
        <v>1</v>
      </c>
      <c r="F375" s="111">
        <v>0</v>
      </c>
      <c r="G375" s="111">
        <v>1</v>
      </c>
      <c r="H375" s="112">
        <f t="shared" ca="1" si="5"/>
        <v>1</v>
      </c>
    </row>
    <row r="376" spans="1:8">
      <c r="A376" s="110">
        <v>375</v>
      </c>
      <c r="B376" s="110" t="s">
        <v>1440</v>
      </c>
      <c r="C376" s="111">
        <v>0</v>
      </c>
      <c r="D376" s="111">
        <v>0</v>
      </c>
      <c r="E376" s="111">
        <v>0</v>
      </c>
      <c r="F376" s="111">
        <v>1</v>
      </c>
      <c r="G376" s="111">
        <v>1</v>
      </c>
      <c r="H376" s="112">
        <f t="shared" ca="1" si="5"/>
        <v>0</v>
      </c>
    </row>
    <row r="377" spans="1:8">
      <c r="A377" s="110">
        <v>376</v>
      </c>
      <c r="B377" s="110" t="s">
        <v>1443</v>
      </c>
      <c r="C377" s="111">
        <v>0</v>
      </c>
      <c r="D377" s="111">
        <v>0</v>
      </c>
      <c r="E377" s="111">
        <v>1</v>
      </c>
      <c r="F377" s="111">
        <v>0</v>
      </c>
      <c r="G377" s="111">
        <v>1</v>
      </c>
      <c r="H377" s="112">
        <f t="shared" ca="1" si="5"/>
        <v>0</v>
      </c>
    </row>
    <row r="378" spans="1:8">
      <c r="A378" s="110">
        <v>377</v>
      </c>
      <c r="B378" s="110" t="s">
        <v>1445</v>
      </c>
      <c r="C378" s="111">
        <v>1</v>
      </c>
      <c r="D378" s="111">
        <v>0</v>
      </c>
      <c r="E378" s="111">
        <v>1</v>
      </c>
      <c r="F378" s="111">
        <v>1</v>
      </c>
      <c r="G378" s="111">
        <v>0</v>
      </c>
      <c r="H378" s="112">
        <f t="shared" ca="1" si="5"/>
        <v>0</v>
      </c>
    </row>
    <row r="379" spans="1:8">
      <c r="A379" s="110">
        <v>378</v>
      </c>
      <c r="B379" s="110" t="s">
        <v>1448</v>
      </c>
      <c r="C379" s="111">
        <v>0</v>
      </c>
      <c r="D379" s="111">
        <v>1</v>
      </c>
      <c r="E379" s="111">
        <v>1</v>
      </c>
      <c r="F379" s="111">
        <v>0</v>
      </c>
      <c r="G379" s="111">
        <v>0</v>
      </c>
      <c r="H379" s="112">
        <f t="shared" ca="1" si="5"/>
        <v>0</v>
      </c>
    </row>
    <row r="380" spans="1:8">
      <c r="A380" s="110">
        <v>379</v>
      </c>
      <c r="B380" s="110" t="s">
        <v>1451</v>
      </c>
      <c r="C380" s="111">
        <v>0</v>
      </c>
      <c r="D380" s="111">
        <v>0</v>
      </c>
      <c r="E380" s="111">
        <v>1</v>
      </c>
      <c r="F380" s="111">
        <v>0</v>
      </c>
      <c r="G380" s="111">
        <v>0</v>
      </c>
      <c r="H380" s="112">
        <f t="shared" ca="1" si="5"/>
        <v>1</v>
      </c>
    </row>
    <row r="381" spans="1:8">
      <c r="A381" s="110">
        <v>380</v>
      </c>
      <c r="B381" s="110" t="s">
        <v>1453</v>
      </c>
      <c r="C381" s="111">
        <v>0</v>
      </c>
      <c r="D381" s="111">
        <v>0</v>
      </c>
      <c r="E381" s="111">
        <v>0</v>
      </c>
      <c r="F381" s="111">
        <v>1</v>
      </c>
      <c r="G381" s="111">
        <v>0</v>
      </c>
      <c r="H381" s="112">
        <f t="shared" ca="1" si="5"/>
        <v>0</v>
      </c>
    </row>
    <row r="382" spans="1:8">
      <c r="A382" s="110">
        <v>381</v>
      </c>
      <c r="B382" s="110" t="s">
        <v>1456</v>
      </c>
      <c r="C382" s="111">
        <v>1</v>
      </c>
      <c r="D382" s="111">
        <v>0</v>
      </c>
      <c r="E382" s="111">
        <v>0</v>
      </c>
      <c r="F382" s="111">
        <v>1</v>
      </c>
      <c r="G382" s="111">
        <v>1</v>
      </c>
      <c r="H382" s="112">
        <f t="shared" ca="1" si="5"/>
        <v>1</v>
      </c>
    </row>
    <row r="383" spans="1:8">
      <c r="A383" s="110">
        <v>382</v>
      </c>
      <c r="B383" s="110" t="s">
        <v>1458</v>
      </c>
      <c r="C383" s="111">
        <v>0</v>
      </c>
      <c r="D383" s="111">
        <v>1</v>
      </c>
      <c r="E383" s="111">
        <v>0</v>
      </c>
      <c r="F383" s="111">
        <v>1</v>
      </c>
      <c r="G383" s="111">
        <v>1</v>
      </c>
      <c r="H383" s="112">
        <f t="shared" ca="1" si="5"/>
        <v>1</v>
      </c>
    </row>
    <row r="384" spans="1:8">
      <c r="A384" s="110">
        <v>383</v>
      </c>
      <c r="B384" s="110" t="s">
        <v>1460</v>
      </c>
      <c r="C384" s="111">
        <v>0</v>
      </c>
      <c r="D384" s="111">
        <v>1</v>
      </c>
      <c r="E384" s="111">
        <v>1</v>
      </c>
      <c r="F384" s="111">
        <v>1</v>
      </c>
      <c r="G384" s="111">
        <v>1</v>
      </c>
      <c r="H384" s="112">
        <f t="shared" ca="1" si="5"/>
        <v>1</v>
      </c>
    </row>
    <row r="385" spans="1:8">
      <c r="A385" s="110">
        <v>384</v>
      </c>
      <c r="B385" s="110" t="s">
        <v>1462</v>
      </c>
      <c r="C385" s="111">
        <v>1</v>
      </c>
      <c r="D385" s="111">
        <v>1</v>
      </c>
      <c r="E385" s="111">
        <v>0</v>
      </c>
      <c r="F385" s="111">
        <v>1</v>
      </c>
      <c r="G385" s="111">
        <v>1</v>
      </c>
      <c r="H385" s="112">
        <f t="shared" ca="1" si="5"/>
        <v>0</v>
      </c>
    </row>
    <row r="386" spans="1:8">
      <c r="A386" s="110">
        <v>385</v>
      </c>
      <c r="B386" s="110" t="s">
        <v>1464</v>
      </c>
      <c r="C386" s="111">
        <v>1</v>
      </c>
      <c r="D386" s="111">
        <v>1</v>
      </c>
      <c r="E386" s="111">
        <v>1</v>
      </c>
      <c r="F386" s="111">
        <v>0</v>
      </c>
      <c r="G386" s="111">
        <v>0</v>
      </c>
      <c r="H386" s="112">
        <f t="shared" ca="1" si="5"/>
        <v>1</v>
      </c>
    </row>
    <row r="387" spans="1:8">
      <c r="A387" s="110">
        <v>386</v>
      </c>
      <c r="B387" s="110" t="s">
        <v>1466</v>
      </c>
      <c r="C387" s="111">
        <v>1</v>
      </c>
      <c r="D387" s="111">
        <v>1</v>
      </c>
      <c r="E387" s="111">
        <v>0</v>
      </c>
      <c r="F387" s="111">
        <v>0</v>
      </c>
      <c r="G387" s="111">
        <v>1</v>
      </c>
      <c r="H387" s="112">
        <f t="shared" ref="H387:H390" ca="1" si="6">IF(RAND()&lt;0.6,0,1)</f>
        <v>0</v>
      </c>
    </row>
    <row r="388" spans="1:8">
      <c r="A388" s="110">
        <v>387</v>
      </c>
      <c r="B388" s="110" t="s">
        <v>1469</v>
      </c>
      <c r="C388" s="111">
        <v>1</v>
      </c>
      <c r="D388" s="111">
        <v>1</v>
      </c>
      <c r="E388" s="111">
        <v>0</v>
      </c>
      <c r="F388" s="111">
        <v>0</v>
      </c>
      <c r="G388" s="111">
        <v>0</v>
      </c>
      <c r="H388" s="112">
        <f t="shared" ca="1" si="6"/>
        <v>1</v>
      </c>
    </row>
    <row r="389" spans="1:8">
      <c r="A389" s="110">
        <v>388</v>
      </c>
      <c r="B389" s="110" t="s">
        <v>1471</v>
      </c>
      <c r="C389" s="111">
        <v>0</v>
      </c>
      <c r="D389" s="111">
        <v>1</v>
      </c>
      <c r="E389" s="111">
        <v>1</v>
      </c>
      <c r="F389" s="111">
        <v>0</v>
      </c>
      <c r="G389" s="111">
        <v>1</v>
      </c>
      <c r="H389" s="112">
        <f t="shared" ca="1" si="6"/>
        <v>1</v>
      </c>
    </row>
    <row r="390" spans="1:8">
      <c r="A390" s="110">
        <v>389</v>
      </c>
      <c r="B390" s="110" t="s">
        <v>1475</v>
      </c>
      <c r="C390" s="111">
        <v>1</v>
      </c>
      <c r="D390" s="111">
        <v>0</v>
      </c>
      <c r="E390" s="111">
        <v>0</v>
      </c>
      <c r="F390" s="111">
        <v>1</v>
      </c>
      <c r="G390" s="111">
        <v>1</v>
      </c>
      <c r="H390" s="112">
        <f t="shared" ca="1" si="6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13CC-D880-4D28-A9C1-9022C8ABA978}">
  <dimension ref="A1:T35"/>
  <sheetViews>
    <sheetView workbookViewId="0">
      <pane xSplit="3" topLeftCell="E1" activePane="topRight" state="frozen"/>
      <selection pane="topRight" activeCell="C4" sqref="C4"/>
    </sheetView>
  </sheetViews>
  <sheetFormatPr defaultRowHeight="15"/>
  <cols>
    <col min="1" max="1" width="18.140625" style="54" bestFit="1" customWidth="1"/>
    <col min="2" max="2" width="13.140625" style="55" customWidth="1"/>
    <col min="3" max="3" width="38.85546875" style="59" customWidth="1"/>
    <col min="4" max="4" width="9.5703125" style="54" customWidth="1"/>
    <col min="5" max="6" width="10.5703125" style="54" bestFit="1" customWidth="1"/>
    <col min="7" max="7" width="9.5703125" style="54" bestFit="1" customWidth="1"/>
    <col min="8" max="8" width="9.140625" style="54"/>
    <col min="9" max="9" width="10.28515625" style="54" bestFit="1" customWidth="1"/>
    <col min="10" max="13" width="9.5703125" style="54" bestFit="1" customWidth="1"/>
    <col min="14" max="16384" width="9.140625" style="54"/>
  </cols>
  <sheetData>
    <row r="1" spans="1:20" ht="33" customHeight="1">
      <c r="A1" s="118"/>
      <c r="B1" s="118"/>
      <c r="C1" s="118"/>
      <c r="D1" s="119" t="s">
        <v>1484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s="98" customFormat="1" ht="15.75">
      <c r="A2" s="93" t="s">
        <v>68</v>
      </c>
      <c r="B2" s="94" t="s">
        <v>1485</v>
      </c>
      <c r="C2" s="95" t="s">
        <v>1486</v>
      </c>
      <c r="D2" s="96" t="s">
        <v>1487</v>
      </c>
      <c r="E2" s="96" t="s">
        <v>1488</v>
      </c>
      <c r="F2" s="96" t="s">
        <v>1489</v>
      </c>
      <c r="G2" s="96" t="s">
        <v>1490</v>
      </c>
      <c r="H2" s="96" t="s">
        <v>1491</v>
      </c>
      <c r="I2" s="96" t="s">
        <v>1492</v>
      </c>
      <c r="J2" s="96" t="s">
        <v>1493</v>
      </c>
      <c r="K2" s="96" t="s">
        <v>1494</v>
      </c>
      <c r="L2" s="96" t="s">
        <v>1495</v>
      </c>
      <c r="M2" s="96" t="s">
        <v>1496</v>
      </c>
      <c r="N2" s="96" t="s">
        <v>1497</v>
      </c>
      <c r="O2" s="96" t="s">
        <v>1498</v>
      </c>
      <c r="P2" s="96" t="s">
        <v>1499</v>
      </c>
      <c r="Q2" s="96" t="s">
        <v>1500</v>
      </c>
      <c r="R2" s="96" t="s">
        <v>1501</v>
      </c>
      <c r="S2" s="97" t="s">
        <v>1502</v>
      </c>
      <c r="T2" s="97" t="s">
        <v>1503</v>
      </c>
    </row>
    <row r="3" spans="1:20" ht="45.75">
      <c r="A3" s="54">
        <v>1</v>
      </c>
      <c r="B3" s="55">
        <f>COUNTIF(D3:T3,0)</f>
        <v>16</v>
      </c>
      <c r="C3" s="56" t="str" cm="1">
        <f t="array" ref="C3">_xlfn.TEXTJOIN(", ",TRUE,IF(D3:T3=0,TEXT(D$2:T$2,"dd/mm"),""))</f>
        <v>10/08, 11/08, 12/08, 13/08, 14/08, 18/08, 19/08, 20/08, 21/08, 24/08, 25/08, 26/08, 27/08, 28/08, 03/09, 04/09</v>
      </c>
      <c r="D3" s="57">
        <v>0</v>
      </c>
      <c r="E3" s="57">
        <v>0</v>
      </c>
      <c r="F3" s="57">
        <v>0</v>
      </c>
      <c r="G3" s="57">
        <v>0</v>
      </c>
      <c r="H3" s="57">
        <v>0</v>
      </c>
      <c r="I3" s="58">
        <v>12</v>
      </c>
      <c r="J3" s="58">
        <v>0</v>
      </c>
      <c r="K3" s="58">
        <v>0</v>
      </c>
      <c r="L3" s="58">
        <v>0</v>
      </c>
      <c r="M3" s="58">
        <v>0</v>
      </c>
      <c r="N3" s="57">
        <v>0</v>
      </c>
      <c r="O3" s="57">
        <v>0</v>
      </c>
      <c r="P3" s="57">
        <v>0</v>
      </c>
      <c r="Q3" s="91">
        <v>0</v>
      </c>
      <c r="R3" s="91">
        <v>0</v>
      </c>
      <c r="S3" s="92">
        <v>0</v>
      </c>
      <c r="T3" s="92">
        <v>0</v>
      </c>
    </row>
    <row r="4" spans="1:20" ht="45.75">
      <c r="A4" s="54">
        <v>2</v>
      </c>
      <c r="B4" s="55">
        <f t="shared" ref="B3:B35" si="0">COUNTIF(D4:T4,0)</f>
        <v>15</v>
      </c>
      <c r="C4" s="56" t="str" cm="1">
        <f t="array" ref="C4">_xlfn.TEXTJOIN(", ",TRUE,IF(D4:T4=0,TEXT(D$2:T$2,"dd/mm"),""))</f>
        <v>10/08, 11/08, 12/08, 13/08, 17/08, 18/08, 19/08, 20/08, 21/08, 24/08, 25/08, 26/08, 27/08, 03/09, 04/09</v>
      </c>
      <c r="D4" s="57">
        <v>0</v>
      </c>
      <c r="E4" s="57">
        <v>0</v>
      </c>
      <c r="F4" s="57">
        <v>0</v>
      </c>
      <c r="G4" s="57">
        <v>0</v>
      </c>
      <c r="H4" s="57">
        <v>8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7">
        <v>0</v>
      </c>
      <c r="O4" s="57">
        <v>0</v>
      </c>
      <c r="P4" s="57">
        <v>0</v>
      </c>
      <c r="Q4" s="91">
        <v>0</v>
      </c>
      <c r="R4" s="91">
        <v>8</v>
      </c>
      <c r="S4" s="92">
        <v>0</v>
      </c>
      <c r="T4" s="92">
        <v>0</v>
      </c>
    </row>
    <row r="5" spans="1:20" ht="45.75">
      <c r="A5" s="54">
        <v>3</v>
      </c>
      <c r="B5" s="55">
        <f t="shared" si="0"/>
        <v>16</v>
      </c>
      <c r="C5" s="56" t="str" cm="1">
        <f t="array" ref="C5">_xlfn.TEXTJOIN(", ",TRUE,IF(D5:T5=0,TEXT(D$2:T$2,"dd/mm"),""))</f>
        <v>10/08, 11/08, 12/08, 13/08, 14/08, 17/08, 18/08, 19/08, 20/08, 21/08, 24/08, 25/08, 27/08, 28/08, 03/09, 04/09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7">
        <v>0</v>
      </c>
      <c r="O5" s="57">
        <v>0</v>
      </c>
      <c r="P5" s="57">
        <v>8</v>
      </c>
      <c r="Q5" s="91">
        <v>0</v>
      </c>
      <c r="R5" s="91">
        <v>0</v>
      </c>
      <c r="S5" s="92">
        <v>0</v>
      </c>
      <c r="T5" s="92">
        <v>0</v>
      </c>
    </row>
    <row r="6" spans="1:20">
      <c r="A6" s="54">
        <v>4</v>
      </c>
      <c r="B6" s="55">
        <f t="shared" si="0"/>
        <v>3</v>
      </c>
      <c r="C6" s="56" t="str" cm="1">
        <f t="array" ref="C6">_xlfn.TEXTJOIN(", ",TRUE,IF(D6:T6=0,TEXT(D$2:T$2,"dd/mm"),""))</f>
        <v>17/08, 18/08, 03/09</v>
      </c>
      <c r="D6" s="57">
        <v>8</v>
      </c>
      <c r="E6" s="57">
        <v>8</v>
      </c>
      <c r="F6" s="57">
        <v>8</v>
      </c>
      <c r="G6" s="57">
        <v>8</v>
      </c>
      <c r="H6" s="57">
        <v>8</v>
      </c>
      <c r="I6" s="58">
        <v>0</v>
      </c>
      <c r="J6" s="58">
        <v>0</v>
      </c>
      <c r="K6" s="58">
        <v>8</v>
      </c>
      <c r="L6" s="58">
        <v>8</v>
      </c>
      <c r="M6" s="58">
        <v>8</v>
      </c>
      <c r="N6" s="57">
        <v>8</v>
      </c>
      <c r="O6" s="57">
        <v>8</v>
      </c>
      <c r="P6" s="57">
        <v>8</v>
      </c>
      <c r="Q6" s="91">
        <v>8</v>
      </c>
      <c r="R6" s="91">
        <v>8</v>
      </c>
      <c r="S6" s="92">
        <v>0</v>
      </c>
      <c r="T6" s="92">
        <v>4</v>
      </c>
    </row>
    <row r="7" spans="1:20" ht="45.75">
      <c r="A7" s="54">
        <v>5</v>
      </c>
      <c r="B7" s="55">
        <f t="shared" si="0"/>
        <v>16</v>
      </c>
      <c r="C7" s="56" t="str" cm="1">
        <f t="array" ref="C7">_xlfn.TEXTJOIN(", ",TRUE,IF(D7:T7=0,TEXT(D$2:T$2,"dd/mm"),""))</f>
        <v>10/08, 11/08, 12/08, 13/08, 14/08, 17/08, 18/08, 20/08, 21/08, 24/08, 25/08, 26/08, 27/08, 28/08, 03/09, 04/09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8">
        <v>0</v>
      </c>
      <c r="J7" s="58">
        <v>0</v>
      </c>
      <c r="K7" s="58">
        <v>8</v>
      </c>
      <c r="L7" s="58">
        <v>0</v>
      </c>
      <c r="M7" s="58">
        <v>0</v>
      </c>
      <c r="N7" s="57">
        <v>0</v>
      </c>
      <c r="O7" s="57">
        <v>0</v>
      </c>
      <c r="P7" s="57">
        <v>0</v>
      </c>
      <c r="Q7" s="91">
        <v>0</v>
      </c>
      <c r="R7" s="91">
        <v>0</v>
      </c>
      <c r="S7" s="92">
        <v>0</v>
      </c>
      <c r="T7" s="92">
        <v>0</v>
      </c>
    </row>
    <row r="8" spans="1:20" ht="45.75">
      <c r="A8" s="54">
        <v>6</v>
      </c>
      <c r="B8" s="55">
        <f t="shared" si="0"/>
        <v>17</v>
      </c>
      <c r="C8" s="56" t="str" cm="1">
        <f t="array" ref="C8">_xlfn.TEXTJOIN(", ",TRUE,IF(D8:T8=0,TEXT(D$2:T$2,"dd/mm"),""))</f>
        <v>10/08, 11/08, 12/08, 13/08, 14/08, 17/08, 18/08, 19/08, 20/08, 21/08, 24/08, 25/08, 26/08, 27/08, 28/08, 03/09, 04/09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7">
        <v>0</v>
      </c>
      <c r="O8" s="57">
        <v>0</v>
      </c>
      <c r="P8" s="57">
        <v>0</v>
      </c>
      <c r="Q8" s="91">
        <v>0</v>
      </c>
      <c r="R8" s="91">
        <v>0</v>
      </c>
      <c r="S8" s="92">
        <v>0</v>
      </c>
      <c r="T8" s="92">
        <v>0</v>
      </c>
    </row>
    <row r="9" spans="1:20" ht="45.75">
      <c r="A9" s="54">
        <v>7</v>
      </c>
      <c r="B9" s="55">
        <f t="shared" si="0"/>
        <v>17</v>
      </c>
      <c r="C9" s="56" t="str" cm="1">
        <f t="array" ref="C9">_xlfn.TEXTJOIN(", ",TRUE,IF(D9:T9=0,TEXT(D$2:T$2,"dd/mm"),""))</f>
        <v>10/08, 11/08, 12/08, 13/08, 14/08, 17/08, 18/08, 19/08, 20/08, 21/08, 24/08, 25/08, 26/08, 27/08, 28/08, 03/09, 04/09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7">
        <v>0</v>
      </c>
      <c r="O9" s="57">
        <v>0</v>
      </c>
      <c r="P9" s="57">
        <v>0</v>
      </c>
      <c r="Q9" s="91">
        <v>0</v>
      </c>
      <c r="R9" s="91">
        <v>0</v>
      </c>
      <c r="S9" s="92">
        <v>0</v>
      </c>
      <c r="T9" s="92">
        <v>0</v>
      </c>
    </row>
    <row r="10" spans="1:20" ht="45.75">
      <c r="A10" s="54">
        <v>8</v>
      </c>
      <c r="B10" s="55">
        <f t="shared" si="0"/>
        <v>17</v>
      </c>
      <c r="C10" s="56" t="str" cm="1">
        <f t="array" ref="C10">_xlfn.TEXTJOIN(", ",TRUE,IF(D10:T10=0,TEXT(D$2:T$2,"dd/mm"),""))</f>
        <v>10/08, 11/08, 12/08, 13/08, 14/08, 17/08, 18/08, 19/08, 20/08, 21/08, 24/08, 25/08, 26/08, 27/08, 28/08, 03/09, 04/09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7">
        <v>0</v>
      </c>
      <c r="O10" s="57">
        <v>0</v>
      </c>
      <c r="P10" s="57">
        <v>0</v>
      </c>
      <c r="Q10" s="91">
        <v>0</v>
      </c>
      <c r="R10" s="91">
        <v>0</v>
      </c>
      <c r="S10" s="92">
        <v>0</v>
      </c>
      <c r="T10" s="92">
        <v>0</v>
      </c>
    </row>
    <row r="11" spans="1:20" ht="30">
      <c r="A11" s="54">
        <v>9</v>
      </c>
      <c r="B11" s="55">
        <f t="shared" si="0"/>
        <v>9</v>
      </c>
      <c r="C11" s="56" t="str" cm="1">
        <f t="array" ref="C11">_xlfn.TEXTJOIN(", ",TRUE,IF(D11:T11=0,TEXT(D$2:T$2,"dd/mm"),""))</f>
        <v>11/08, 13/08, 17/08, 19/08, 24/08, 27/08, 28/08, 03/09, 04/09</v>
      </c>
      <c r="D11" s="57">
        <v>8</v>
      </c>
      <c r="E11" s="57">
        <v>0</v>
      </c>
      <c r="F11" s="57">
        <v>8</v>
      </c>
      <c r="G11" s="57">
        <v>0</v>
      </c>
      <c r="H11" s="57">
        <v>8</v>
      </c>
      <c r="I11" s="58">
        <v>0</v>
      </c>
      <c r="J11" s="58">
        <v>8</v>
      </c>
      <c r="K11" s="58">
        <v>0</v>
      </c>
      <c r="L11" s="58">
        <v>4.3</v>
      </c>
      <c r="M11" s="58">
        <v>1</v>
      </c>
      <c r="N11" s="57">
        <v>0</v>
      </c>
      <c r="O11" s="57">
        <v>8</v>
      </c>
      <c r="P11" s="57">
        <v>8</v>
      </c>
      <c r="Q11" s="91">
        <v>0</v>
      </c>
      <c r="R11" s="91">
        <v>0</v>
      </c>
      <c r="S11" s="92">
        <v>0</v>
      </c>
      <c r="T11" s="92">
        <v>0</v>
      </c>
    </row>
    <row r="12" spans="1:20" ht="45.75">
      <c r="A12" s="54">
        <v>10</v>
      </c>
      <c r="B12" s="55">
        <f t="shared" si="0"/>
        <v>13</v>
      </c>
      <c r="C12" s="56" t="str" cm="1">
        <f t="array" ref="C12">_xlfn.TEXTJOIN(", ",TRUE,IF(D12:T12=0,TEXT(D$2:T$2,"dd/mm"),""))</f>
        <v>10/08, 11/08, 12/08, 13/08, 14/08, 17/08, 19/08, 20/08, 21/08, 25/08, 26/08, 27/08, 04/09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8">
        <v>0</v>
      </c>
      <c r="J12" s="58">
        <v>8</v>
      </c>
      <c r="K12" s="58">
        <v>0</v>
      </c>
      <c r="L12" s="58">
        <v>0</v>
      </c>
      <c r="M12" s="58">
        <v>0</v>
      </c>
      <c r="N12" s="57">
        <v>8</v>
      </c>
      <c r="O12" s="57">
        <v>0</v>
      </c>
      <c r="P12" s="57">
        <v>0</v>
      </c>
      <c r="Q12" s="91">
        <v>0</v>
      </c>
      <c r="R12" s="91">
        <v>8</v>
      </c>
      <c r="S12" s="92">
        <v>8</v>
      </c>
      <c r="T12" s="92">
        <v>0</v>
      </c>
    </row>
    <row r="13" spans="1:20">
      <c r="A13" s="54">
        <v>11</v>
      </c>
      <c r="B13" s="55">
        <f t="shared" si="0"/>
        <v>3</v>
      </c>
      <c r="C13" s="56" t="str" cm="1">
        <f t="array" ref="C13">_xlfn.TEXTJOIN(", ",TRUE,IF(D13:T13=0,TEXT(D$2:T$2,"dd/mm"),""))</f>
        <v>20/08, 28/08, 03/09</v>
      </c>
      <c r="D13" s="57">
        <v>8</v>
      </c>
      <c r="E13" s="57">
        <v>8</v>
      </c>
      <c r="F13" s="57">
        <v>8</v>
      </c>
      <c r="G13" s="57">
        <v>8</v>
      </c>
      <c r="H13" s="57">
        <v>8</v>
      </c>
      <c r="I13" s="58">
        <v>8</v>
      </c>
      <c r="J13" s="58">
        <v>8</v>
      </c>
      <c r="K13" s="58">
        <v>6</v>
      </c>
      <c r="L13" s="58">
        <v>0</v>
      </c>
      <c r="M13" s="58">
        <v>8</v>
      </c>
      <c r="N13" s="57">
        <v>8</v>
      </c>
      <c r="O13" s="57">
        <v>8</v>
      </c>
      <c r="P13" s="57">
        <v>8</v>
      </c>
      <c r="Q13" s="91">
        <v>8</v>
      </c>
      <c r="R13" s="91">
        <v>0</v>
      </c>
      <c r="S13" s="92">
        <v>0</v>
      </c>
      <c r="T13" s="92">
        <v>8</v>
      </c>
    </row>
    <row r="14" spans="1:20">
      <c r="A14" s="54">
        <v>12</v>
      </c>
      <c r="B14" s="55">
        <f t="shared" si="0"/>
        <v>6</v>
      </c>
      <c r="C14" s="56" t="str" cm="1">
        <f t="array" ref="C14">_xlfn.TEXTJOIN(", ",TRUE,IF(D14:T14=0,TEXT(D$2:T$2,"dd/mm"),""))</f>
        <v>11/08, 14/08, 26/08, 28/08, 03/09, 04/09</v>
      </c>
      <c r="D14" s="57">
        <v>8</v>
      </c>
      <c r="E14" s="57">
        <v>0</v>
      </c>
      <c r="F14" s="57">
        <v>8</v>
      </c>
      <c r="G14" s="57">
        <v>8</v>
      </c>
      <c r="H14" s="57">
        <v>0</v>
      </c>
      <c r="I14" s="58">
        <v>8</v>
      </c>
      <c r="J14" s="58">
        <v>8</v>
      </c>
      <c r="K14" s="58">
        <v>8</v>
      </c>
      <c r="L14" s="58">
        <v>8</v>
      </c>
      <c r="M14" s="58">
        <v>8</v>
      </c>
      <c r="N14" s="57">
        <v>8</v>
      </c>
      <c r="O14" s="57">
        <v>8</v>
      </c>
      <c r="P14" s="57">
        <v>0</v>
      </c>
      <c r="Q14" s="91">
        <v>8</v>
      </c>
      <c r="R14" s="91">
        <v>0</v>
      </c>
      <c r="S14" s="92">
        <v>0</v>
      </c>
      <c r="T14" s="92">
        <v>0</v>
      </c>
    </row>
    <row r="15" spans="1:20" ht="30">
      <c r="A15" s="54">
        <v>13</v>
      </c>
      <c r="B15" s="55">
        <f t="shared" si="0"/>
        <v>9</v>
      </c>
      <c r="C15" s="56" t="str" cm="1">
        <f t="array" ref="C15">_xlfn.TEXTJOIN(", ",TRUE,IF(D15:T15=0,TEXT(D$2:T$2,"dd/mm"),""))</f>
        <v>10/08, 11/08, 12/08, 13/08, 21/08, 26/08, 27/08, 03/09, 04/09</v>
      </c>
      <c r="D15" s="57">
        <v>0</v>
      </c>
      <c r="E15" s="57">
        <v>0</v>
      </c>
      <c r="F15" s="57">
        <v>0</v>
      </c>
      <c r="G15" s="57">
        <v>0</v>
      </c>
      <c r="H15" s="57">
        <v>2.5</v>
      </c>
      <c r="I15" s="58">
        <v>1</v>
      </c>
      <c r="J15" s="58">
        <v>1</v>
      </c>
      <c r="K15" s="58">
        <v>2</v>
      </c>
      <c r="L15" s="58">
        <v>2</v>
      </c>
      <c r="M15" s="58">
        <v>0</v>
      </c>
      <c r="N15" s="57">
        <v>2</v>
      </c>
      <c r="O15" s="57">
        <v>4</v>
      </c>
      <c r="P15" s="57">
        <v>0</v>
      </c>
      <c r="Q15" s="91">
        <v>0</v>
      </c>
      <c r="R15" s="91">
        <v>1</v>
      </c>
      <c r="S15" s="92">
        <v>0</v>
      </c>
      <c r="T15" s="92">
        <v>0</v>
      </c>
    </row>
    <row r="16" spans="1:20" ht="45.75">
      <c r="A16" s="54">
        <v>14</v>
      </c>
      <c r="B16" s="55">
        <f t="shared" si="0"/>
        <v>17</v>
      </c>
      <c r="C16" s="56" t="str" cm="1">
        <f t="array" ref="C16">_xlfn.TEXTJOIN(", ",TRUE,IF(D16:T16=0,TEXT(D$2:T$2,"dd/mm"),""))</f>
        <v>10/08, 11/08, 12/08, 13/08, 14/08, 17/08, 18/08, 19/08, 20/08, 21/08, 24/08, 25/08, 26/08, 27/08, 28/08, 03/09, 04/09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7">
        <v>0</v>
      </c>
      <c r="O16" s="57">
        <v>0</v>
      </c>
      <c r="P16" s="57">
        <v>0</v>
      </c>
      <c r="Q16" s="91">
        <v>0</v>
      </c>
      <c r="R16" s="91">
        <v>0</v>
      </c>
      <c r="S16" s="92">
        <v>0</v>
      </c>
      <c r="T16" s="92">
        <v>0</v>
      </c>
    </row>
    <row r="17" spans="1:20" ht="45.75">
      <c r="A17" s="54">
        <v>15</v>
      </c>
      <c r="B17" s="55">
        <f t="shared" si="0"/>
        <v>17</v>
      </c>
      <c r="C17" s="56" t="str" cm="1">
        <f t="array" ref="C17">_xlfn.TEXTJOIN(", ",TRUE,IF(D17:T17=0,TEXT(D$2:T$2,"dd/mm"),""))</f>
        <v>10/08, 11/08, 12/08, 13/08, 14/08, 17/08, 18/08, 19/08, 20/08, 21/08, 24/08, 25/08, 26/08, 27/08, 28/08, 03/09, 04/09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7">
        <v>0</v>
      </c>
      <c r="O17" s="57">
        <v>0</v>
      </c>
      <c r="P17" s="57">
        <v>0</v>
      </c>
      <c r="Q17" s="91">
        <v>0</v>
      </c>
      <c r="R17" s="91">
        <v>0</v>
      </c>
      <c r="S17" s="92">
        <v>0</v>
      </c>
      <c r="T17" s="92">
        <v>0</v>
      </c>
    </row>
    <row r="18" spans="1:20" ht="30">
      <c r="A18" s="54">
        <v>16</v>
      </c>
      <c r="B18" s="55">
        <f t="shared" si="0"/>
        <v>7</v>
      </c>
      <c r="C18" s="56" t="str" cm="1">
        <f t="array" ref="C18">_xlfn.TEXTJOIN(", ",TRUE,IF(D18:T18=0,TEXT(D$2:T$2,"dd/mm"),""))</f>
        <v>14/08, 17/08, 20/08, 24/08, 26/08, 28/08, 04/09</v>
      </c>
      <c r="D18" s="57">
        <v>7.5</v>
      </c>
      <c r="E18" s="57">
        <v>7.88</v>
      </c>
      <c r="F18" s="57">
        <v>7.75</v>
      </c>
      <c r="G18" s="57">
        <v>2</v>
      </c>
      <c r="H18" s="57">
        <v>0</v>
      </c>
      <c r="I18" s="58">
        <v>0</v>
      </c>
      <c r="J18" s="58">
        <v>12</v>
      </c>
      <c r="K18" s="58">
        <v>8</v>
      </c>
      <c r="L18" s="58">
        <v>0</v>
      </c>
      <c r="M18" s="58">
        <v>7.5</v>
      </c>
      <c r="N18" s="57">
        <v>0</v>
      </c>
      <c r="O18" s="57">
        <v>4</v>
      </c>
      <c r="P18" s="57">
        <v>0</v>
      </c>
      <c r="Q18" s="91">
        <v>7.5</v>
      </c>
      <c r="R18" s="91">
        <v>0</v>
      </c>
      <c r="S18" s="92">
        <v>0.5</v>
      </c>
      <c r="T18" s="92">
        <v>0</v>
      </c>
    </row>
    <row r="19" spans="1:20" ht="45.75">
      <c r="A19" s="54">
        <v>17</v>
      </c>
      <c r="B19" s="55">
        <f t="shared" si="0"/>
        <v>16</v>
      </c>
      <c r="C19" s="56" t="str" cm="1">
        <f t="array" ref="C19">_xlfn.TEXTJOIN(", ",TRUE,IF(D19:T19=0,TEXT(D$2:T$2,"dd/mm"),""))</f>
        <v>11/08, 12/08, 13/08, 14/08, 17/08, 18/08, 19/08, 20/08, 21/08, 24/08, 25/08, 26/08, 27/08, 28/08, 03/09, 04/09</v>
      </c>
      <c r="D19" s="57">
        <v>8</v>
      </c>
      <c r="E19" s="57">
        <v>0</v>
      </c>
      <c r="F19" s="57">
        <v>0</v>
      </c>
      <c r="G19" s="57">
        <v>0</v>
      </c>
      <c r="H19" s="57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7">
        <v>0</v>
      </c>
      <c r="O19" s="57">
        <v>0</v>
      </c>
      <c r="P19" s="57">
        <v>0</v>
      </c>
      <c r="Q19" s="91">
        <v>0</v>
      </c>
      <c r="R19" s="91">
        <v>0</v>
      </c>
      <c r="S19" s="92">
        <v>0</v>
      </c>
      <c r="T19" s="92">
        <v>0</v>
      </c>
    </row>
    <row r="20" spans="1:20" ht="30">
      <c r="A20" s="54">
        <v>18</v>
      </c>
      <c r="B20" s="55">
        <f t="shared" si="0"/>
        <v>9</v>
      </c>
      <c r="C20" s="56" t="str" cm="1">
        <f t="array" ref="C20">_xlfn.TEXTJOIN(", ",TRUE,IF(D20:T20=0,TEXT(D$2:T$2,"dd/mm"),""))</f>
        <v>12/08, 17/08, 18/08, 19/08, 24/08, 25/08, 26/08, 03/09, 04/09</v>
      </c>
      <c r="D20" s="57">
        <v>7.5</v>
      </c>
      <c r="E20" s="57">
        <v>6</v>
      </c>
      <c r="F20" s="57">
        <v>0</v>
      </c>
      <c r="G20" s="57">
        <v>8</v>
      </c>
      <c r="H20" s="57">
        <v>7</v>
      </c>
      <c r="I20" s="58">
        <v>0</v>
      </c>
      <c r="J20" s="58">
        <v>0</v>
      </c>
      <c r="K20" s="58">
        <v>0</v>
      </c>
      <c r="L20" s="58">
        <v>8</v>
      </c>
      <c r="M20" s="58">
        <v>8</v>
      </c>
      <c r="N20" s="57">
        <v>0</v>
      </c>
      <c r="O20" s="57">
        <v>0</v>
      </c>
      <c r="P20" s="57">
        <v>0</v>
      </c>
      <c r="Q20" s="91">
        <v>2.5</v>
      </c>
      <c r="R20" s="91">
        <v>3</v>
      </c>
      <c r="S20" s="92">
        <v>0</v>
      </c>
      <c r="T20" s="92">
        <v>0</v>
      </c>
    </row>
    <row r="21" spans="1:20" ht="45.75">
      <c r="A21" s="54">
        <v>19</v>
      </c>
      <c r="B21" s="55">
        <f t="shared" si="0"/>
        <v>17</v>
      </c>
      <c r="C21" s="56" t="str" cm="1">
        <f t="array" ref="C21">_xlfn.TEXTJOIN(", ",TRUE,IF(D21:T21=0,TEXT(D$2:T$2,"dd/mm"),""))</f>
        <v>10/08, 11/08, 12/08, 13/08, 14/08, 17/08, 18/08, 19/08, 20/08, 21/08, 24/08, 25/08, 26/08, 27/08, 28/08, 03/09, 04/09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7">
        <v>0</v>
      </c>
      <c r="O21" s="57">
        <v>0</v>
      </c>
      <c r="P21" s="57">
        <v>0</v>
      </c>
      <c r="Q21" s="91">
        <v>0</v>
      </c>
      <c r="R21" s="91">
        <v>0</v>
      </c>
      <c r="S21" s="92">
        <v>0</v>
      </c>
      <c r="T21" s="92">
        <v>0</v>
      </c>
    </row>
    <row r="22" spans="1:20" ht="45.75">
      <c r="A22" s="54">
        <v>20</v>
      </c>
      <c r="B22" s="55">
        <f t="shared" si="0"/>
        <v>17</v>
      </c>
      <c r="C22" s="56" t="str" cm="1">
        <f t="array" ref="C22">_xlfn.TEXTJOIN(", ",TRUE,IF(D22:T22=0,TEXT(D$2:T$2,"dd/mm"),""))</f>
        <v>10/08, 11/08, 12/08, 13/08, 14/08, 17/08, 18/08, 19/08, 20/08, 21/08, 24/08, 25/08, 26/08, 27/08, 28/08, 03/09, 04/09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7">
        <v>0</v>
      </c>
      <c r="O22" s="57">
        <v>0</v>
      </c>
      <c r="P22" s="57">
        <v>0</v>
      </c>
      <c r="Q22" s="91">
        <v>0</v>
      </c>
      <c r="R22" s="91">
        <v>0</v>
      </c>
      <c r="S22" s="92">
        <v>0</v>
      </c>
      <c r="T22" s="92">
        <v>0</v>
      </c>
    </row>
    <row r="23" spans="1:20" ht="45.75">
      <c r="A23" s="54">
        <v>21</v>
      </c>
      <c r="B23" s="55">
        <f t="shared" si="0"/>
        <v>17</v>
      </c>
      <c r="C23" s="56" t="str" cm="1">
        <f t="array" ref="C23">_xlfn.TEXTJOIN(", ",TRUE,IF(D23:T23=0,TEXT(D$2:T$2,"dd/mm"),""))</f>
        <v>10/08, 11/08, 12/08, 13/08, 14/08, 17/08, 18/08, 19/08, 20/08, 21/08, 24/08, 25/08, 26/08, 27/08, 28/08, 03/09, 04/09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7">
        <v>0</v>
      </c>
      <c r="O23" s="57">
        <v>0</v>
      </c>
      <c r="P23" s="57">
        <v>0</v>
      </c>
      <c r="Q23" s="91">
        <v>0</v>
      </c>
      <c r="R23" s="91">
        <v>0</v>
      </c>
      <c r="S23" s="92">
        <v>0</v>
      </c>
      <c r="T23" s="92">
        <v>0</v>
      </c>
    </row>
    <row r="24" spans="1:20" ht="45.75">
      <c r="A24" s="54">
        <v>22</v>
      </c>
      <c r="B24" s="55">
        <f t="shared" si="0"/>
        <v>17</v>
      </c>
      <c r="C24" s="56" t="str" cm="1">
        <f t="array" ref="C24">_xlfn.TEXTJOIN(", ",TRUE,IF(D24:T24=0,TEXT(D$2:T$2,"dd/mm"),""))</f>
        <v>10/08, 11/08, 12/08, 13/08, 14/08, 17/08, 18/08, 19/08, 20/08, 21/08, 24/08, 25/08, 26/08, 27/08, 28/08, 03/09, 04/09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7">
        <v>0</v>
      </c>
      <c r="O24" s="57">
        <v>0</v>
      </c>
      <c r="P24" s="57">
        <v>0</v>
      </c>
      <c r="Q24" s="91">
        <v>0</v>
      </c>
      <c r="R24" s="91">
        <v>0</v>
      </c>
      <c r="S24" s="92">
        <v>0</v>
      </c>
      <c r="T24" s="92">
        <v>0</v>
      </c>
    </row>
    <row r="25" spans="1:20" ht="45.75">
      <c r="A25" s="54">
        <v>23</v>
      </c>
      <c r="B25" s="55">
        <f t="shared" si="0"/>
        <v>16</v>
      </c>
      <c r="C25" s="56" t="str" cm="1">
        <f t="array" ref="C25">_xlfn.TEXTJOIN(", ",TRUE,IF(D25:T25=0,TEXT(D$2:T$2,"dd/mm"),""))</f>
        <v>10/08, 11/08, 12/08, 13/08, 14/08, 17/08, 18/08, 19/08, 20/08, 21/08, 24/08, 25/08, 26/08, 27/08, 03/09, 04/09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7">
        <v>0</v>
      </c>
      <c r="O25" s="57">
        <v>0</v>
      </c>
      <c r="P25" s="57">
        <v>0</v>
      </c>
      <c r="Q25" s="91">
        <v>0</v>
      </c>
      <c r="R25" s="91">
        <v>8</v>
      </c>
      <c r="S25" s="92">
        <v>0</v>
      </c>
      <c r="T25" s="92">
        <v>0</v>
      </c>
    </row>
    <row r="26" spans="1:20" ht="45.75">
      <c r="A26" s="54">
        <v>24</v>
      </c>
      <c r="B26" s="55">
        <f t="shared" si="0"/>
        <v>17</v>
      </c>
      <c r="C26" s="56" t="str" cm="1">
        <f t="array" ref="C26">_xlfn.TEXTJOIN(", ",TRUE,IF(D26:T26=0,TEXT(D$2:T$2,"dd/mm"),""))</f>
        <v>10/08, 11/08, 12/08, 13/08, 14/08, 17/08, 18/08, 19/08, 20/08, 21/08, 24/08, 25/08, 26/08, 27/08, 28/08, 03/09, 04/09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7">
        <v>0</v>
      </c>
      <c r="O26" s="57">
        <v>0</v>
      </c>
      <c r="P26" s="57">
        <v>0</v>
      </c>
      <c r="Q26" s="91">
        <v>0</v>
      </c>
      <c r="R26" s="91">
        <v>0</v>
      </c>
      <c r="S26" s="92">
        <v>0</v>
      </c>
      <c r="T26" s="92">
        <v>0</v>
      </c>
    </row>
    <row r="27" spans="1:20" ht="45.75">
      <c r="A27" s="54">
        <v>25</v>
      </c>
      <c r="B27" s="55">
        <f t="shared" si="0"/>
        <v>17</v>
      </c>
      <c r="C27" s="56" t="str" cm="1">
        <f t="array" ref="C27">_xlfn.TEXTJOIN(", ",TRUE,IF(D27:T27=0,TEXT(D$2:T$2,"dd/mm"),""))</f>
        <v>10/08, 11/08, 12/08, 13/08, 14/08, 17/08, 18/08, 19/08, 20/08, 21/08, 24/08, 25/08, 26/08, 27/08, 28/08, 03/09, 04/09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7">
        <v>0</v>
      </c>
      <c r="O27" s="57">
        <v>0</v>
      </c>
      <c r="P27" s="57">
        <v>0</v>
      </c>
      <c r="Q27" s="91">
        <v>0</v>
      </c>
      <c r="R27" s="91">
        <v>0</v>
      </c>
      <c r="S27" s="92">
        <v>0</v>
      </c>
      <c r="T27" s="92">
        <v>0</v>
      </c>
    </row>
    <row r="28" spans="1:20" ht="45.75">
      <c r="A28" s="54">
        <v>26</v>
      </c>
      <c r="B28" s="55">
        <f t="shared" si="0"/>
        <v>17</v>
      </c>
      <c r="C28" s="56" t="str" cm="1">
        <f t="array" ref="C28">_xlfn.TEXTJOIN(", ",TRUE,IF(D28:T28=0,TEXT(D$2:T$2,"dd/mm"),""))</f>
        <v>10/08, 11/08, 12/08, 13/08, 14/08, 17/08, 18/08, 19/08, 20/08, 21/08, 24/08, 25/08, 26/08, 27/08, 28/08, 03/09, 04/09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7">
        <v>0</v>
      </c>
      <c r="O28" s="57">
        <v>0</v>
      </c>
      <c r="P28" s="57">
        <v>0</v>
      </c>
      <c r="Q28" s="91">
        <v>0</v>
      </c>
      <c r="R28" s="91">
        <v>0</v>
      </c>
      <c r="S28" s="92">
        <v>0</v>
      </c>
      <c r="T28" s="92">
        <v>0</v>
      </c>
    </row>
    <row r="29" spans="1:20" ht="45.75">
      <c r="A29" s="54">
        <v>27</v>
      </c>
      <c r="B29" s="55">
        <f t="shared" si="0"/>
        <v>13</v>
      </c>
      <c r="C29" s="56" t="str" cm="1">
        <f t="array" ref="C29">_xlfn.TEXTJOIN(", ",TRUE,IF(D29:T29=0,TEXT(D$2:T$2,"dd/mm"),""))</f>
        <v>10/08, 11/08, 12/08, 13/08, 14/08, 17/08, 20/08, 21/08, 24/08, 27/08, 28/08, 03/09, 04/09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8">
        <v>0</v>
      </c>
      <c r="J29" s="58">
        <v>4</v>
      </c>
      <c r="K29" s="58">
        <v>4</v>
      </c>
      <c r="L29" s="58">
        <v>0</v>
      </c>
      <c r="M29" s="58">
        <v>0</v>
      </c>
      <c r="N29" s="57">
        <v>0</v>
      </c>
      <c r="O29" s="57">
        <v>8</v>
      </c>
      <c r="P29" s="57">
        <v>8</v>
      </c>
      <c r="Q29" s="91">
        <v>0</v>
      </c>
      <c r="R29" s="91">
        <v>0</v>
      </c>
      <c r="S29" s="92">
        <v>0</v>
      </c>
      <c r="T29" s="92">
        <v>0</v>
      </c>
    </row>
    <row r="30" spans="1:20" ht="45.75">
      <c r="A30" s="54">
        <v>28</v>
      </c>
      <c r="B30" s="55">
        <f t="shared" si="0"/>
        <v>16</v>
      </c>
      <c r="C30" s="56" t="str" cm="1">
        <f t="array" ref="C30">_xlfn.TEXTJOIN(", ",TRUE,IF(D30:T30=0,TEXT(D$2:T$2,"dd/mm"),""))</f>
        <v>10/08, 11/08, 13/08, 14/08, 17/08, 18/08, 19/08, 20/08, 21/08, 24/08, 25/08, 26/08, 27/08, 28/08, 03/09, 04/09</v>
      </c>
      <c r="D30" s="57">
        <v>0</v>
      </c>
      <c r="E30" s="57">
        <v>0</v>
      </c>
      <c r="F30" s="57">
        <v>7.5</v>
      </c>
      <c r="G30" s="57">
        <v>0</v>
      </c>
      <c r="H30" s="57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7">
        <v>0</v>
      </c>
      <c r="O30" s="57">
        <v>0</v>
      </c>
      <c r="P30" s="57">
        <v>0</v>
      </c>
      <c r="Q30" s="91">
        <v>0</v>
      </c>
      <c r="R30" s="91">
        <v>0</v>
      </c>
      <c r="S30" s="92">
        <v>0</v>
      </c>
      <c r="T30" s="92">
        <v>0</v>
      </c>
    </row>
    <row r="31" spans="1:20" ht="45.75">
      <c r="A31" s="54">
        <v>29</v>
      </c>
      <c r="B31" s="55">
        <f t="shared" si="0"/>
        <v>16</v>
      </c>
      <c r="C31" s="56" t="str" cm="1">
        <f t="array" ref="C31">_xlfn.TEXTJOIN(", ",TRUE,IF(D31:T31=0,TEXT(D$2:T$2,"dd/mm"),""))</f>
        <v>10/08, 11/08, 12/08, 13/08, 17/08, 18/08, 19/08, 20/08, 21/08, 24/08, 25/08, 26/08, 27/08, 28/08, 03/09, 04/09</v>
      </c>
      <c r="D31" s="57">
        <v>0</v>
      </c>
      <c r="E31" s="57">
        <v>0</v>
      </c>
      <c r="F31" s="57">
        <v>0</v>
      </c>
      <c r="G31" s="57">
        <v>0</v>
      </c>
      <c r="H31" s="57">
        <v>8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7">
        <v>0</v>
      </c>
      <c r="O31" s="57">
        <v>0</v>
      </c>
      <c r="P31" s="57">
        <v>0</v>
      </c>
      <c r="Q31" s="91">
        <v>0</v>
      </c>
      <c r="R31" s="91">
        <v>0</v>
      </c>
      <c r="S31" s="92">
        <v>0</v>
      </c>
      <c r="T31" s="92">
        <v>0</v>
      </c>
    </row>
    <row r="32" spans="1:20" ht="45.75">
      <c r="A32" s="54">
        <v>30</v>
      </c>
      <c r="B32" s="55">
        <f t="shared" si="0"/>
        <v>16</v>
      </c>
      <c r="C32" s="56" t="str" cm="1">
        <f t="array" ref="C32">_xlfn.TEXTJOIN(", ",TRUE,IF(D32:T32=0,TEXT(D$2:T$2,"dd/mm"),""))</f>
        <v>10/08, 11/08, 12/08, 13/08, 14/08, 17/08, 18/08, 19/08, 20/08, 21/08, 24/08, 25/08, 26/08, 27/08, 03/09, 04/09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7">
        <v>0</v>
      </c>
      <c r="O32" s="57">
        <v>0</v>
      </c>
      <c r="P32" s="57">
        <v>0</v>
      </c>
      <c r="Q32" s="91">
        <v>0</v>
      </c>
      <c r="R32" s="91">
        <v>4</v>
      </c>
      <c r="S32" s="92">
        <v>0</v>
      </c>
      <c r="T32" s="92">
        <v>0</v>
      </c>
    </row>
    <row r="33" spans="1:20" ht="45.75">
      <c r="A33" s="54">
        <v>31</v>
      </c>
      <c r="B33" s="55">
        <f t="shared" si="0"/>
        <v>17</v>
      </c>
      <c r="C33" s="56" t="str" cm="1">
        <f t="array" ref="C33">_xlfn.TEXTJOIN(", ",TRUE,IF(D33:T33=0,TEXT(D$2:T$2,"dd/mm"),""))</f>
        <v>10/08, 11/08, 12/08, 13/08, 14/08, 17/08, 18/08, 19/08, 20/08, 21/08, 24/08, 25/08, 26/08, 27/08, 28/08, 03/09, 04/09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7">
        <v>0</v>
      </c>
      <c r="O33" s="57">
        <v>0</v>
      </c>
      <c r="P33" s="57">
        <v>0</v>
      </c>
      <c r="Q33" s="91">
        <v>0</v>
      </c>
      <c r="R33" s="91">
        <v>0</v>
      </c>
      <c r="S33" s="92">
        <v>0</v>
      </c>
      <c r="T33" s="92">
        <v>0</v>
      </c>
    </row>
    <row r="34" spans="1:20" ht="45.75">
      <c r="A34" s="54">
        <v>32</v>
      </c>
      <c r="B34" s="55">
        <f t="shared" si="0"/>
        <v>14</v>
      </c>
      <c r="C34" s="56" t="str" cm="1">
        <f t="array" ref="C34">_xlfn.TEXTJOIN(", ",TRUE,IF(D34:T34=0,TEXT(D$2:T$2,"dd/mm"),""))</f>
        <v>10/08, 12/08, 14/08, 17/08, 19/08, 20/08, 21/08, 24/08, 25/08, 26/08, 27/08, 28/08, 03/09, 04/09</v>
      </c>
      <c r="D34" s="57">
        <v>0</v>
      </c>
      <c r="E34" s="57">
        <v>8</v>
      </c>
      <c r="F34" s="57">
        <v>0</v>
      </c>
      <c r="G34" s="57">
        <v>8</v>
      </c>
      <c r="H34" s="57">
        <v>0</v>
      </c>
      <c r="I34" s="58">
        <v>0</v>
      </c>
      <c r="J34" s="58">
        <v>8</v>
      </c>
      <c r="K34" s="58">
        <v>0</v>
      </c>
      <c r="L34" s="58">
        <v>0</v>
      </c>
      <c r="M34" s="58">
        <v>0</v>
      </c>
      <c r="N34" s="57">
        <v>0</v>
      </c>
      <c r="O34" s="57">
        <v>0</v>
      </c>
      <c r="P34" s="57">
        <v>0</v>
      </c>
      <c r="Q34" s="91">
        <v>0</v>
      </c>
      <c r="R34" s="91">
        <v>0</v>
      </c>
      <c r="S34" s="92">
        <v>0</v>
      </c>
      <c r="T34" s="92">
        <v>0</v>
      </c>
    </row>
    <row r="35" spans="1:20" ht="45.75">
      <c r="A35" s="54">
        <v>33</v>
      </c>
      <c r="B35" s="55">
        <f t="shared" si="0"/>
        <v>17</v>
      </c>
      <c r="C35" s="56" t="str" cm="1">
        <f t="array" ref="C35">_xlfn.TEXTJOIN(", ",TRUE,IF(D35:T35=0,TEXT(D$2:T$2,"dd/mm"),""))</f>
        <v>10/08, 11/08, 12/08, 13/08, 14/08, 17/08, 18/08, 19/08, 20/08, 21/08, 24/08, 25/08, 26/08, 27/08, 28/08, 03/09, 04/09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7">
        <v>0</v>
      </c>
      <c r="O35" s="57">
        <v>0</v>
      </c>
      <c r="P35" s="57">
        <v>0</v>
      </c>
      <c r="Q35" s="91">
        <v>0</v>
      </c>
      <c r="R35" s="91">
        <v>0</v>
      </c>
      <c r="S35" s="92">
        <v>0</v>
      </c>
      <c r="T35" s="92">
        <v>0</v>
      </c>
    </row>
  </sheetData>
  <mergeCells count="2">
    <mergeCell ref="A1:C1"/>
    <mergeCell ref="D1:T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95E5-8ECE-425D-9386-9B3494F43D0A}">
  <dimension ref="A1:I50"/>
  <sheetViews>
    <sheetView workbookViewId="0">
      <selection activeCell="C1" sqref="C1"/>
    </sheetView>
  </sheetViews>
  <sheetFormatPr defaultRowHeight="15"/>
  <cols>
    <col min="1" max="1" width="12.5703125" bestFit="1" customWidth="1"/>
    <col min="2" max="2" width="15.85546875" bestFit="1" customWidth="1"/>
    <col min="3" max="3" width="10.5703125" bestFit="1" customWidth="1"/>
    <col min="8" max="8" width="15.85546875" style="54" bestFit="1" customWidth="1"/>
    <col min="9" max="9" width="10.5703125" style="54" bestFit="1" customWidth="1"/>
  </cols>
  <sheetData>
    <row r="1" spans="1:3">
      <c r="A1" s="88" t="s">
        <v>68</v>
      </c>
      <c r="B1" s="89" t="s">
        <v>1504</v>
      </c>
      <c r="C1" s="90" t="s">
        <v>1505</v>
      </c>
    </row>
    <row r="2" spans="1:3">
      <c r="A2" s="23">
        <v>1</v>
      </c>
      <c r="B2" s="60">
        <v>0</v>
      </c>
      <c r="C2" s="53">
        <v>0</v>
      </c>
    </row>
    <row r="3" spans="1:3">
      <c r="A3" s="23">
        <v>2</v>
      </c>
      <c r="B3" s="60">
        <v>1</v>
      </c>
      <c r="C3" s="53">
        <v>1</v>
      </c>
    </row>
    <row r="4" spans="1:3">
      <c r="A4" s="23">
        <v>3</v>
      </c>
      <c r="B4" s="60">
        <v>1</v>
      </c>
      <c r="C4" s="53">
        <v>0</v>
      </c>
    </row>
    <row r="5" spans="1:3">
      <c r="A5" s="23">
        <v>4</v>
      </c>
      <c r="B5" s="60">
        <v>0</v>
      </c>
      <c r="C5" s="53">
        <v>0</v>
      </c>
    </row>
    <row r="6" spans="1:3">
      <c r="A6" s="23">
        <v>5</v>
      </c>
      <c r="B6" s="60">
        <v>0</v>
      </c>
      <c r="C6" s="53">
        <v>0</v>
      </c>
    </row>
    <row r="7" spans="1:3">
      <c r="A7" s="23">
        <v>6</v>
      </c>
      <c r="B7" s="60">
        <v>0</v>
      </c>
      <c r="C7" s="53">
        <v>0</v>
      </c>
    </row>
    <row r="8" spans="1:3">
      <c r="A8" s="23">
        <v>7</v>
      </c>
      <c r="B8" s="60">
        <v>0</v>
      </c>
      <c r="C8" s="53">
        <v>1</v>
      </c>
    </row>
    <row r="9" spans="1:3">
      <c r="A9" s="23">
        <v>8</v>
      </c>
      <c r="B9" s="60">
        <v>0</v>
      </c>
      <c r="C9" s="53">
        <v>1</v>
      </c>
    </row>
    <row r="10" spans="1:3">
      <c r="A10" s="23">
        <v>9</v>
      </c>
      <c r="B10" s="60">
        <v>0</v>
      </c>
      <c r="C10" s="53">
        <v>1</v>
      </c>
    </row>
    <row r="11" spans="1:3">
      <c r="A11" s="23">
        <v>10</v>
      </c>
      <c r="B11" s="60">
        <v>0</v>
      </c>
      <c r="C11" s="53">
        <v>0</v>
      </c>
    </row>
    <row r="12" spans="1:3">
      <c r="A12" s="23">
        <v>11</v>
      </c>
      <c r="B12" s="60">
        <v>0</v>
      </c>
      <c r="C12" s="53">
        <v>0</v>
      </c>
    </row>
    <row r="13" spans="1:3">
      <c r="A13" s="23">
        <v>12</v>
      </c>
      <c r="B13" s="60">
        <v>1</v>
      </c>
      <c r="C13" s="53">
        <v>1</v>
      </c>
    </row>
    <row r="14" spans="1:3">
      <c r="A14" s="23">
        <v>13</v>
      </c>
      <c r="B14" s="60">
        <v>1</v>
      </c>
      <c r="C14" s="53">
        <v>1</v>
      </c>
    </row>
    <row r="15" spans="1:3">
      <c r="A15" s="23">
        <v>14</v>
      </c>
      <c r="B15" s="60">
        <v>1</v>
      </c>
      <c r="C15" s="53">
        <v>0</v>
      </c>
    </row>
    <row r="16" spans="1:3">
      <c r="A16" s="23">
        <v>15</v>
      </c>
      <c r="B16" s="60">
        <v>1</v>
      </c>
      <c r="C16" s="53">
        <v>0</v>
      </c>
    </row>
    <row r="17" spans="1:3">
      <c r="A17" s="23">
        <v>16</v>
      </c>
      <c r="B17" s="60">
        <v>1</v>
      </c>
      <c r="C17" s="53">
        <v>0</v>
      </c>
    </row>
    <row r="18" spans="1:3">
      <c r="A18" s="23">
        <v>17</v>
      </c>
      <c r="B18" s="60">
        <v>1</v>
      </c>
      <c r="C18" s="53">
        <v>0</v>
      </c>
    </row>
    <row r="19" spans="1:3">
      <c r="A19" s="23">
        <v>18</v>
      </c>
      <c r="B19" s="60">
        <v>0</v>
      </c>
      <c r="C19" s="53">
        <v>0</v>
      </c>
    </row>
    <row r="20" spans="1:3">
      <c r="A20" s="23">
        <v>19</v>
      </c>
      <c r="B20" s="60">
        <v>1</v>
      </c>
      <c r="C20" s="53">
        <v>0</v>
      </c>
    </row>
    <row r="21" spans="1:3">
      <c r="A21" s="23">
        <v>20</v>
      </c>
      <c r="B21" s="60">
        <v>0</v>
      </c>
      <c r="C21" s="53">
        <v>0</v>
      </c>
    </row>
    <row r="22" spans="1:3">
      <c r="A22" s="23">
        <v>21</v>
      </c>
      <c r="B22" s="60">
        <v>0</v>
      </c>
      <c r="C22" s="53">
        <v>1</v>
      </c>
    </row>
    <row r="23" spans="1:3">
      <c r="A23" s="23">
        <v>22</v>
      </c>
      <c r="B23" s="60">
        <v>0</v>
      </c>
      <c r="C23" s="53">
        <v>0</v>
      </c>
    </row>
    <row r="24" spans="1:3">
      <c r="A24" s="23">
        <v>23</v>
      </c>
      <c r="B24" s="60">
        <v>1</v>
      </c>
      <c r="C24" s="53">
        <v>0</v>
      </c>
    </row>
    <row r="25" spans="1:3">
      <c r="A25" s="23">
        <v>24</v>
      </c>
      <c r="B25" s="60">
        <v>0</v>
      </c>
      <c r="C25" s="53">
        <v>0</v>
      </c>
    </row>
    <row r="26" spans="1:3">
      <c r="A26" s="23">
        <v>25</v>
      </c>
      <c r="B26" s="60">
        <v>0</v>
      </c>
      <c r="C26" s="53">
        <v>0</v>
      </c>
    </row>
    <row r="27" spans="1:3">
      <c r="A27" s="23">
        <v>26</v>
      </c>
      <c r="B27" s="60">
        <v>1</v>
      </c>
      <c r="C27" s="53">
        <v>0</v>
      </c>
    </row>
    <row r="28" spans="1:3">
      <c r="A28" s="23">
        <v>27</v>
      </c>
      <c r="B28" s="60">
        <v>0</v>
      </c>
      <c r="C28" s="53">
        <v>1</v>
      </c>
    </row>
    <row r="29" spans="1:3">
      <c r="A29" s="23">
        <v>28</v>
      </c>
      <c r="B29" s="60">
        <v>1</v>
      </c>
      <c r="C29" s="53">
        <v>1</v>
      </c>
    </row>
    <row r="30" spans="1:3">
      <c r="A30" s="23">
        <v>29</v>
      </c>
      <c r="B30" s="60">
        <v>0</v>
      </c>
      <c r="C30" s="53">
        <v>0</v>
      </c>
    </row>
    <row r="31" spans="1:3">
      <c r="A31" s="23">
        <v>30</v>
      </c>
      <c r="B31" s="60">
        <v>0</v>
      </c>
      <c r="C31" s="53">
        <v>0</v>
      </c>
    </row>
    <row r="32" spans="1:3">
      <c r="A32" s="23">
        <v>31</v>
      </c>
      <c r="B32" s="60">
        <v>0</v>
      </c>
      <c r="C32" s="53">
        <v>0</v>
      </c>
    </row>
    <row r="33" spans="1:3">
      <c r="A33" s="23">
        <v>32</v>
      </c>
      <c r="B33" s="60">
        <v>0</v>
      </c>
      <c r="C33" s="53">
        <v>0</v>
      </c>
    </row>
    <row r="34" spans="1:3">
      <c r="A34" s="23">
        <v>33</v>
      </c>
      <c r="B34" s="60">
        <v>0</v>
      </c>
      <c r="C34" s="53">
        <v>0</v>
      </c>
    </row>
    <row r="35" spans="1:3">
      <c r="A35" s="23">
        <v>34</v>
      </c>
      <c r="B35" s="60">
        <v>0</v>
      </c>
      <c r="C35" s="53">
        <v>1</v>
      </c>
    </row>
    <row r="36" spans="1:3">
      <c r="A36" s="23">
        <v>35</v>
      </c>
      <c r="B36" s="60">
        <v>0</v>
      </c>
      <c r="C36" s="53">
        <v>0</v>
      </c>
    </row>
    <row r="37" spans="1:3">
      <c r="A37" s="23">
        <v>36</v>
      </c>
      <c r="B37" s="60">
        <v>0</v>
      </c>
      <c r="C37" s="53">
        <v>0</v>
      </c>
    </row>
    <row r="38" spans="1:3">
      <c r="A38" s="23">
        <v>37</v>
      </c>
      <c r="B38" s="60">
        <v>0</v>
      </c>
      <c r="C38" s="53">
        <v>0</v>
      </c>
    </row>
    <row r="39" spans="1:3">
      <c r="A39" s="23">
        <v>38</v>
      </c>
      <c r="B39" s="60">
        <v>1</v>
      </c>
      <c r="C39" s="53">
        <v>1</v>
      </c>
    </row>
    <row r="40" spans="1:3">
      <c r="A40" s="23">
        <v>39</v>
      </c>
      <c r="B40" s="60"/>
      <c r="C40" s="53"/>
    </row>
    <row r="41" spans="1:3">
      <c r="A41" s="23">
        <v>40</v>
      </c>
      <c r="B41" s="60"/>
      <c r="C41" s="53"/>
    </row>
    <row r="42" spans="1:3">
      <c r="A42" s="23">
        <v>41</v>
      </c>
      <c r="B42" s="60"/>
      <c r="C42" s="53"/>
    </row>
    <row r="43" spans="1:3">
      <c r="A43" s="23">
        <v>42</v>
      </c>
      <c r="B43" s="60"/>
      <c r="C43" s="53"/>
    </row>
    <row r="44" spans="1:3">
      <c r="A44" s="23">
        <v>43</v>
      </c>
      <c r="B44" s="60"/>
      <c r="C44" s="53"/>
    </row>
    <row r="45" spans="1:3">
      <c r="A45" s="23">
        <v>44</v>
      </c>
      <c r="B45" s="60"/>
      <c r="C45" s="53"/>
    </row>
    <row r="46" spans="1:3">
      <c r="A46" s="23">
        <v>45</v>
      </c>
      <c r="B46" s="60"/>
      <c r="C46" s="53"/>
    </row>
    <row r="47" spans="1:3">
      <c r="A47" s="23">
        <v>46</v>
      </c>
      <c r="B47" s="60"/>
      <c r="C47" s="53"/>
    </row>
    <row r="48" spans="1:3">
      <c r="A48" s="23">
        <v>47</v>
      </c>
      <c r="B48" s="60"/>
      <c r="C48" s="53"/>
    </row>
    <row r="49" spans="1:3">
      <c r="A49" s="23">
        <v>48</v>
      </c>
      <c r="B49" s="60"/>
      <c r="C49" s="53"/>
    </row>
    <row r="50" spans="1:3">
      <c r="A50" s="23">
        <v>49</v>
      </c>
      <c r="B50" s="60"/>
      <c r="C50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A195-3D42-4AD6-99C5-F62BECAE53DD}">
  <dimension ref="A1:J49"/>
  <sheetViews>
    <sheetView workbookViewId="0">
      <selection activeCell="B4" sqref="B4"/>
    </sheetView>
  </sheetViews>
  <sheetFormatPr defaultRowHeight="15"/>
  <cols>
    <col min="2" max="2" width="14" bestFit="1" customWidth="1"/>
    <col min="3" max="3" width="22.85546875" bestFit="1" customWidth="1"/>
    <col min="4" max="4" width="14.140625" bestFit="1" customWidth="1"/>
    <col min="5" max="5" width="18.140625" bestFit="1" customWidth="1"/>
    <col min="6" max="6" width="23.28515625" bestFit="1" customWidth="1"/>
    <col min="7" max="7" width="18.85546875" bestFit="1" customWidth="1"/>
    <col min="8" max="8" width="17" bestFit="1" customWidth="1"/>
    <col min="9" max="9" width="21.7109375" bestFit="1" customWidth="1"/>
    <col min="10" max="10" width="20.5703125" bestFit="1" customWidth="1"/>
  </cols>
  <sheetData>
    <row r="1" spans="1:10">
      <c r="A1" t="s">
        <v>1506</v>
      </c>
      <c r="B1" t="s">
        <v>1507</v>
      </c>
      <c r="C1" t="s">
        <v>1508</v>
      </c>
      <c r="D1" t="s">
        <v>1509</v>
      </c>
      <c r="E1" t="s">
        <v>1510</v>
      </c>
      <c r="F1" t="s">
        <v>1511</v>
      </c>
      <c r="G1" t="s">
        <v>1512</v>
      </c>
      <c r="H1" t="s">
        <v>1513</v>
      </c>
      <c r="I1" t="s">
        <v>1514</v>
      </c>
      <c r="J1" t="s">
        <v>1515</v>
      </c>
    </row>
    <row r="2" spans="1:10">
      <c r="A2">
        <v>1</v>
      </c>
      <c r="B2">
        <v>17</v>
      </c>
      <c r="C2">
        <v>9.4</v>
      </c>
      <c r="D2">
        <v>1</v>
      </c>
      <c r="E2">
        <v>9.6999999999999993</v>
      </c>
      <c r="F2">
        <v>7.7</v>
      </c>
      <c r="G2">
        <v>3</v>
      </c>
      <c r="H2">
        <v>8.3000000000000007</v>
      </c>
      <c r="I2" t="b">
        <v>1</v>
      </c>
      <c r="J2">
        <v>4.8</v>
      </c>
    </row>
    <row r="3" spans="1:10">
      <c r="A3">
        <v>2</v>
      </c>
      <c r="B3">
        <v>21</v>
      </c>
      <c r="C3">
        <v>4.2</v>
      </c>
      <c r="D3">
        <v>1.9</v>
      </c>
      <c r="E3">
        <v>5.4</v>
      </c>
      <c r="F3">
        <v>7.8</v>
      </c>
      <c r="G3">
        <v>3</v>
      </c>
      <c r="H3">
        <v>8</v>
      </c>
      <c r="I3" t="b">
        <v>1</v>
      </c>
      <c r="J3">
        <v>2.9</v>
      </c>
    </row>
    <row r="4" spans="1:10">
      <c r="A4">
        <v>3</v>
      </c>
      <c r="B4">
        <v>22</v>
      </c>
      <c r="C4">
        <v>7.5</v>
      </c>
      <c r="D4">
        <v>5.3</v>
      </c>
      <c r="E4">
        <v>6.5</v>
      </c>
      <c r="F4">
        <v>7</v>
      </c>
      <c r="G4">
        <v>4</v>
      </c>
      <c r="H4">
        <v>9.5</v>
      </c>
      <c r="I4" t="b">
        <v>1</v>
      </c>
      <c r="J4">
        <v>7.2</v>
      </c>
    </row>
    <row r="5" spans="1:10">
      <c r="A5">
        <v>4</v>
      </c>
      <c r="B5">
        <v>21</v>
      </c>
      <c r="C5">
        <v>8.6999999999999993</v>
      </c>
      <c r="D5">
        <v>4.3</v>
      </c>
      <c r="E5">
        <v>7.3</v>
      </c>
      <c r="F5">
        <v>3.5</v>
      </c>
      <c r="G5">
        <v>4</v>
      </c>
      <c r="H5">
        <v>7.9</v>
      </c>
      <c r="I5" t="b">
        <v>0</v>
      </c>
      <c r="J5">
        <v>5.2</v>
      </c>
    </row>
    <row r="6" spans="1:10">
      <c r="A6">
        <v>5</v>
      </c>
      <c r="B6">
        <v>20</v>
      </c>
      <c r="C6">
        <v>7.5</v>
      </c>
      <c r="D6">
        <v>2.2999999999999998</v>
      </c>
      <c r="E6">
        <v>7</v>
      </c>
      <c r="F6">
        <v>7.2</v>
      </c>
      <c r="G6">
        <v>4</v>
      </c>
      <c r="H6">
        <v>8.5</v>
      </c>
      <c r="I6" t="b">
        <v>0</v>
      </c>
      <c r="J6">
        <v>6.4</v>
      </c>
    </row>
    <row r="7" spans="1:10">
      <c r="A7">
        <v>6</v>
      </c>
      <c r="B7">
        <v>13</v>
      </c>
      <c r="C7">
        <v>6.8</v>
      </c>
      <c r="D7">
        <v>4.5</v>
      </c>
      <c r="E7">
        <v>8.1999999999999993</v>
      </c>
      <c r="F7">
        <v>7</v>
      </c>
      <c r="G7">
        <v>4</v>
      </c>
      <c r="H7">
        <v>7.9</v>
      </c>
      <c r="I7" t="b">
        <v>1</v>
      </c>
      <c r="J7">
        <v>7.3</v>
      </c>
    </row>
    <row r="8" spans="1:10">
      <c r="A8">
        <v>7</v>
      </c>
      <c r="B8">
        <v>7</v>
      </c>
      <c r="C8">
        <v>10</v>
      </c>
      <c r="D8">
        <v>3.8</v>
      </c>
      <c r="E8">
        <v>6.2</v>
      </c>
      <c r="F8">
        <v>6.9</v>
      </c>
      <c r="G8">
        <v>4</v>
      </c>
      <c r="H8">
        <v>7.5</v>
      </c>
      <c r="I8" t="b">
        <v>0</v>
      </c>
      <c r="J8">
        <v>7.9</v>
      </c>
    </row>
    <row r="9" spans="1:10">
      <c r="A9">
        <v>8</v>
      </c>
      <c r="B9">
        <v>16</v>
      </c>
      <c r="C9">
        <v>5.4</v>
      </c>
      <c r="D9">
        <v>5.5</v>
      </c>
      <c r="E9">
        <v>7.2</v>
      </c>
      <c r="F9">
        <v>7</v>
      </c>
      <c r="G9">
        <v>4</v>
      </c>
      <c r="H9">
        <v>10</v>
      </c>
      <c r="I9" t="b">
        <v>1</v>
      </c>
      <c r="J9">
        <v>3.7</v>
      </c>
    </row>
    <row r="10" spans="1:10">
      <c r="A10">
        <v>9</v>
      </c>
      <c r="B10">
        <v>17</v>
      </c>
      <c r="C10">
        <v>7.3</v>
      </c>
      <c r="D10">
        <v>5.0999999999999996</v>
      </c>
      <c r="E10">
        <v>7.5</v>
      </c>
      <c r="F10">
        <v>5.7</v>
      </c>
      <c r="G10">
        <v>3</v>
      </c>
      <c r="H10">
        <v>9.5</v>
      </c>
      <c r="I10" t="b">
        <v>1</v>
      </c>
      <c r="J10">
        <v>4.8</v>
      </c>
    </row>
    <row r="11" spans="1:10">
      <c r="A11">
        <v>10</v>
      </c>
      <c r="B11">
        <v>41</v>
      </c>
      <c r="C11">
        <v>8.6</v>
      </c>
      <c r="D11">
        <v>2.2999999999999998</v>
      </c>
      <c r="E11">
        <v>9.1</v>
      </c>
      <c r="F11">
        <v>6.3</v>
      </c>
      <c r="G11">
        <v>4</v>
      </c>
      <c r="H11">
        <v>8.8000000000000007</v>
      </c>
      <c r="I11" t="b">
        <v>0</v>
      </c>
      <c r="J11">
        <v>5.5</v>
      </c>
    </row>
    <row r="12" spans="1:10">
      <c r="A12">
        <v>11</v>
      </c>
      <c r="B12">
        <v>27</v>
      </c>
      <c r="C12">
        <v>3.1</v>
      </c>
      <c r="D12">
        <v>3.8</v>
      </c>
      <c r="E12">
        <v>4.7</v>
      </c>
      <c r="F12">
        <v>7.3</v>
      </c>
      <c r="G12">
        <v>3</v>
      </c>
      <c r="H12">
        <v>5.8</v>
      </c>
      <c r="I12" t="b">
        <v>0</v>
      </c>
      <c r="J12">
        <v>5.6</v>
      </c>
    </row>
    <row r="13" spans="1:10">
      <c r="A13">
        <v>12</v>
      </c>
      <c r="B13">
        <v>21</v>
      </c>
      <c r="C13">
        <v>4.4000000000000004</v>
      </c>
      <c r="D13">
        <v>6.3</v>
      </c>
      <c r="E13">
        <v>5.0999999999999996</v>
      </c>
      <c r="F13">
        <v>4.7</v>
      </c>
      <c r="G13">
        <v>4</v>
      </c>
      <c r="H13">
        <v>10</v>
      </c>
      <c r="I13" t="b">
        <v>1</v>
      </c>
      <c r="J13">
        <v>8.5</v>
      </c>
    </row>
    <row r="14" spans="1:10">
      <c r="A14">
        <v>13</v>
      </c>
      <c r="B14">
        <v>30</v>
      </c>
      <c r="C14">
        <v>9.4</v>
      </c>
      <c r="D14">
        <v>4</v>
      </c>
      <c r="E14">
        <v>7</v>
      </c>
      <c r="F14">
        <v>7.6</v>
      </c>
      <c r="G14">
        <v>4</v>
      </c>
      <c r="H14">
        <v>9.6</v>
      </c>
      <c r="I14" t="b">
        <v>1</v>
      </c>
      <c r="J14">
        <v>5.0999999999999996</v>
      </c>
    </row>
    <row r="15" spans="1:10">
      <c r="A15">
        <v>14</v>
      </c>
      <c r="B15">
        <v>13</v>
      </c>
      <c r="C15">
        <v>7.9</v>
      </c>
      <c r="D15">
        <v>1.6</v>
      </c>
      <c r="E15">
        <v>7.7</v>
      </c>
      <c r="F15">
        <v>7.9</v>
      </c>
      <c r="G15">
        <v>4</v>
      </c>
      <c r="H15">
        <v>7.7</v>
      </c>
      <c r="I15" t="b">
        <v>0</v>
      </c>
      <c r="J15">
        <v>2.8</v>
      </c>
    </row>
    <row r="16" spans="1:10">
      <c r="A16">
        <v>15</v>
      </c>
      <c r="B16">
        <v>44</v>
      </c>
      <c r="C16">
        <v>9</v>
      </c>
      <c r="D16">
        <v>4</v>
      </c>
      <c r="E16">
        <v>6.1</v>
      </c>
      <c r="F16">
        <v>4.4000000000000004</v>
      </c>
      <c r="G16">
        <v>4</v>
      </c>
      <c r="H16">
        <v>10</v>
      </c>
      <c r="I16" t="b">
        <v>1</v>
      </c>
      <c r="J16">
        <v>4.5</v>
      </c>
    </row>
    <row r="17" spans="1:10">
      <c r="A17">
        <v>16</v>
      </c>
      <c r="B17">
        <v>30</v>
      </c>
      <c r="C17">
        <v>7.8</v>
      </c>
      <c r="D17">
        <v>4.9000000000000004</v>
      </c>
      <c r="E17">
        <v>6.2</v>
      </c>
      <c r="F17">
        <v>6.8</v>
      </c>
      <c r="G17">
        <v>3</v>
      </c>
      <c r="H17">
        <v>7.2</v>
      </c>
      <c r="I17" t="b">
        <v>0</v>
      </c>
      <c r="J17">
        <v>7.3</v>
      </c>
    </row>
    <row r="18" spans="1:10">
      <c r="A18">
        <v>17</v>
      </c>
      <c r="B18">
        <v>22</v>
      </c>
      <c r="C18">
        <v>7.3</v>
      </c>
      <c r="D18">
        <v>3.3</v>
      </c>
      <c r="E18">
        <v>6.9</v>
      </c>
      <c r="F18">
        <v>6.2</v>
      </c>
      <c r="G18">
        <v>3</v>
      </c>
      <c r="H18">
        <v>7.2</v>
      </c>
      <c r="I18" t="b">
        <v>0</v>
      </c>
      <c r="J18">
        <v>4</v>
      </c>
    </row>
    <row r="19" spans="1:10">
      <c r="A19">
        <v>18</v>
      </c>
      <c r="B19">
        <v>37</v>
      </c>
      <c r="C19">
        <v>6.7</v>
      </c>
      <c r="D19">
        <v>4.2</v>
      </c>
      <c r="E19">
        <v>7.6</v>
      </c>
      <c r="F19">
        <v>5.9</v>
      </c>
      <c r="G19">
        <v>3</v>
      </c>
      <c r="H19">
        <v>7.1</v>
      </c>
      <c r="I19" t="b">
        <v>1</v>
      </c>
      <c r="J19">
        <v>6.1</v>
      </c>
    </row>
    <row r="20" spans="1:10">
      <c r="A20">
        <v>19</v>
      </c>
      <c r="B20">
        <v>26</v>
      </c>
      <c r="C20">
        <v>6.3</v>
      </c>
      <c r="D20">
        <v>4.8</v>
      </c>
      <c r="E20">
        <v>6.9</v>
      </c>
      <c r="F20">
        <v>4.9000000000000004</v>
      </c>
      <c r="G20">
        <v>4</v>
      </c>
      <c r="H20">
        <v>9.5</v>
      </c>
      <c r="I20" t="b">
        <v>0</v>
      </c>
      <c r="J20">
        <v>1</v>
      </c>
    </row>
    <row r="21" spans="1:10">
      <c r="A21">
        <v>20</v>
      </c>
      <c r="B21">
        <v>33</v>
      </c>
      <c r="C21">
        <v>7.5</v>
      </c>
      <c r="D21">
        <v>1.9</v>
      </c>
      <c r="E21">
        <v>9.3000000000000007</v>
      </c>
      <c r="F21">
        <v>7.5</v>
      </c>
      <c r="G21">
        <v>3</v>
      </c>
      <c r="H21">
        <v>8</v>
      </c>
      <c r="I21" t="b">
        <v>0</v>
      </c>
      <c r="J21">
        <v>2.1</v>
      </c>
    </row>
    <row r="22" spans="1:10">
      <c r="A22">
        <v>21</v>
      </c>
      <c r="B22">
        <v>40</v>
      </c>
      <c r="C22">
        <v>7.1</v>
      </c>
      <c r="D22">
        <v>4.0999999999999996</v>
      </c>
      <c r="E22">
        <v>7.6</v>
      </c>
      <c r="F22">
        <v>6.4</v>
      </c>
      <c r="G22">
        <v>4</v>
      </c>
      <c r="H22">
        <v>7.2</v>
      </c>
      <c r="I22" t="b">
        <v>1</v>
      </c>
      <c r="J22">
        <v>3.6</v>
      </c>
    </row>
    <row r="23" spans="1:10">
      <c r="A23">
        <v>22</v>
      </c>
      <c r="B23">
        <v>46</v>
      </c>
      <c r="C23">
        <v>8</v>
      </c>
      <c r="D23">
        <v>2.7</v>
      </c>
      <c r="E23">
        <v>6.9</v>
      </c>
      <c r="F23">
        <v>7.1</v>
      </c>
      <c r="G23">
        <v>4</v>
      </c>
      <c r="H23">
        <v>10</v>
      </c>
      <c r="I23" t="b">
        <v>0</v>
      </c>
      <c r="J23">
        <v>6.5</v>
      </c>
    </row>
    <row r="24" spans="1:10">
      <c r="A24">
        <v>23</v>
      </c>
      <c r="B24">
        <v>25</v>
      </c>
      <c r="C24">
        <v>5.7</v>
      </c>
      <c r="D24">
        <v>3.6</v>
      </c>
      <c r="E24">
        <v>6.5</v>
      </c>
      <c r="F24">
        <v>5.6</v>
      </c>
      <c r="G24">
        <v>4</v>
      </c>
      <c r="H24">
        <v>6.9</v>
      </c>
      <c r="I24" t="b">
        <v>0</v>
      </c>
      <c r="J24">
        <v>6</v>
      </c>
    </row>
    <row r="25" spans="1:10">
      <c r="A25">
        <v>24</v>
      </c>
      <c r="B25">
        <v>32</v>
      </c>
      <c r="C25">
        <v>6.5</v>
      </c>
      <c r="D25">
        <v>2.8</v>
      </c>
      <c r="E25">
        <v>9.1999999999999993</v>
      </c>
      <c r="F25">
        <v>7.6</v>
      </c>
      <c r="G25">
        <v>5</v>
      </c>
      <c r="H25">
        <v>8.1</v>
      </c>
      <c r="I25" t="b">
        <v>0</v>
      </c>
      <c r="J25">
        <v>3.9</v>
      </c>
    </row>
    <row r="26" spans="1:10">
      <c r="A26">
        <v>25</v>
      </c>
      <c r="B26">
        <v>26</v>
      </c>
      <c r="C26">
        <v>6.3</v>
      </c>
      <c r="D26">
        <v>2.8</v>
      </c>
      <c r="E26">
        <v>6.6</v>
      </c>
      <c r="F26">
        <v>8.9</v>
      </c>
      <c r="G26">
        <v>4</v>
      </c>
      <c r="H26">
        <v>9.6999999999999993</v>
      </c>
      <c r="I26" t="b">
        <v>1</v>
      </c>
      <c r="J26">
        <v>6.3</v>
      </c>
    </row>
    <row r="27" spans="1:10">
      <c r="A27">
        <v>26</v>
      </c>
      <c r="B27">
        <v>24</v>
      </c>
      <c r="C27">
        <v>6.4</v>
      </c>
      <c r="D27">
        <v>1.7</v>
      </c>
      <c r="E27">
        <v>7.3</v>
      </c>
      <c r="F27">
        <v>7.4</v>
      </c>
      <c r="G27">
        <v>4</v>
      </c>
      <c r="H27">
        <v>9.8000000000000007</v>
      </c>
      <c r="I27" t="b">
        <v>0</v>
      </c>
      <c r="J27">
        <v>4.8</v>
      </c>
    </row>
    <row r="28" spans="1:10">
      <c r="A28">
        <v>27</v>
      </c>
      <c r="B28">
        <v>34</v>
      </c>
      <c r="C28">
        <v>6</v>
      </c>
      <c r="D28">
        <v>1.6</v>
      </c>
      <c r="E28">
        <v>7.1</v>
      </c>
      <c r="F28">
        <v>7.6</v>
      </c>
      <c r="G28">
        <v>5</v>
      </c>
      <c r="H28">
        <v>9.4</v>
      </c>
      <c r="I28" t="b">
        <v>1</v>
      </c>
      <c r="J28">
        <v>3.5</v>
      </c>
    </row>
    <row r="29" spans="1:10">
      <c r="A29">
        <v>28</v>
      </c>
      <c r="B29">
        <v>23</v>
      </c>
      <c r="C29">
        <v>7.2</v>
      </c>
      <c r="D29">
        <v>6.7</v>
      </c>
      <c r="E29">
        <v>5.2</v>
      </c>
      <c r="F29">
        <v>2.9</v>
      </c>
      <c r="G29">
        <v>3</v>
      </c>
      <c r="H29">
        <v>7.7</v>
      </c>
      <c r="I29" t="b">
        <v>1</v>
      </c>
      <c r="J29">
        <v>7.4</v>
      </c>
    </row>
    <row r="30" spans="1:10">
      <c r="A30">
        <v>29</v>
      </c>
      <c r="B30">
        <v>43</v>
      </c>
      <c r="C30">
        <v>7</v>
      </c>
      <c r="D30">
        <v>3.9</v>
      </c>
      <c r="E30">
        <v>8.5</v>
      </c>
      <c r="F30">
        <v>5.7</v>
      </c>
      <c r="G30">
        <v>4</v>
      </c>
      <c r="H30">
        <v>9.6</v>
      </c>
      <c r="I30" t="b">
        <v>1</v>
      </c>
      <c r="J30">
        <v>5.3</v>
      </c>
    </row>
    <row r="31" spans="1:10">
      <c r="A31">
        <v>30</v>
      </c>
      <c r="B31">
        <v>21</v>
      </c>
      <c r="C31">
        <v>6.2</v>
      </c>
      <c r="D31">
        <v>4.3</v>
      </c>
      <c r="E31">
        <v>5.0999999999999996</v>
      </c>
      <c r="F31">
        <v>6.5</v>
      </c>
      <c r="G31">
        <v>4</v>
      </c>
      <c r="H31">
        <v>7.8</v>
      </c>
      <c r="I31" t="b">
        <v>0</v>
      </c>
      <c r="J31">
        <v>4.8</v>
      </c>
    </row>
    <row r="32" spans="1:10">
      <c r="A32">
        <v>31</v>
      </c>
      <c r="B32">
        <v>23</v>
      </c>
      <c r="C32">
        <v>6.6</v>
      </c>
      <c r="D32">
        <v>4.5999999999999996</v>
      </c>
      <c r="E32">
        <v>3.8</v>
      </c>
      <c r="F32">
        <v>4.0999999999999996</v>
      </c>
      <c r="G32">
        <v>3</v>
      </c>
      <c r="H32">
        <v>8.9</v>
      </c>
      <c r="I32" t="b">
        <v>1</v>
      </c>
      <c r="J32">
        <v>5.2</v>
      </c>
    </row>
    <row r="33" spans="1:10">
      <c r="A33">
        <v>32</v>
      </c>
      <c r="B33">
        <v>31</v>
      </c>
      <c r="C33">
        <v>5.6</v>
      </c>
      <c r="D33">
        <v>4.9000000000000004</v>
      </c>
      <c r="E33">
        <v>7.6</v>
      </c>
      <c r="F33">
        <v>4.8</v>
      </c>
      <c r="G33">
        <v>4</v>
      </c>
      <c r="H33">
        <v>7.6</v>
      </c>
      <c r="I33" t="b">
        <v>0</v>
      </c>
      <c r="J33">
        <v>5.0999999999999996</v>
      </c>
    </row>
    <row r="34" spans="1:10">
      <c r="A34">
        <v>33</v>
      </c>
      <c r="B34">
        <v>18</v>
      </c>
      <c r="C34">
        <v>6.9</v>
      </c>
      <c r="D34">
        <v>4.4000000000000004</v>
      </c>
      <c r="E34">
        <v>7.5</v>
      </c>
      <c r="F34">
        <v>3.9</v>
      </c>
      <c r="G34">
        <v>3</v>
      </c>
      <c r="H34">
        <v>8.4</v>
      </c>
      <c r="I34" t="b">
        <v>0</v>
      </c>
      <c r="J34">
        <v>6.9</v>
      </c>
    </row>
    <row r="35" spans="1:10">
      <c r="A35">
        <v>34</v>
      </c>
      <c r="B35">
        <v>24</v>
      </c>
      <c r="C35">
        <v>7.2</v>
      </c>
      <c r="D35">
        <v>3.3</v>
      </c>
      <c r="E35">
        <v>6.5</v>
      </c>
      <c r="F35">
        <v>6.6</v>
      </c>
      <c r="G35">
        <v>3</v>
      </c>
      <c r="H35">
        <v>8.6</v>
      </c>
      <c r="I35" t="b">
        <v>1</v>
      </c>
      <c r="J35">
        <v>6.6</v>
      </c>
    </row>
    <row r="36" spans="1:10">
      <c r="A36">
        <v>35</v>
      </c>
      <c r="B36">
        <v>35</v>
      </c>
      <c r="C36">
        <v>5.5</v>
      </c>
      <c r="D36">
        <v>4.5</v>
      </c>
      <c r="E36">
        <v>7.3</v>
      </c>
      <c r="F36">
        <v>7.8</v>
      </c>
      <c r="G36">
        <v>3</v>
      </c>
      <c r="H36">
        <v>6.7</v>
      </c>
      <c r="I36" t="b">
        <v>1</v>
      </c>
      <c r="J36">
        <v>7</v>
      </c>
    </row>
    <row r="37" spans="1:10">
      <c r="A37">
        <v>36</v>
      </c>
      <c r="B37">
        <v>18</v>
      </c>
      <c r="C37">
        <v>4.3</v>
      </c>
      <c r="D37">
        <v>5.9</v>
      </c>
      <c r="E37">
        <v>4.9000000000000004</v>
      </c>
      <c r="F37">
        <v>4.9000000000000004</v>
      </c>
      <c r="G37">
        <v>4</v>
      </c>
      <c r="H37">
        <v>8.5</v>
      </c>
      <c r="I37" t="b">
        <v>0</v>
      </c>
      <c r="J37">
        <v>3.9</v>
      </c>
    </row>
    <row r="38" spans="1:10">
      <c r="A38">
        <v>37</v>
      </c>
      <c r="B38">
        <v>8</v>
      </c>
      <c r="C38">
        <v>5</v>
      </c>
      <c r="D38">
        <v>3.8</v>
      </c>
      <c r="E38">
        <v>5.0999999999999996</v>
      </c>
      <c r="F38">
        <v>6.1</v>
      </c>
      <c r="G38">
        <v>3</v>
      </c>
      <c r="H38">
        <v>6.6</v>
      </c>
      <c r="I38" t="b">
        <v>1</v>
      </c>
      <c r="J38">
        <v>7.8</v>
      </c>
    </row>
    <row r="39" spans="1:10">
      <c r="A39">
        <v>38</v>
      </c>
      <c r="B39">
        <v>37</v>
      </c>
      <c r="C39">
        <v>6.1</v>
      </c>
      <c r="D39">
        <v>8</v>
      </c>
      <c r="E39">
        <v>4.7</v>
      </c>
      <c r="F39">
        <v>2.7</v>
      </c>
      <c r="G39">
        <v>3</v>
      </c>
      <c r="H39">
        <v>8</v>
      </c>
      <c r="I39" t="b">
        <v>1</v>
      </c>
      <c r="J39">
        <v>3.3</v>
      </c>
    </row>
    <row r="40" spans="1:10">
      <c r="A40">
        <v>39</v>
      </c>
      <c r="B40">
        <v>18</v>
      </c>
      <c r="C40">
        <v>8.1</v>
      </c>
      <c r="D40">
        <v>1</v>
      </c>
      <c r="E40">
        <v>7.5</v>
      </c>
      <c r="F40">
        <v>7</v>
      </c>
      <c r="G40">
        <v>3</v>
      </c>
      <c r="H40">
        <v>7.4</v>
      </c>
      <c r="I40" t="b">
        <v>0</v>
      </c>
      <c r="J40">
        <v>3.8</v>
      </c>
    </row>
    <row r="41" spans="1:10">
      <c r="A41">
        <v>40</v>
      </c>
      <c r="B41">
        <v>11</v>
      </c>
      <c r="C41">
        <v>6.9</v>
      </c>
      <c r="D41">
        <v>4.3</v>
      </c>
      <c r="E41">
        <v>5.0999999999999996</v>
      </c>
      <c r="F41">
        <v>5.4</v>
      </c>
      <c r="G41">
        <v>3</v>
      </c>
      <c r="H41">
        <v>8.1999999999999993</v>
      </c>
      <c r="I41" t="b">
        <v>1</v>
      </c>
      <c r="J41">
        <v>7.4</v>
      </c>
    </row>
    <row r="42" spans="1:10">
      <c r="A42">
        <v>41</v>
      </c>
      <c r="B42">
        <v>26</v>
      </c>
      <c r="C42">
        <v>7</v>
      </c>
      <c r="D42">
        <v>1.1000000000000001</v>
      </c>
      <c r="E42">
        <v>8.3000000000000007</v>
      </c>
      <c r="F42">
        <v>6.4</v>
      </c>
      <c r="G42">
        <v>4</v>
      </c>
      <c r="H42">
        <v>8.6999999999999993</v>
      </c>
      <c r="I42" t="b">
        <v>0</v>
      </c>
      <c r="J42">
        <v>1.5</v>
      </c>
    </row>
    <row r="43" spans="1:10">
      <c r="A43">
        <v>42</v>
      </c>
      <c r="B43">
        <v>18</v>
      </c>
      <c r="C43">
        <v>7.7</v>
      </c>
      <c r="D43">
        <v>4.5</v>
      </c>
      <c r="E43">
        <v>6.3</v>
      </c>
      <c r="F43">
        <v>4.7</v>
      </c>
      <c r="G43">
        <v>3</v>
      </c>
      <c r="H43">
        <v>6.6</v>
      </c>
      <c r="I43" t="b">
        <v>0</v>
      </c>
      <c r="J43">
        <v>6.4</v>
      </c>
    </row>
    <row r="44" spans="1:10">
      <c r="A44">
        <v>43</v>
      </c>
      <c r="B44">
        <v>32</v>
      </c>
      <c r="C44">
        <v>2.5</v>
      </c>
      <c r="D44">
        <v>5.7</v>
      </c>
      <c r="E44">
        <v>3.7</v>
      </c>
      <c r="F44">
        <v>4.3</v>
      </c>
      <c r="G44">
        <v>3</v>
      </c>
      <c r="H44">
        <v>7.3</v>
      </c>
      <c r="I44" t="b">
        <v>0</v>
      </c>
      <c r="J44">
        <v>3.1</v>
      </c>
    </row>
    <row r="45" spans="1:10">
      <c r="A45">
        <v>44</v>
      </c>
      <c r="B45">
        <v>4</v>
      </c>
      <c r="C45">
        <v>7.4</v>
      </c>
      <c r="D45">
        <v>4.5</v>
      </c>
      <c r="E45">
        <v>7.3</v>
      </c>
      <c r="F45">
        <v>6.8</v>
      </c>
      <c r="G45">
        <v>4</v>
      </c>
      <c r="H45">
        <v>10</v>
      </c>
      <c r="I45" t="b">
        <v>0</v>
      </c>
      <c r="J45">
        <v>3.9</v>
      </c>
    </row>
    <row r="46" spans="1:10">
      <c r="A46">
        <v>45</v>
      </c>
      <c r="B46">
        <v>16</v>
      </c>
      <c r="C46">
        <v>9.6</v>
      </c>
      <c r="D46">
        <v>4.4000000000000004</v>
      </c>
      <c r="E46">
        <v>6.7</v>
      </c>
      <c r="F46">
        <v>5</v>
      </c>
      <c r="G46">
        <v>3</v>
      </c>
      <c r="H46">
        <v>7.1</v>
      </c>
      <c r="I46" t="b">
        <v>0</v>
      </c>
      <c r="J46">
        <v>4.9000000000000004</v>
      </c>
    </row>
    <row r="47" spans="1:10">
      <c r="A47">
        <v>46</v>
      </c>
      <c r="B47">
        <v>30</v>
      </c>
      <c r="C47">
        <v>5.9</v>
      </c>
      <c r="D47">
        <v>5.6</v>
      </c>
      <c r="E47">
        <v>5.0999999999999996</v>
      </c>
      <c r="F47">
        <v>6.8</v>
      </c>
      <c r="G47">
        <v>4</v>
      </c>
      <c r="H47">
        <v>8.9</v>
      </c>
      <c r="I47" t="b">
        <v>0</v>
      </c>
      <c r="J47">
        <v>6.2</v>
      </c>
    </row>
    <row r="48" spans="1:10">
      <c r="A48">
        <v>47</v>
      </c>
      <c r="B48">
        <v>21</v>
      </c>
      <c r="C48">
        <v>7.1</v>
      </c>
      <c r="D48">
        <v>3.5</v>
      </c>
      <c r="E48">
        <v>7.2</v>
      </c>
      <c r="F48">
        <v>5.4</v>
      </c>
      <c r="G48">
        <v>3</v>
      </c>
      <c r="H48">
        <v>8</v>
      </c>
      <c r="I48" t="b">
        <v>1</v>
      </c>
      <c r="J48">
        <v>4</v>
      </c>
    </row>
    <row r="49" spans="1:10">
      <c r="A49">
        <v>48</v>
      </c>
      <c r="B49">
        <v>14</v>
      </c>
      <c r="C49">
        <v>7</v>
      </c>
      <c r="D49">
        <v>2.7</v>
      </c>
      <c r="E49">
        <v>6.1</v>
      </c>
      <c r="F49">
        <v>6.3</v>
      </c>
      <c r="G49">
        <v>4</v>
      </c>
      <c r="H49">
        <v>10</v>
      </c>
      <c r="I49" t="b">
        <v>1</v>
      </c>
      <c r="J4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28DF-8142-48AB-8E74-C5F1B65A4F38}">
  <dimension ref="A1:P5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140625" style="54" bestFit="1" customWidth="1"/>
    <col min="2" max="2" width="26.28515625" style="54" bestFit="1" customWidth="1"/>
    <col min="3" max="3" width="12.7109375" style="54" bestFit="1" customWidth="1"/>
    <col min="4" max="4" width="14.5703125" style="54" bestFit="1" customWidth="1"/>
    <col min="5" max="5" width="18.5703125" style="54" bestFit="1" customWidth="1"/>
    <col min="6" max="6" width="26.28515625" style="54" bestFit="1" customWidth="1"/>
    <col min="7" max="7" width="11.85546875" style="54" bestFit="1" customWidth="1"/>
    <col min="8" max="8" width="96.140625" style="59" customWidth="1"/>
    <col min="9" max="9" width="12.140625" style="54" bestFit="1" customWidth="1"/>
    <col min="10" max="10" width="9.28515625" style="54" bestFit="1" customWidth="1"/>
    <col min="11" max="11" width="19.140625" style="54" bestFit="1" customWidth="1"/>
    <col min="12" max="12" width="18" style="54" bestFit="1" customWidth="1"/>
    <col min="13" max="13" width="19.28515625" style="54" bestFit="1" customWidth="1"/>
    <col min="14" max="14" width="15.85546875" style="54" bestFit="1" customWidth="1"/>
    <col min="15" max="15" width="28.140625" style="54" bestFit="1" customWidth="1"/>
    <col min="16" max="16" width="18.5703125" style="54" bestFit="1" customWidth="1"/>
    <col min="17" max="16384" width="9.140625" style="54"/>
  </cols>
  <sheetData>
    <row r="1" spans="1:16">
      <c r="A1" s="26" t="s">
        <v>1506</v>
      </c>
      <c r="B1" s="27" t="s">
        <v>255</v>
      </c>
      <c r="C1" s="27" t="s">
        <v>256</v>
      </c>
      <c r="D1" s="27" t="s">
        <v>257</v>
      </c>
      <c r="E1" s="27" t="s">
        <v>258</v>
      </c>
      <c r="F1" s="27" t="s">
        <v>259</v>
      </c>
      <c r="G1" s="27" t="s">
        <v>260</v>
      </c>
      <c r="H1" s="34" t="s">
        <v>261</v>
      </c>
      <c r="I1" s="27" t="s">
        <v>262</v>
      </c>
      <c r="J1" s="27" t="s">
        <v>263</v>
      </c>
      <c r="K1" s="27" t="s">
        <v>264</v>
      </c>
      <c r="L1" s="27" t="s">
        <v>265</v>
      </c>
      <c r="M1" s="27" t="s">
        <v>266</v>
      </c>
      <c r="N1" s="27" t="s">
        <v>267</v>
      </c>
      <c r="O1" s="27" t="s">
        <v>268</v>
      </c>
      <c r="P1" s="27" t="s">
        <v>269</v>
      </c>
    </row>
    <row r="2" spans="1:16">
      <c r="A2" s="23">
        <v>1</v>
      </c>
      <c r="B2" s="24" t="s">
        <v>1202</v>
      </c>
      <c r="C2" s="24" t="s">
        <v>3</v>
      </c>
      <c r="D2" s="24" t="s">
        <v>86</v>
      </c>
      <c r="E2" s="25">
        <v>44958</v>
      </c>
      <c r="F2" s="24" t="s">
        <v>87</v>
      </c>
      <c r="G2" s="24" t="s">
        <v>88</v>
      </c>
      <c r="H2" s="35" t="s">
        <v>89</v>
      </c>
      <c r="I2" s="24" t="s">
        <v>90</v>
      </c>
      <c r="J2" s="24" t="s">
        <v>91</v>
      </c>
      <c r="K2" s="24" t="s">
        <v>92</v>
      </c>
      <c r="L2" s="24" t="s">
        <v>90</v>
      </c>
      <c r="M2" s="24" t="s">
        <v>93</v>
      </c>
      <c r="N2" s="24" t="s">
        <v>94</v>
      </c>
      <c r="O2" s="24" t="s">
        <v>93</v>
      </c>
      <c r="P2" s="24" t="s">
        <v>95</v>
      </c>
    </row>
    <row r="3" spans="1:16">
      <c r="A3" s="23">
        <v>2</v>
      </c>
      <c r="B3" s="24" t="s">
        <v>596</v>
      </c>
      <c r="C3" s="24" t="s">
        <v>6</v>
      </c>
      <c r="D3" s="24" t="s">
        <v>86</v>
      </c>
      <c r="E3" s="25">
        <v>46082</v>
      </c>
      <c r="F3" s="24" t="s">
        <v>4</v>
      </c>
      <c r="G3" s="24" t="s">
        <v>94</v>
      </c>
      <c r="H3" s="35" t="s">
        <v>94</v>
      </c>
      <c r="I3" s="24" t="s">
        <v>90</v>
      </c>
      <c r="J3" s="24" t="s">
        <v>91</v>
      </c>
      <c r="K3" s="24" t="s">
        <v>92</v>
      </c>
      <c r="L3" s="24" t="s">
        <v>90</v>
      </c>
      <c r="M3" s="24" t="s">
        <v>94</v>
      </c>
      <c r="N3" s="24" t="s">
        <v>94</v>
      </c>
      <c r="O3" s="24" t="s">
        <v>93</v>
      </c>
      <c r="P3" s="24" t="s">
        <v>95</v>
      </c>
    </row>
    <row r="4" spans="1:16" ht="75.75">
      <c r="A4" s="23">
        <v>3</v>
      </c>
      <c r="B4" s="24" t="s">
        <v>1009</v>
      </c>
      <c r="C4" s="24" t="s">
        <v>7</v>
      </c>
      <c r="D4" s="24" t="s">
        <v>86</v>
      </c>
      <c r="E4" s="25">
        <v>44667</v>
      </c>
      <c r="F4" s="24" t="s">
        <v>100</v>
      </c>
      <c r="G4" s="24" t="s">
        <v>101</v>
      </c>
      <c r="H4" s="35" t="s">
        <v>102</v>
      </c>
      <c r="I4" s="24" t="s">
        <v>90</v>
      </c>
      <c r="J4" s="24" t="s">
        <v>91</v>
      </c>
      <c r="K4" s="24" t="s">
        <v>92</v>
      </c>
      <c r="L4" s="24" t="s">
        <v>90</v>
      </c>
      <c r="M4" s="24" t="s">
        <v>103</v>
      </c>
      <c r="N4" s="24" t="s">
        <v>104</v>
      </c>
      <c r="O4" s="24" t="s">
        <v>93</v>
      </c>
      <c r="P4" s="24" t="s">
        <v>104</v>
      </c>
    </row>
    <row r="5" spans="1:16" ht="45.75">
      <c r="A5" s="65">
        <v>4</v>
      </c>
      <c r="B5" s="66" t="s">
        <v>1423</v>
      </c>
      <c r="C5" s="66" t="s">
        <v>8</v>
      </c>
      <c r="D5" s="66" t="s">
        <v>86</v>
      </c>
      <c r="E5" s="25">
        <v>43062</v>
      </c>
      <c r="F5" s="66" t="s">
        <v>4</v>
      </c>
      <c r="G5" s="66" t="s">
        <v>107</v>
      </c>
      <c r="H5" s="67" t="s">
        <v>108</v>
      </c>
      <c r="I5" s="66" t="s">
        <v>90</v>
      </c>
      <c r="J5" s="66" t="s">
        <v>91</v>
      </c>
      <c r="K5" s="66" t="s">
        <v>92</v>
      </c>
      <c r="L5" s="66" t="s">
        <v>90</v>
      </c>
      <c r="M5" s="66" t="s">
        <v>93</v>
      </c>
      <c r="N5" s="66" t="s">
        <v>94</v>
      </c>
      <c r="O5" s="66" t="s">
        <v>93</v>
      </c>
      <c r="P5" s="66" t="s">
        <v>104</v>
      </c>
    </row>
    <row r="6" spans="1:16">
      <c r="A6" s="82">
        <v>5</v>
      </c>
      <c r="B6" s="53" t="s">
        <v>1516</v>
      </c>
      <c r="C6" s="53" t="s">
        <v>11</v>
      </c>
      <c r="D6" s="53" t="s">
        <v>86</v>
      </c>
      <c r="E6" s="25">
        <v>45427</v>
      </c>
      <c r="F6" s="53" t="s">
        <v>111</v>
      </c>
      <c r="G6" s="83">
        <v>720</v>
      </c>
      <c r="H6" s="53" t="s">
        <v>112</v>
      </c>
      <c r="I6" s="53" t="s">
        <v>90</v>
      </c>
      <c r="J6" s="53" t="s">
        <v>91</v>
      </c>
      <c r="K6" s="53" t="s">
        <v>92</v>
      </c>
      <c r="L6" s="53" t="s">
        <v>90</v>
      </c>
      <c r="M6" s="53" t="s">
        <v>113</v>
      </c>
      <c r="N6" s="53"/>
      <c r="O6" s="53" t="s">
        <v>113</v>
      </c>
      <c r="P6" s="53" t="s">
        <v>95</v>
      </c>
    </row>
    <row r="7" spans="1:16" ht="75.75">
      <c r="A7" s="82">
        <v>6</v>
      </c>
      <c r="B7" s="53" t="s">
        <v>1517</v>
      </c>
      <c r="C7" s="53" t="s">
        <v>13</v>
      </c>
      <c r="D7" s="60" t="s">
        <v>86</v>
      </c>
      <c r="E7" s="25">
        <v>45870</v>
      </c>
      <c r="F7" s="72" t="s">
        <v>14</v>
      </c>
      <c r="G7" s="83">
        <v>740</v>
      </c>
      <c r="H7" s="73" t="s">
        <v>116</v>
      </c>
      <c r="I7" s="53" t="s">
        <v>90</v>
      </c>
      <c r="J7" s="53" t="s">
        <v>91</v>
      </c>
      <c r="K7" s="53" t="s">
        <v>92</v>
      </c>
      <c r="L7" s="53" t="s">
        <v>90</v>
      </c>
      <c r="M7" s="24" t="s">
        <v>103</v>
      </c>
      <c r="N7" s="53"/>
      <c r="O7" s="24" t="s">
        <v>117</v>
      </c>
      <c r="P7" s="53" t="s">
        <v>95</v>
      </c>
    </row>
    <row r="8" spans="1:16" ht="106.5">
      <c r="A8" s="68">
        <v>7</v>
      </c>
      <c r="B8" s="69" t="s">
        <v>1457</v>
      </c>
      <c r="C8" s="70" t="s">
        <v>15</v>
      </c>
      <c r="D8" s="69" t="s">
        <v>86</v>
      </c>
      <c r="E8" s="25">
        <v>43983</v>
      </c>
      <c r="F8" s="69" t="s">
        <v>14</v>
      </c>
      <c r="G8" s="69" t="s">
        <v>120</v>
      </c>
      <c r="H8" s="71" t="s">
        <v>121</v>
      </c>
      <c r="I8" s="69" t="s">
        <v>90</v>
      </c>
      <c r="J8" s="69" t="s">
        <v>91</v>
      </c>
      <c r="K8" s="69" t="s">
        <v>92</v>
      </c>
      <c r="L8" s="69" t="s">
        <v>90</v>
      </c>
      <c r="M8" s="69" t="s">
        <v>103</v>
      </c>
      <c r="N8" s="69" t="s">
        <v>95</v>
      </c>
      <c r="O8" s="69" t="s">
        <v>117</v>
      </c>
      <c r="P8" s="69" t="s">
        <v>122</v>
      </c>
    </row>
    <row r="9" spans="1:16" ht="121.5">
      <c r="A9" s="23">
        <v>8</v>
      </c>
      <c r="B9" s="24" t="s">
        <v>352</v>
      </c>
      <c r="C9" s="38" t="s">
        <v>16</v>
      </c>
      <c r="D9" s="24" t="s">
        <v>86</v>
      </c>
      <c r="E9" s="25">
        <v>43366</v>
      </c>
      <c r="F9" s="24" t="s">
        <v>125</v>
      </c>
      <c r="G9" s="24" t="s">
        <v>126</v>
      </c>
      <c r="H9" s="35" t="s">
        <v>127</v>
      </c>
      <c r="I9" s="24" t="s">
        <v>90</v>
      </c>
      <c r="J9" s="24" t="s">
        <v>91</v>
      </c>
      <c r="K9" s="24" t="s">
        <v>92</v>
      </c>
      <c r="L9" s="24" t="s">
        <v>90</v>
      </c>
      <c r="M9" s="24" t="s">
        <v>117</v>
      </c>
      <c r="N9" s="24" t="s">
        <v>94</v>
      </c>
      <c r="O9" s="24" t="s">
        <v>117</v>
      </c>
      <c r="P9" s="24" t="s">
        <v>122</v>
      </c>
    </row>
    <row r="10" spans="1:16" ht="90.75">
      <c r="A10" s="23">
        <v>9</v>
      </c>
      <c r="B10" s="24" t="s">
        <v>299</v>
      </c>
      <c r="C10" s="38" t="s">
        <v>17</v>
      </c>
      <c r="D10" s="24" t="s">
        <v>86</v>
      </c>
      <c r="E10" s="25">
        <v>44028</v>
      </c>
      <c r="F10" s="24" t="s">
        <v>111</v>
      </c>
      <c r="G10" s="24" t="s">
        <v>88</v>
      </c>
      <c r="H10" s="35" t="s">
        <v>130</v>
      </c>
      <c r="I10" s="24" t="s">
        <v>90</v>
      </c>
      <c r="J10" s="24" t="s">
        <v>91</v>
      </c>
      <c r="K10" s="24" t="s">
        <v>92</v>
      </c>
      <c r="L10" s="24" t="s">
        <v>90</v>
      </c>
      <c r="M10" s="24" t="s">
        <v>131</v>
      </c>
      <c r="N10" s="24" t="s">
        <v>95</v>
      </c>
      <c r="O10" s="24" t="s">
        <v>131</v>
      </c>
      <c r="P10" s="24" t="s">
        <v>95</v>
      </c>
    </row>
    <row r="11" spans="1:16">
      <c r="A11" s="23">
        <v>10</v>
      </c>
      <c r="B11" s="24" t="s">
        <v>1150</v>
      </c>
      <c r="C11" s="38" t="s">
        <v>20</v>
      </c>
      <c r="D11" s="24" t="s">
        <v>86</v>
      </c>
      <c r="E11" s="25">
        <v>45084</v>
      </c>
      <c r="F11" s="24" t="s">
        <v>111</v>
      </c>
      <c r="G11" s="24" t="s">
        <v>134</v>
      </c>
      <c r="H11" s="35" t="s">
        <v>135</v>
      </c>
      <c r="I11" s="24" t="s">
        <v>90</v>
      </c>
      <c r="J11" s="24" t="s">
        <v>91</v>
      </c>
      <c r="K11" s="24" t="s">
        <v>92</v>
      </c>
      <c r="L11" s="24" t="s">
        <v>90</v>
      </c>
      <c r="M11" s="24" t="s">
        <v>136</v>
      </c>
      <c r="N11" s="24" t="s">
        <v>122</v>
      </c>
      <c r="O11" s="24" t="s">
        <v>136</v>
      </c>
      <c r="P11" s="24" t="s">
        <v>122</v>
      </c>
    </row>
    <row r="12" spans="1:16">
      <c r="A12" s="23">
        <v>11</v>
      </c>
      <c r="B12" s="24" t="s">
        <v>322</v>
      </c>
      <c r="C12" s="38" t="s">
        <v>22</v>
      </c>
      <c r="D12" s="24" t="s">
        <v>86</v>
      </c>
      <c r="E12" s="25">
        <v>46007</v>
      </c>
      <c r="F12" s="24" t="s">
        <v>111</v>
      </c>
      <c r="G12" s="24" t="s">
        <v>94</v>
      </c>
      <c r="H12" s="35" t="s">
        <v>94</v>
      </c>
      <c r="I12" s="24" t="s">
        <v>90</v>
      </c>
      <c r="J12" s="24" t="s">
        <v>91</v>
      </c>
      <c r="K12" s="24" t="s">
        <v>92</v>
      </c>
      <c r="L12" s="24" t="s">
        <v>90</v>
      </c>
      <c r="M12" s="24" t="s">
        <v>103</v>
      </c>
      <c r="N12" s="24" t="s">
        <v>95</v>
      </c>
      <c r="O12" s="24" t="s">
        <v>131</v>
      </c>
      <c r="P12" s="24" t="s">
        <v>104</v>
      </c>
    </row>
    <row r="13" spans="1:16" ht="30">
      <c r="A13" s="23">
        <v>12</v>
      </c>
      <c r="B13" s="53" t="s">
        <v>1518</v>
      </c>
      <c r="C13" s="75" t="s">
        <v>23</v>
      </c>
      <c r="D13" s="24" t="s">
        <v>86</v>
      </c>
      <c r="E13" s="25">
        <v>46026</v>
      </c>
      <c r="F13" s="53" t="s">
        <v>18</v>
      </c>
      <c r="G13" s="83"/>
      <c r="H13" s="73" t="s">
        <v>141</v>
      </c>
      <c r="I13" s="53" t="s">
        <v>142</v>
      </c>
      <c r="J13" s="24" t="s">
        <v>91</v>
      </c>
      <c r="K13" s="74" t="s">
        <v>143</v>
      </c>
      <c r="L13" s="53" t="s">
        <v>142</v>
      </c>
      <c r="M13" s="24" t="s">
        <v>131</v>
      </c>
      <c r="N13" s="24" t="s">
        <v>104</v>
      </c>
      <c r="O13" s="24" t="s">
        <v>131</v>
      </c>
      <c r="P13" s="24" t="s">
        <v>104</v>
      </c>
    </row>
    <row r="14" spans="1:16">
      <c r="A14" s="23">
        <v>13</v>
      </c>
      <c r="B14" s="24" t="s">
        <v>993</v>
      </c>
      <c r="C14" s="38" t="s">
        <v>24</v>
      </c>
      <c r="D14" s="24" t="s">
        <v>86</v>
      </c>
      <c r="E14" s="25">
        <v>45084</v>
      </c>
      <c r="F14" s="24" t="s">
        <v>111</v>
      </c>
      <c r="G14" s="24" t="s">
        <v>146</v>
      </c>
      <c r="H14" s="35" t="s">
        <v>147</v>
      </c>
      <c r="I14" s="24" t="s">
        <v>90</v>
      </c>
      <c r="J14" s="24" t="s">
        <v>91</v>
      </c>
      <c r="K14" s="24" t="s">
        <v>92</v>
      </c>
      <c r="L14" s="24" t="s">
        <v>90</v>
      </c>
      <c r="M14" s="24" t="s">
        <v>136</v>
      </c>
      <c r="N14" s="24" t="s">
        <v>95</v>
      </c>
      <c r="O14" s="24" t="s">
        <v>131</v>
      </c>
      <c r="P14" s="24" t="s">
        <v>95</v>
      </c>
    </row>
    <row r="15" spans="1:16" ht="45.75">
      <c r="A15" s="23">
        <v>14</v>
      </c>
      <c r="B15" s="24" t="s">
        <v>906</v>
      </c>
      <c r="C15" s="38" t="s">
        <v>25</v>
      </c>
      <c r="D15" s="24" t="s">
        <v>86</v>
      </c>
      <c r="E15" s="25">
        <v>44005</v>
      </c>
      <c r="F15" s="24" t="s">
        <v>150</v>
      </c>
      <c r="G15" s="24" t="s">
        <v>151</v>
      </c>
      <c r="H15" s="35" t="s">
        <v>152</v>
      </c>
      <c r="I15" s="24" t="s">
        <v>90</v>
      </c>
      <c r="J15" s="24" t="s">
        <v>91</v>
      </c>
      <c r="K15" s="24" t="s">
        <v>92</v>
      </c>
      <c r="L15" s="24" t="s">
        <v>90</v>
      </c>
      <c r="M15" s="24" t="s">
        <v>27</v>
      </c>
      <c r="N15" s="24" t="s">
        <v>122</v>
      </c>
      <c r="O15" s="24" t="s">
        <v>27</v>
      </c>
      <c r="P15" s="24" t="s">
        <v>104</v>
      </c>
    </row>
    <row r="16" spans="1:16">
      <c r="A16" s="23">
        <v>15</v>
      </c>
      <c r="B16" s="24" t="s">
        <v>955</v>
      </c>
      <c r="C16" s="38" t="s">
        <v>28</v>
      </c>
      <c r="D16" s="24" t="s">
        <v>86</v>
      </c>
      <c r="E16" s="25">
        <v>46023</v>
      </c>
      <c r="F16" s="24" t="s">
        <v>155</v>
      </c>
      <c r="G16" s="24" t="s">
        <v>94</v>
      </c>
      <c r="H16" s="35" t="s">
        <v>156</v>
      </c>
      <c r="I16" s="24" t="s">
        <v>90</v>
      </c>
      <c r="J16" s="24" t="s">
        <v>91</v>
      </c>
      <c r="K16" s="24" t="s">
        <v>92</v>
      </c>
      <c r="L16" s="24" t="s">
        <v>90</v>
      </c>
      <c r="M16" s="24" t="s">
        <v>94</v>
      </c>
      <c r="N16" s="24" t="s">
        <v>94</v>
      </c>
      <c r="O16" s="24" t="s">
        <v>27</v>
      </c>
      <c r="P16" s="24" t="s">
        <v>104</v>
      </c>
    </row>
    <row r="17" spans="1:16" ht="30">
      <c r="A17" s="23">
        <v>16</v>
      </c>
      <c r="B17" s="24" t="s">
        <v>991</v>
      </c>
      <c r="C17" s="38" t="s">
        <v>29</v>
      </c>
      <c r="D17" s="24" t="s">
        <v>86</v>
      </c>
      <c r="E17" s="25">
        <v>45283</v>
      </c>
      <c r="F17" s="24" t="s">
        <v>26</v>
      </c>
      <c r="G17" s="24" t="s">
        <v>120</v>
      </c>
      <c r="H17" s="35" t="s">
        <v>159</v>
      </c>
      <c r="I17" s="24" t="s">
        <v>90</v>
      </c>
      <c r="J17" s="24" t="s">
        <v>91</v>
      </c>
      <c r="K17" s="24" t="s">
        <v>92</v>
      </c>
      <c r="L17" s="24" t="s">
        <v>90</v>
      </c>
      <c r="M17" s="24" t="s">
        <v>27</v>
      </c>
      <c r="N17" s="24" t="s">
        <v>104</v>
      </c>
      <c r="O17" s="24" t="s">
        <v>27</v>
      </c>
      <c r="P17" s="24" t="s">
        <v>104</v>
      </c>
    </row>
    <row r="18" spans="1:16">
      <c r="A18" s="23">
        <v>17</v>
      </c>
      <c r="B18" s="24" t="s">
        <v>1022</v>
      </c>
      <c r="C18" s="38" t="s">
        <v>30</v>
      </c>
      <c r="D18" s="24" t="s">
        <v>86</v>
      </c>
      <c r="E18" s="25">
        <v>45854</v>
      </c>
      <c r="F18" s="24" t="s">
        <v>26</v>
      </c>
      <c r="G18" s="24" t="s">
        <v>94</v>
      </c>
      <c r="H18" s="35" t="s">
        <v>162</v>
      </c>
      <c r="I18" s="24" t="s">
        <v>90</v>
      </c>
      <c r="J18" s="24" t="s">
        <v>91</v>
      </c>
      <c r="K18" s="24" t="s">
        <v>92</v>
      </c>
      <c r="L18" s="24" t="s">
        <v>90</v>
      </c>
      <c r="M18" s="24" t="s">
        <v>94</v>
      </c>
      <c r="N18" s="24" t="s">
        <v>94</v>
      </c>
      <c r="O18" s="24" t="s">
        <v>27</v>
      </c>
      <c r="P18" s="24" t="s">
        <v>95</v>
      </c>
    </row>
    <row r="19" spans="1:16" ht="75.75">
      <c r="A19" s="23">
        <v>18</v>
      </c>
      <c r="B19" s="24" t="s">
        <v>1007</v>
      </c>
      <c r="C19" s="38" t="s">
        <v>31</v>
      </c>
      <c r="D19" s="24" t="s">
        <v>86</v>
      </c>
      <c r="E19" s="25">
        <v>45283</v>
      </c>
      <c r="F19" s="24" t="s">
        <v>26</v>
      </c>
      <c r="G19" s="24" t="s">
        <v>94</v>
      </c>
      <c r="H19" s="35" t="s">
        <v>165</v>
      </c>
      <c r="I19" s="24" t="s">
        <v>90</v>
      </c>
      <c r="J19" s="24" t="s">
        <v>91</v>
      </c>
      <c r="K19" s="24" t="s">
        <v>92</v>
      </c>
      <c r="L19" s="24" t="s">
        <v>90</v>
      </c>
      <c r="M19" s="24" t="s">
        <v>27</v>
      </c>
      <c r="N19" s="24" t="s">
        <v>104</v>
      </c>
      <c r="O19" s="24" t="s">
        <v>27</v>
      </c>
      <c r="P19" s="24" t="s">
        <v>104</v>
      </c>
    </row>
    <row r="20" spans="1:16">
      <c r="A20" s="23">
        <v>19</v>
      </c>
      <c r="B20" s="24" t="s">
        <v>1298</v>
      </c>
      <c r="C20" s="38" t="s">
        <v>32</v>
      </c>
      <c r="D20" s="24" t="s">
        <v>86</v>
      </c>
      <c r="E20" s="25">
        <v>45283</v>
      </c>
      <c r="F20" s="24" t="s">
        <v>26</v>
      </c>
      <c r="G20" s="24" t="s">
        <v>94</v>
      </c>
      <c r="H20" s="35" t="s">
        <v>168</v>
      </c>
      <c r="I20" s="24" t="s">
        <v>90</v>
      </c>
      <c r="J20" s="24" t="s">
        <v>91</v>
      </c>
      <c r="K20" s="24" t="s">
        <v>92</v>
      </c>
      <c r="L20" s="24" t="s">
        <v>90</v>
      </c>
      <c r="M20" s="24" t="s">
        <v>27</v>
      </c>
      <c r="N20" s="24" t="s">
        <v>104</v>
      </c>
      <c r="O20" s="24" t="s">
        <v>27</v>
      </c>
      <c r="P20" s="24" t="s">
        <v>104</v>
      </c>
    </row>
    <row r="21" spans="1:16">
      <c r="A21" s="23">
        <v>20</v>
      </c>
      <c r="B21" s="24" t="s">
        <v>520</v>
      </c>
      <c r="C21" s="38" t="s">
        <v>33</v>
      </c>
      <c r="D21" s="24" t="s">
        <v>86</v>
      </c>
      <c r="E21" s="25">
        <v>46014</v>
      </c>
      <c r="F21" s="24" t="s">
        <v>111</v>
      </c>
      <c r="G21" s="24" t="s">
        <v>94</v>
      </c>
      <c r="H21" s="35" t="s">
        <v>94</v>
      </c>
      <c r="I21" s="24" t="s">
        <v>90</v>
      </c>
      <c r="J21" s="24" t="s">
        <v>91</v>
      </c>
      <c r="K21" s="24" t="s">
        <v>92</v>
      </c>
      <c r="L21" s="24" t="s">
        <v>90</v>
      </c>
      <c r="M21" s="24" t="s">
        <v>94</v>
      </c>
      <c r="N21" s="24" t="s">
        <v>94</v>
      </c>
      <c r="O21" s="24" t="s">
        <v>131</v>
      </c>
      <c r="P21" s="24" t="s">
        <v>104</v>
      </c>
    </row>
    <row r="22" spans="1:16">
      <c r="A22" s="23">
        <v>21</v>
      </c>
      <c r="B22" s="24" t="s">
        <v>879</v>
      </c>
      <c r="C22" s="38" t="s">
        <v>34</v>
      </c>
      <c r="D22" s="24" t="s">
        <v>86</v>
      </c>
      <c r="E22" s="25">
        <v>46149</v>
      </c>
      <c r="F22" s="24" t="s">
        <v>111</v>
      </c>
      <c r="G22" s="24" t="s">
        <v>94</v>
      </c>
      <c r="H22" s="35" t="s">
        <v>94</v>
      </c>
      <c r="I22" s="24" t="s">
        <v>90</v>
      </c>
      <c r="J22" s="24" t="s">
        <v>91</v>
      </c>
      <c r="K22" s="24" t="s">
        <v>92</v>
      </c>
      <c r="L22" s="24" t="s">
        <v>90</v>
      </c>
      <c r="M22" s="24" t="s">
        <v>94</v>
      </c>
      <c r="N22" s="24" t="s">
        <v>94</v>
      </c>
      <c r="O22" s="24" t="s">
        <v>136</v>
      </c>
      <c r="P22" s="24" t="s">
        <v>122</v>
      </c>
    </row>
    <row r="23" spans="1:16">
      <c r="A23" s="23">
        <v>22</v>
      </c>
      <c r="B23" s="24" t="s">
        <v>1129</v>
      </c>
      <c r="C23" s="38" t="s">
        <v>35</v>
      </c>
      <c r="D23" s="24" t="s">
        <v>86</v>
      </c>
      <c r="E23" s="25">
        <v>45885</v>
      </c>
      <c r="F23" s="24" t="s">
        <v>111</v>
      </c>
      <c r="G23" s="24" t="s">
        <v>175</v>
      </c>
      <c r="H23" s="35" t="s">
        <v>176</v>
      </c>
      <c r="I23" s="24" t="s">
        <v>90</v>
      </c>
      <c r="J23" s="24" t="s">
        <v>91</v>
      </c>
      <c r="K23" s="24" t="s">
        <v>92</v>
      </c>
      <c r="L23" s="24" t="s">
        <v>90</v>
      </c>
      <c r="M23" s="24" t="s">
        <v>103</v>
      </c>
      <c r="N23" s="24" t="s">
        <v>94</v>
      </c>
      <c r="O23" s="24" t="s">
        <v>103</v>
      </c>
      <c r="P23" s="24" t="s">
        <v>95</v>
      </c>
    </row>
    <row r="24" spans="1:16" ht="30">
      <c r="A24" s="23">
        <v>23</v>
      </c>
      <c r="B24" s="53" t="s">
        <v>1519</v>
      </c>
      <c r="C24" s="53" t="s">
        <v>36</v>
      </c>
      <c r="D24" s="24" t="s">
        <v>86</v>
      </c>
      <c r="E24" s="25">
        <v>46168</v>
      </c>
      <c r="F24" s="54" t="s">
        <v>18</v>
      </c>
      <c r="G24" s="83">
        <v>710</v>
      </c>
      <c r="H24" s="73" t="s">
        <v>179</v>
      </c>
      <c r="I24" s="53" t="s">
        <v>142</v>
      </c>
      <c r="J24" s="24" t="s">
        <v>91</v>
      </c>
      <c r="K24" s="74" t="s">
        <v>143</v>
      </c>
      <c r="L24" s="53" t="s">
        <v>142</v>
      </c>
      <c r="M24" s="54" t="s">
        <v>131</v>
      </c>
      <c r="N24" s="24" t="s">
        <v>104</v>
      </c>
      <c r="O24" s="24" t="s">
        <v>131</v>
      </c>
      <c r="P24" s="24" t="s">
        <v>104</v>
      </c>
    </row>
    <row r="25" spans="1:16" ht="30">
      <c r="A25" s="23">
        <v>24</v>
      </c>
      <c r="B25" s="24" t="s">
        <v>1296</v>
      </c>
      <c r="C25" s="38" t="s">
        <v>37</v>
      </c>
      <c r="D25" s="24" t="s">
        <v>86</v>
      </c>
      <c r="E25" s="25">
        <v>40929</v>
      </c>
      <c r="F25" s="24" t="s">
        <v>150</v>
      </c>
      <c r="G25" s="24" t="s">
        <v>182</v>
      </c>
      <c r="H25" s="35" t="s">
        <v>183</v>
      </c>
      <c r="I25" s="24" t="s">
        <v>90</v>
      </c>
      <c r="J25" s="24" t="s">
        <v>91</v>
      </c>
      <c r="K25" s="24" t="s">
        <v>92</v>
      </c>
      <c r="L25" s="24" t="s">
        <v>90</v>
      </c>
      <c r="M25" s="24" t="s">
        <v>27</v>
      </c>
      <c r="N25" s="24" t="s">
        <v>122</v>
      </c>
      <c r="O25" s="24" t="s">
        <v>184</v>
      </c>
      <c r="P25" s="24" t="s">
        <v>104</v>
      </c>
    </row>
    <row r="26" spans="1:16" ht="30">
      <c r="A26" s="23">
        <v>25</v>
      </c>
      <c r="B26" s="24" t="s">
        <v>1127</v>
      </c>
      <c r="C26" s="38" t="s">
        <v>1520</v>
      </c>
      <c r="D26" s="24" t="s">
        <v>86</v>
      </c>
      <c r="E26" s="25">
        <v>43182</v>
      </c>
      <c r="F26" s="24" t="s">
        <v>111</v>
      </c>
      <c r="G26" s="24" t="s">
        <v>187</v>
      </c>
      <c r="H26" s="35" t="s">
        <v>188</v>
      </c>
      <c r="I26" s="24" t="s">
        <v>90</v>
      </c>
      <c r="J26" s="24" t="s">
        <v>91</v>
      </c>
      <c r="K26" s="24" t="s">
        <v>92</v>
      </c>
      <c r="L26" s="24" t="s">
        <v>90</v>
      </c>
      <c r="M26" s="24" t="s">
        <v>103</v>
      </c>
      <c r="N26" s="24" t="s">
        <v>122</v>
      </c>
      <c r="O26" s="24" t="s">
        <v>184</v>
      </c>
      <c r="P26" s="24" t="s">
        <v>104</v>
      </c>
    </row>
    <row r="27" spans="1:16" ht="30">
      <c r="A27" s="23">
        <v>26</v>
      </c>
      <c r="B27" s="53" t="s">
        <v>1521</v>
      </c>
      <c r="C27" s="53" t="s">
        <v>39</v>
      </c>
      <c r="D27" s="24" t="s">
        <v>86</v>
      </c>
      <c r="E27" s="25">
        <v>46174</v>
      </c>
      <c r="F27" s="53" t="s">
        <v>18</v>
      </c>
      <c r="G27" s="83">
        <v>880</v>
      </c>
      <c r="H27" s="73" t="s">
        <v>191</v>
      </c>
      <c r="I27" s="53" t="s">
        <v>142</v>
      </c>
      <c r="J27" s="24" t="s">
        <v>91</v>
      </c>
      <c r="K27" s="24" t="s">
        <v>143</v>
      </c>
      <c r="L27" s="53" t="s">
        <v>142</v>
      </c>
      <c r="M27" s="54" t="s">
        <v>131</v>
      </c>
      <c r="N27" s="66" t="s">
        <v>104</v>
      </c>
      <c r="O27" s="66" t="s">
        <v>131</v>
      </c>
      <c r="P27" s="66" t="s">
        <v>104</v>
      </c>
    </row>
    <row r="28" spans="1:16" ht="30">
      <c r="A28" s="23">
        <v>27</v>
      </c>
      <c r="B28" s="53" t="s">
        <v>1522</v>
      </c>
      <c r="C28" s="53" t="s">
        <v>40</v>
      </c>
      <c r="D28" s="24" t="s">
        <v>86</v>
      </c>
      <c r="E28" s="25">
        <v>46174</v>
      </c>
      <c r="F28" s="54" t="s">
        <v>18</v>
      </c>
      <c r="G28" s="83">
        <v>850</v>
      </c>
      <c r="H28" s="73" t="s">
        <v>194</v>
      </c>
      <c r="I28" s="53" t="s">
        <v>142</v>
      </c>
      <c r="J28" s="24" t="s">
        <v>91</v>
      </c>
      <c r="K28" s="74" t="s">
        <v>143</v>
      </c>
      <c r="L28" s="60" t="s">
        <v>142</v>
      </c>
      <c r="M28" s="53" t="s">
        <v>136</v>
      </c>
      <c r="N28" s="53" t="s">
        <v>95</v>
      </c>
      <c r="O28" s="53" t="s">
        <v>136</v>
      </c>
      <c r="P28" s="24" t="s">
        <v>95</v>
      </c>
    </row>
    <row r="29" spans="1:16">
      <c r="A29" s="23">
        <v>28</v>
      </c>
      <c r="B29" s="53" t="s">
        <v>1523</v>
      </c>
      <c r="C29" s="53" t="s">
        <v>41</v>
      </c>
      <c r="D29" s="24" t="s">
        <v>86</v>
      </c>
      <c r="E29" s="25">
        <v>46218</v>
      </c>
      <c r="F29" s="54" t="s">
        <v>18</v>
      </c>
      <c r="G29" s="83"/>
      <c r="H29" s="73"/>
      <c r="I29" s="53" t="s">
        <v>142</v>
      </c>
      <c r="J29" s="24" t="s">
        <v>91</v>
      </c>
      <c r="K29" s="74" t="s">
        <v>143</v>
      </c>
      <c r="L29" s="60" t="s">
        <v>142</v>
      </c>
      <c r="M29" s="53" t="s">
        <v>131</v>
      </c>
      <c r="N29" s="53" t="s">
        <v>104</v>
      </c>
      <c r="O29" s="53" t="s">
        <v>131</v>
      </c>
      <c r="P29" s="53" t="s">
        <v>104</v>
      </c>
    </row>
    <row r="30" spans="1:16">
      <c r="A30" s="23">
        <v>29</v>
      </c>
      <c r="B30" s="24" t="s">
        <v>563</v>
      </c>
      <c r="C30" s="38" t="s">
        <v>42</v>
      </c>
      <c r="D30" s="24" t="s">
        <v>86</v>
      </c>
      <c r="E30" s="25">
        <v>45923</v>
      </c>
      <c r="F30" s="24" t="s">
        <v>199</v>
      </c>
      <c r="G30" s="24" t="s">
        <v>94</v>
      </c>
      <c r="H30" s="35" t="s">
        <v>94</v>
      </c>
      <c r="I30" s="24" t="s">
        <v>90</v>
      </c>
      <c r="J30" s="24" t="s">
        <v>91</v>
      </c>
      <c r="K30" s="24" t="s">
        <v>92</v>
      </c>
      <c r="L30" s="78" t="s">
        <v>90</v>
      </c>
      <c r="M30" s="24" t="s">
        <v>94</v>
      </c>
      <c r="N30" s="24" t="s">
        <v>94</v>
      </c>
      <c r="O30" s="24" t="s">
        <v>43</v>
      </c>
      <c r="P30" s="24" t="s">
        <v>122</v>
      </c>
    </row>
    <row r="31" spans="1:16">
      <c r="A31" s="23">
        <v>30</v>
      </c>
      <c r="B31" s="53" t="s">
        <v>1524</v>
      </c>
      <c r="C31" s="53" t="s">
        <v>45</v>
      </c>
      <c r="D31" s="24" t="s">
        <v>86</v>
      </c>
      <c r="E31" s="25">
        <v>46168</v>
      </c>
      <c r="F31" s="53" t="s">
        <v>43</v>
      </c>
      <c r="G31" s="83"/>
      <c r="H31" s="73"/>
      <c r="I31" s="24" t="s">
        <v>90</v>
      </c>
      <c r="J31" s="24" t="s">
        <v>91</v>
      </c>
      <c r="K31" s="24" t="s">
        <v>92</v>
      </c>
      <c r="L31" s="78" t="s">
        <v>90</v>
      </c>
      <c r="M31" s="53"/>
      <c r="N31" s="53"/>
      <c r="O31" s="24" t="s">
        <v>43</v>
      </c>
      <c r="P31" s="53" t="s">
        <v>104</v>
      </c>
    </row>
    <row r="32" spans="1:16">
      <c r="A32" s="23">
        <v>31</v>
      </c>
      <c r="B32" s="24" t="s">
        <v>455</v>
      </c>
      <c r="C32" s="38" t="s">
        <v>46</v>
      </c>
      <c r="D32" s="24" t="s">
        <v>86</v>
      </c>
      <c r="E32" s="25">
        <v>45398</v>
      </c>
      <c r="F32" s="24" t="s">
        <v>204</v>
      </c>
      <c r="G32" s="24" t="s">
        <v>151</v>
      </c>
      <c r="H32" s="35" t="s">
        <v>205</v>
      </c>
      <c r="I32" s="24" t="s">
        <v>90</v>
      </c>
      <c r="J32" s="24" t="s">
        <v>91</v>
      </c>
      <c r="K32" s="24" t="s">
        <v>92</v>
      </c>
      <c r="L32" s="78" t="s">
        <v>90</v>
      </c>
      <c r="M32" s="24" t="s">
        <v>94</v>
      </c>
      <c r="N32" s="24" t="s">
        <v>94</v>
      </c>
      <c r="O32" s="24" t="s">
        <v>43</v>
      </c>
      <c r="P32" s="24" t="s">
        <v>95</v>
      </c>
    </row>
    <row r="33" spans="1:16">
      <c r="A33" s="23">
        <v>32</v>
      </c>
      <c r="B33" s="24" t="s">
        <v>721</v>
      </c>
      <c r="C33" s="38" t="s">
        <v>47</v>
      </c>
      <c r="D33" s="24" t="s">
        <v>86</v>
      </c>
      <c r="E33" s="25">
        <v>45937</v>
      </c>
      <c r="F33" s="24" t="s">
        <v>204</v>
      </c>
      <c r="G33" s="24" t="s">
        <v>94</v>
      </c>
      <c r="H33" s="35" t="s">
        <v>94</v>
      </c>
      <c r="I33" s="24" t="s">
        <v>90</v>
      </c>
      <c r="J33" s="24" t="s">
        <v>91</v>
      </c>
      <c r="K33" s="24" t="s">
        <v>92</v>
      </c>
      <c r="L33" s="24" t="s">
        <v>90</v>
      </c>
      <c r="M33" s="69" t="s">
        <v>94</v>
      </c>
      <c r="N33" s="69" t="s">
        <v>94</v>
      </c>
      <c r="O33" s="69" t="s">
        <v>43</v>
      </c>
      <c r="P33" s="69" t="s">
        <v>95</v>
      </c>
    </row>
    <row r="34" spans="1:16" ht="136.5">
      <c r="A34" s="23">
        <v>33</v>
      </c>
      <c r="B34" s="24" t="s">
        <v>701</v>
      </c>
      <c r="C34" s="38" t="s">
        <v>48</v>
      </c>
      <c r="D34" s="24" t="s">
        <v>86</v>
      </c>
      <c r="E34" s="25">
        <v>43206</v>
      </c>
      <c r="F34" s="24" t="s">
        <v>111</v>
      </c>
      <c r="G34" s="24" t="s">
        <v>107</v>
      </c>
      <c r="H34" s="35" t="s">
        <v>210</v>
      </c>
      <c r="I34" s="24" t="s">
        <v>90</v>
      </c>
      <c r="J34" s="24" t="s">
        <v>91</v>
      </c>
      <c r="K34" s="24" t="s">
        <v>92</v>
      </c>
      <c r="L34" s="24" t="s">
        <v>90</v>
      </c>
      <c r="M34" s="24" t="s">
        <v>103</v>
      </c>
      <c r="N34" s="24" t="s">
        <v>95</v>
      </c>
      <c r="O34" s="24" t="s">
        <v>117</v>
      </c>
      <c r="P34" s="24" t="s">
        <v>122</v>
      </c>
    </row>
    <row r="35" spans="1:16">
      <c r="A35" s="23">
        <v>34</v>
      </c>
      <c r="B35" s="24" t="s">
        <v>1406</v>
      </c>
      <c r="C35" s="38" t="s">
        <v>50</v>
      </c>
      <c r="D35" s="24" t="s">
        <v>86</v>
      </c>
      <c r="E35" s="25">
        <v>46149</v>
      </c>
      <c r="F35" s="24" t="s">
        <v>155</v>
      </c>
      <c r="G35" s="24" t="s">
        <v>94</v>
      </c>
      <c r="H35" s="35" t="s">
        <v>156</v>
      </c>
      <c r="I35" s="24" t="s">
        <v>213</v>
      </c>
      <c r="J35" s="24" t="s">
        <v>91</v>
      </c>
      <c r="K35" s="24" t="s">
        <v>92</v>
      </c>
      <c r="L35" s="24" t="s">
        <v>213</v>
      </c>
      <c r="M35" s="24" t="s">
        <v>94</v>
      </c>
      <c r="N35" s="24" t="s">
        <v>94</v>
      </c>
      <c r="O35" s="24" t="s">
        <v>27</v>
      </c>
      <c r="P35" s="24" t="s">
        <v>104</v>
      </c>
    </row>
    <row r="36" spans="1:16">
      <c r="A36" s="23">
        <v>35</v>
      </c>
      <c r="B36" s="53" t="s">
        <v>1525</v>
      </c>
      <c r="C36" s="53" t="s">
        <v>51</v>
      </c>
      <c r="D36" s="24" t="s">
        <v>86</v>
      </c>
      <c r="E36" s="25">
        <v>46244</v>
      </c>
      <c r="F36" s="53" t="s">
        <v>43</v>
      </c>
      <c r="G36" s="83"/>
      <c r="H36" s="54" t="s">
        <v>216</v>
      </c>
      <c r="I36" s="53" t="s">
        <v>217</v>
      </c>
      <c r="J36" s="24" t="s">
        <v>91</v>
      </c>
      <c r="K36" s="53" t="s">
        <v>217</v>
      </c>
      <c r="L36" s="74" t="s">
        <v>217</v>
      </c>
      <c r="M36" s="53"/>
      <c r="N36" s="53"/>
      <c r="O36" s="24" t="s">
        <v>43</v>
      </c>
      <c r="P36" s="24" t="s">
        <v>95</v>
      </c>
    </row>
    <row r="37" spans="1:16" ht="30">
      <c r="A37" s="23">
        <v>36</v>
      </c>
      <c r="B37" s="53" t="s">
        <v>1526</v>
      </c>
      <c r="C37" s="53" t="s">
        <v>52</v>
      </c>
      <c r="D37" s="24" t="s">
        <v>86</v>
      </c>
      <c r="E37" s="25">
        <v>46237</v>
      </c>
      <c r="F37" s="77" t="s">
        <v>26</v>
      </c>
      <c r="G37" s="83"/>
      <c r="H37" s="73" t="s">
        <v>220</v>
      </c>
      <c r="I37" s="24" t="s">
        <v>213</v>
      </c>
      <c r="J37" s="24" t="s">
        <v>91</v>
      </c>
      <c r="K37" s="24" t="s">
        <v>92</v>
      </c>
      <c r="L37" s="24" t="s">
        <v>213</v>
      </c>
      <c r="M37" s="53" t="s">
        <v>27</v>
      </c>
      <c r="N37" s="53"/>
      <c r="O37" s="53" t="s">
        <v>27</v>
      </c>
      <c r="P37" s="24" t="s">
        <v>95</v>
      </c>
    </row>
    <row r="38" spans="1:16">
      <c r="A38" s="23">
        <v>37</v>
      </c>
      <c r="B38" s="53" t="s">
        <v>1229</v>
      </c>
      <c r="C38" s="53" t="s">
        <v>53</v>
      </c>
      <c r="D38" s="24" t="s">
        <v>86</v>
      </c>
      <c r="E38" s="76">
        <v>46237</v>
      </c>
      <c r="F38" s="77" t="s">
        <v>26</v>
      </c>
      <c r="G38" s="84"/>
      <c r="H38" s="73"/>
      <c r="I38" s="24" t="s">
        <v>213</v>
      </c>
      <c r="J38" s="24" t="s">
        <v>91</v>
      </c>
      <c r="K38" s="24" t="s">
        <v>92</v>
      </c>
      <c r="L38" s="24" t="s">
        <v>213</v>
      </c>
      <c r="M38" s="53"/>
      <c r="N38" s="53"/>
      <c r="O38" s="53"/>
      <c r="P38" s="53"/>
    </row>
    <row r="39" spans="1:16">
      <c r="A39" s="23">
        <v>38</v>
      </c>
      <c r="B39" s="53" t="s">
        <v>1527</v>
      </c>
      <c r="C39" s="53" t="s">
        <v>54</v>
      </c>
      <c r="D39" s="24" t="s">
        <v>86</v>
      </c>
      <c r="E39" s="76">
        <v>46237</v>
      </c>
      <c r="F39" s="53" t="s">
        <v>18</v>
      </c>
      <c r="G39" s="84"/>
      <c r="H39" s="73" t="s">
        <v>225</v>
      </c>
      <c r="I39" s="24" t="s">
        <v>90</v>
      </c>
      <c r="J39" s="24" t="s">
        <v>91</v>
      </c>
      <c r="K39" s="24" t="s">
        <v>92</v>
      </c>
      <c r="L39" s="24" t="s">
        <v>90</v>
      </c>
      <c r="M39" s="53"/>
      <c r="N39" s="53"/>
      <c r="O39" s="53"/>
      <c r="P39" s="53"/>
    </row>
    <row r="40" spans="1:16">
      <c r="A40" s="23">
        <v>39</v>
      </c>
      <c r="B40" s="53" t="s">
        <v>1528</v>
      </c>
      <c r="C40" s="53" t="s">
        <v>55</v>
      </c>
      <c r="D40" s="24" t="s">
        <v>86</v>
      </c>
      <c r="E40" s="76">
        <v>46029</v>
      </c>
      <c r="F40" s="53" t="s">
        <v>228</v>
      </c>
      <c r="G40" s="84"/>
      <c r="H40" s="73"/>
      <c r="I40" s="24" t="s">
        <v>90</v>
      </c>
      <c r="J40" s="24" t="s">
        <v>91</v>
      </c>
      <c r="K40" s="24" t="s">
        <v>92</v>
      </c>
      <c r="L40" s="24" t="s">
        <v>90</v>
      </c>
      <c r="M40" s="53"/>
      <c r="N40" s="53"/>
      <c r="O40" s="28" t="s">
        <v>131</v>
      </c>
      <c r="P40" s="53" t="s">
        <v>56</v>
      </c>
    </row>
    <row r="41" spans="1:16">
      <c r="A41" s="23">
        <v>40</v>
      </c>
      <c r="B41" s="53" t="s">
        <v>1529</v>
      </c>
      <c r="C41" s="53" t="s">
        <v>57</v>
      </c>
      <c r="D41" s="24" t="s">
        <v>86</v>
      </c>
      <c r="E41" s="76">
        <v>46029</v>
      </c>
      <c r="F41" s="53" t="s">
        <v>228</v>
      </c>
      <c r="G41" s="84"/>
      <c r="H41" s="73"/>
      <c r="I41" s="24" t="s">
        <v>90</v>
      </c>
      <c r="J41" s="24" t="s">
        <v>91</v>
      </c>
      <c r="K41" s="24" t="s">
        <v>92</v>
      </c>
      <c r="L41" s="24" t="s">
        <v>90</v>
      </c>
      <c r="M41" s="53"/>
      <c r="N41" s="53"/>
      <c r="O41" s="28" t="s">
        <v>131</v>
      </c>
      <c r="P41" s="53" t="s">
        <v>56</v>
      </c>
    </row>
    <row r="42" spans="1:16">
      <c r="A42" s="23">
        <v>41</v>
      </c>
      <c r="B42" s="53" t="s">
        <v>1530</v>
      </c>
      <c r="C42" s="53" t="s">
        <v>58</v>
      </c>
      <c r="D42" s="24" t="s">
        <v>86</v>
      </c>
      <c r="E42" s="76">
        <v>46029</v>
      </c>
      <c r="F42" s="53" t="s">
        <v>228</v>
      </c>
      <c r="G42" s="84"/>
      <c r="H42" s="73"/>
      <c r="I42" s="24" t="s">
        <v>90</v>
      </c>
      <c r="J42" s="24" t="s">
        <v>91</v>
      </c>
      <c r="K42" s="24" t="s">
        <v>92</v>
      </c>
      <c r="L42" s="24" t="s">
        <v>90</v>
      </c>
      <c r="M42" s="53"/>
      <c r="N42" s="53"/>
      <c r="O42" s="28" t="s">
        <v>131</v>
      </c>
      <c r="P42" s="53" t="s">
        <v>56</v>
      </c>
    </row>
    <row r="43" spans="1:16">
      <c r="A43" s="23">
        <v>42</v>
      </c>
      <c r="B43" s="53" t="s">
        <v>1531</v>
      </c>
      <c r="C43" s="53" t="s">
        <v>59</v>
      </c>
      <c r="D43" s="24" t="s">
        <v>86</v>
      </c>
      <c r="E43" s="76">
        <v>46029</v>
      </c>
      <c r="F43" s="53" t="s">
        <v>228</v>
      </c>
      <c r="G43" s="84"/>
      <c r="H43" s="73"/>
      <c r="I43" s="24" t="s">
        <v>90</v>
      </c>
      <c r="J43" s="24" t="s">
        <v>91</v>
      </c>
      <c r="K43" s="24" t="s">
        <v>92</v>
      </c>
      <c r="L43" s="24" t="s">
        <v>90</v>
      </c>
      <c r="M43" s="53"/>
      <c r="N43" s="53"/>
      <c r="O43" s="28" t="s">
        <v>131</v>
      </c>
      <c r="P43" s="77" t="s">
        <v>56</v>
      </c>
    </row>
    <row r="44" spans="1:16">
      <c r="A44" s="23">
        <v>43</v>
      </c>
      <c r="B44" s="53" t="s">
        <v>1532</v>
      </c>
      <c r="C44" s="53" t="s">
        <v>60</v>
      </c>
      <c r="D44" s="24" t="s">
        <v>86</v>
      </c>
      <c r="E44" s="76">
        <v>46089</v>
      </c>
      <c r="F44" s="53" t="s">
        <v>237</v>
      </c>
      <c r="G44" s="84"/>
      <c r="H44" s="73"/>
      <c r="I44" s="24" t="s">
        <v>90</v>
      </c>
      <c r="J44" s="24" t="s">
        <v>91</v>
      </c>
      <c r="K44" s="24" t="s">
        <v>92</v>
      </c>
      <c r="L44" s="24" t="s">
        <v>90</v>
      </c>
      <c r="M44" s="28"/>
      <c r="N44" s="53"/>
      <c r="O44" s="80" t="s">
        <v>131</v>
      </c>
      <c r="P44" s="79" t="s">
        <v>61</v>
      </c>
    </row>
    <row r="45" spans="1:16">
      <c r="A45" s="23">
        <v>44</v>
      </c>
      <c r="B45" s="53" t="s">
        <v>1533</v>
      </c>
      <c r="C45" s="53" t="s">
        <v>62</v>
      </c>
      <c r="D45" s="24" t="s">
        <v>86</v>
      </c>
      <c r="E45" s="76">
        <v>46089</v>
      </c>
      <c r="F45" s="53" t="s">
        <v>237</v>
      </c>
      <c r="G45" s="84"/>
      <c r="H45" s="73"/>
      <c r="I45" s="24" t="s">
        <v>90</v>
      </c>
      <c r="J45" s="24" t="s">
        <v>91</v>
      </c>
      <c r="K45" s="24" t="s">
        <v>92</v>
      </c>
      <c r="L45" s="24" t="s">
        <v>90</v>
      </c>
      <c r="M45" s="28"/>
      <c r="N45" s="53"/>
      <c r="O45" s="80" t="s">
        <v>131</v>
      </c>
      <c r="P45" s="79" t="s">
        <v>61</v>
      </c>
    </row>
    <row r="46" spans="1:16">
      <c r="A46" s="23">
        <v>45</v>
      </c>
      <c r="B46" s="53" t="s">
        <v>1534</v>
      </c>
      <c r="C46" s="75" t="s">
        <v>63</v>
      </c>
      <c r="D46" s="24" t="s">
        <v>86</v>
      </c>
      <c r="E46" s="76">
        <v>46089</v>
      </c>
      <c r="F46" s="53" t="s">
        <v>237</v>
      </c>
      <c r="G46" s="84"/>
      <c r="H46" s="73"/>
      <c r="I46" s="24" t="s">
        <v>90</v>
      </c>
      <c r="J46" s="24" t="s">
        <v>91</v>
      </c>
      <c r="K46" s="24" t="s">
        <v>92</v>
      </c>
      <c r="L46" s="24" t="s">
        <v>90</v>
      </c>
      <c r="M46" s="28"/>
      <c r="N46" s="53"/>
      <c r="O46" s="80" t="s">
        <v>131</v>
      </c>
      <c r="P46" s="53" t="s">
        <v>61</v>
      </c>
    </row>
    <row r="47" spans="1:16">
      <c r="A47" s="23">
        <v>46</v>
      </c>
      <c r="B47" s="53" t="s">
        <v>1535</v>
      </c>
      <c r="C47" s="75" t="s">
        <v>64</v>
      </c>
      <c r="D47" s="24" t="s">
        <v>86</v>
      </c>
      <c r="E47" s="76">
        <v>46258</v>
      </c>
      <c r="F47" s="53" t="s">
        <v>244</v>
      </c>
      <c r="G47" s="84"/>
      <c r="H47" s="73"/>
      <c r="I47" s="24" t="s">
        <v>90</v>
      </c>
      <c r="J47" s="24" t="s">
        <v>91</v>
      </c>
      <c r="K47" s="24" t="s">
        <v>92</v>
      </c>
      <c r="L47" s="24" t="s">
        <v>90</v>
      </c>
      <c r="M47" s="53"/>
      <c r="N47" s="53"/>
      <c r="O47" s="78" t="s">
        <v>43</v>
      </c>
      <c r="P47" s="53" t="s">
        <v>56</v>
      </c>
    </row>
    <row r="48" spans="1:16">
      <c r="A48" s="23">
        <v>47</v>
      </c>
      <c r="B48" s="53" t="s">
        <v>1536</v>
      </c>
      <c r="C48" s="53" t="s">
        <v>65</v>
      </c>
      <c r="D48" s="24" t="s">
        <v>86</v>
      </c>
      <c r="E48" s="76">
        <v>46258</v>
      </c>
      <c r="F48" s="53" t="s">
        <v>244</v>
      </c>
      <c r="G48" s="84"/>
      <c r="H48" s="73"/>
      <c r="I48" s="24" t="s">
        <v>90</v>
      </c>
      <c r="J48" s="24" t="s">
        <v>91</v>
      </c>
      <c r="K48" s="24" t="s">
        <v>92</v>
      </c>
      <c r="L48" s="24" t="s">
        <v>90</v>
      </c>
      <c r="M48" s="53"/>
      <c r="N48" s="53"/>
      <c r="O48" s="24" t="s">
        <v>43</v>
      </c>
      <c r="P48" s="81" t="s">
        <v>56</v>
      </c>
    </row>
    <row r="49" spans="1:16">
      <c r="A49" s="23">
        <v>48</v>
      </c>
      <c r="B49" s="53" t="s">
        <v>1537</v>
      </c>
      <c r="C49" s="53" t="s">
        <v>66</v>
      </c>
      <c r="D49" s="24" t="s">
        <v>86</v>
      </c>
      <c r="E49" s="76">
        <v>46258</v>
      </c>
      <c r="F49" s="53" t="s">
        <v>244</v>
      </c>
      <c r="G49" s="84"/>
      <c r="H49" s="73"/>
      <c r="I49" s="24" t="s">
        <v>90</v>
      </c>
      <c r="J49" s="24" t="s">
        <v>91</v>
      </c>
      <c r="K49" s="24" t="s">
        <v>92</v>
      </c>
      <c r="L49" s="24" t="s">
        <v>90</v>
      </c>
      <c r="M49" s="53"/>
      <c r="N49" s="53"/>
      <c r="O49" s="24" t="s">
        <v>43</v>
      </c>
      <c r="P49" s="53" t="s">
        <v>56</v>
      </c>
    </row>
    <row r="50" spans="1:16" ht="45.75">
      <c r="A50" s="23">
        <v>49</v>
      </c>
      <c r="B50" s="28" t="s">
        <v>902</v>
      </c>
      <c r="C50" s="28" t="s">
        <v>67</v>
      </c>
      <c r="D50" s="28" t="s">
        <v>251</v>
      </c>
      <c r="E50" s="25">
        <v>46250</v>
      </c>
      <c r="F50" s="28" t="s">
        <v>111</v>
      </c>
      <c r="G50" s="28" t="s">
        <v>252</v>
      </c>
      <c r="H50" s="37" t="s">
        <v>253</v>
      </c>
      <c r="I50" s="24" t="s">
        <v>90</v>
      </c>
      <c r="J50" s="24" t="s">
        <v>91</v>
      </c>
      <c r="K50" s="24" t="s">
        <v>92</v>
      </c>
      <c r="L50" s="24" t="s">
        <v>90</v>
      </c>
      <c r="M50" s="28" t="s">
        <v>131</v>
      </c>
      <c r="N50" s="28" t="s">
        <v>104</v>
      </c>
      <c r="O50" s="28" t="s">
        <v>131</v>
      </c>
      <c r="P50" s="28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F2CF-C113-4904-A828-25C6D7F8568F}">
  <dimension ref="A1:P50"/>
  <sheetViews>
    <sheetView workbookViewId="0">
      <selection activeCell="M39" sqref="M39"/>
    </sheetView>
  </sheetViews>
  <sheetFormatPr defaultRowHeight="15"/>
  <cols>
    <col min="1" max="1" width="5.140625" bestFit="1" customWidth="1"/>
    <col min="2" max="2" width="26.28515625" bestFit="1" customWidth="1"/>
    <col min="3" max="3" width="12.7109375" bestFit="1" customWidth="1"/>
    <col min="4" max="4" width="14.5703125" bestFit="1" customWidth="1"/>
    <col min="5" max="5" width="18.5703125" bestFit="1" customWidth="1"/>
    <col min="6" max="6" width="26.28515625" bestFit="1" customWidth="1"/>
    <col min="7" max="7" width="11.85546875" bestFit="1" customWidth="1"/>
    <col min="8" max="8" width="96.140625" style="4" customWidth="1"/>
    <col min="9" max="9" width="12.140625" bestFit="1" customWidth="1"/>
    <col min="10" max="10" width="9.28515625" bestFit="1" customWidth="1"/>
    <col min="11" max="11" width="19.140625" bestFit="1" customWidth="1"/>
    <col min="12" max="12" width="18" bestFit="1" customWidth="1"/>
    <col min="13" max="13" width="19.28515625" bestFit="1" customWidth="1"/>
    <col min="14" max="14" width="15.85546875" bestFit="1" customWidth="1"/>
    <col min="15" max="15" width="28.140625" bestFit="1" customWidth="1"/>
    <col min="16" max="16" width="18.5703125" bestFit="1" customWidth="1"/>
  </cols>
  <sheetData>
    <row r="1" spans="1:16">
      <c r="A1" s="26" t="s">
        <v>1506</v>
      </c>
      <c r="B1" s="27" t="s">
        <v>255</v>
      </c>
      <c r="C1" s="27" t="s">
        <v>256</v>
      </c>
      <c r="D1" s="27" t="s">
        <v>257</v>
      </c>
      <c r="E1" s="27" t="s">
        <v>258</v>
      </c>
      <c r="F1" s="27" t="s">
        <v>259</v>
      </c>
      <c r="G1" s="27" t="s">
        <v>260</v>
      </c>
      <c r="H1" s="34" t="s">
        <v>261</v>
      </c>
      <c r="I1" s="27" t="s">
        <v>262</v>
      </c>
      <c r="J1" s="27" t="s">
        <v>263</v>
      </c>
      <c r="K1" s="27" t="s">
        <v>264</v>
      </c>
      <c r="L1" s="27" t="s">
        <v>265</v>
      </c>
      <c r="M1" s="27" t="s">
        <v>266</v>
      </c>
      <c r="N1" s="27" t="s">
        <v>267</v>
      </c>
      <c r="O1" s="27" t="s">
        <v>268</v>
      </c>
      <c r="P1" s="27" t="s">
        <v>269</v>
      </c>
    </row>
    <row r="2" spans="1:16">
      <c r="A2" s="23">
        <v>1</v>
      </c>
      <c r="B2" s="24" t="s">
        <v>1202</v>
      </c>
      <c r="C2" s="24" t="s">
        <v>3</v>
      </c>
      <c r="D2" s="24" t="s">
        <v>86</v>
      </c>
      <c r="E2" s="25">
        <v>44958</v>
      </c>
      <c r="F2" s="24" t="s">
        <v>87</v>
      </c>
      <c r="G2" s="24" t="s">
        <v>88</v>
      </c>
      <c r="H2" s="35" t="s">
        <v>89</v>
      </c>
      <c r="I2" s="24" t="s">
        <v>90</v>
      </c>
      <c r="J2" s="24" t="s">
        <v>91</v>
      </c>
      <c r="K2" s="24" t="s">
        <v>92</v>
      </c>
      <c r="L2" s="24" t="s">
        <v>90</v>
      </c>
      <c r="M2" s="24" t="s">
        <v>93</v>
      </c>
      <c r="N2" s="24" t="s">
        <v>94</v>
      </c>
      <c r="O2" s="24" t="s">
        <v>93</v>
      </c>
      <c r="P2" s="24" t="s">
        <v>95</v>
      </c>
    </row>
    <row r="3" spans="1:16">
      <c r="A3" s="23">
        <v>2</v>
      </c>
      <c r="B3" s="24" t="s">
        <v>596</v>
      </c>
      <c r="C3" s="24" t="s">
        <v>6</v>
      </c>
      <c r="D3" s="24" t="s">
        <v>86</v>
      </c>
      <c r="E3" s="25">
        <v>46082</v>
      </c>
      <c r="F3" s="24" t="s">
        <v>4</v>
      </c>
      <c r="G3" s="24" t="s">
        <v>94</v>
      </c>
      <c r="H3" s="35" t="s">
        <v>94</v>
      </c>
      <c r="I3" s="24" t="s">
        <v>90</v>
      </c>
      <c r="J3" s="24" t="s">
        <v>91</v>
      </c>
      <c r="K3" s="24" t="s">
        <v>92</v>
      </c>
      <c r="L3" s="24" t="s">
        <v>90</v>
      </c>
      <c r="M3" s="24" t="s">
        <v>94</v>
      </c>
      <c r="N3" s="24" t="s">
        <v>94</v>
      </c>
      <c r="O3" s="24" t="s">
        <v>93</v>
      </c>
      <c r="P3" s="24" t="s">
        <v>95</v>
      </c>
    </row>
    <row r="4" spans="1:16" ht="75.75">
      <c r="A4" s="23">
        <v>3</v>
      </c>
      <c r="B4" s="24" t="s">
        <v>1009</v>
      </c>
      <c r="C4" s="24" t="s">
        <v>7</v>
      </c>
      <c r="D4" s="24" t="s">
        <v>86</v>
      </c>
      <c r="E4" s="25">
        <v>44667</v>
      </c>
      <c r="F4" s="24" t="s">
        <v>100</v>
      </c>
      <c r="G4" s="24" t="s">
        <v>101</v>
      </c>
      <c r="H4" s="35" t="s">
        <v>102</v>
      </c>
      <c r="I4" s="24" t="s">
        <v>90</v>
      </c>
      <c r="J4" s="24" t="s">
        <v>91</v>
      </c>
      <c r="K4" s="24" t="s">
        <v>92</v>
      </c>
      <c r="L4" s="24" t="s">
        <v>90</v>
      </c>
      <c r="M4" s="24" t="s">
        <v>103</v>
      </c>
      <c r="N4" s="24" t="s">
        <v>104</v>
      </c>
      <c r="O4" s="24" t="s">
        <v>93</v>
      </c>
      <c r="P4" s="24" t="s">
        <v>104</v>
      </c>
    </row>
    <row r="5" spans="1:16" ht="45.75">
      <c r="A5" s="23">
        <v>4</v>
      </c>
      <c r="B5" s="24" t="s">
        <v>1423</v>
      </c>
      <c r="C5" s="24" t="s">
        <v>8</v>
      </c>
      <c r="D5" s="24" t="s">
        <v>86</v>
      </c>
      <c r="E5" s="25">
        <v>43062</v>
      </c>
      <c r="F5" s="24" t="s">
        <v>4</v>
      </c>
      <c r="G5" s="24" t="s">
        <v>107</v>
      </c>
      <c r="H5" s="35" t="s">
        <v>108</v>
      </c>
      <c r="I5" s="24" t="s">
        <v>90</v>
      </c>
      <c r="J5" s="24" t="s">
        <v>91</v>
      </c>
      <c r="K5" s="24" t="s">
        <v>92</v>
      </c>
      <c r="L5" s="24" t="s">
        <v>90</v>
      </c>
      <c r="M5" s="24" t="s">
        <v>93</v>
      </c>
      <c r="N5" s="24" t="s">
        <v>94</v>
      </c>
      <c r="O5" s="24" t="s">
        <v>93</v>
      </c>
      <c r="P5" s="24" t="s">
        <v>104</v>
      </c>
    </row>
    <row r="6" spans="1:16">
      <c r="A6" s="23">
        <v>5</v>
      </c>
      <c r="B6" s="3"/>
      <c r="C6" s="31" t="s">
        <v>11</v>
      </c>
      <c r="D6" s="24" t="s">
        <v>86</v>
      </c>
      <c r="E6" s="3"/>
      <c r="F6" s="3"/>
      <c r="G6" s="3"/>
      <c r="H6" s="36"/>
      <c r="I6" s="3"/>
      <c r="J6" s="3"/>
      <c r="K6" s="3"/>
      <c r="L6" s="3"/>
      <c r="M6" s="3"/>
      <c r="N6" s="3"/>
      <c r="O6" s="3"/>
      <c r="P6" s="3"/>
    </row>
    <row r="7" spans="1:16">
      <c r="A7" s="23">
        <v>6</v>
      </c>
      <c r="B7" s="3"/>
      <c r="C7" s="31" t="s">
        <v>13</v>
      </c>
      <c r="D7" s="24" t="s">
        <v>86</v>
      </c>
      <c r="E7" s="3"/>
      <c r="F7" s="3"/>
      <c r="G7" s="3"/>
      <c r="H7" s="36"/>
      <c r="I7" s="3"/>
      <c r="J7" s="3"/>
      <c r="K7" s="3"/>
      <c r="L7" s="3"/>
      <c r="M7" s="3"/>
      <c r="N7" s="3"/>
      <c r="O7" s="3"/>
      <c r="P7" s="3"/>
    </row>
    <row r="8" spans="1:16" ht="106.5">
      <c r="A8" s="23">
        <v>7</v>
      </c>
      <c r="B8" s="24" t="s">
        <v>1457</v>
      </c>
      <c r="C8" s="38" t="s">
        <v>15</v>
      </c>
      <c r="D8" s="24" t="s">
        <v>86</v>
      </c>
      <c r="E8" s="25">
        <v>43983</v>
      </c>
      <c r="F8" s="24" t="s">
        <v>14</v>
      </c>
      <c r="G8" s="24" t="s">
        <v>120</v>
      </c>
      <c r="H8" s="35" t="s">
        <v>121</v>
      </c>
      <c r="I8" s="24" t="s">
        <v>90</v>
      </c>
      <c r="J8" s="24" t="s">
        <v>91</v>
      </c>
      <c r="K8" s="24" t="s">
        <v>92</v>
      </c>
      <c r="L8" s="24" t="s">
        <v>90</v>
      </c>
      <c r="M8" s="24" t="s">
        <v>103</v>
      </c>
      <c r="N8" s="24" t="s">
        <v>95</v>
      </c>
      <c r="O8" s="24" t="s">
        <v>117</v>
      </c>
      <c r="P8" s="24" t="s">
        <v>122</v>
      </c>
    </row>
    <row r="9" spans="1:16" ht="121.5">
      <c r="A9" s="23">
        <v>8</v>
      </c>
      <c r="B9" s="24" t="s">
        <v>352</v>
      </c>
      <c r="C9" s="38" t="s">
        <v>16</v>
      </c>
      <c r="D9" s="24" t="s">
        <v>86</v>
      </c>
      <c r="E9" s="25">
        <v>43366</v>
      </c>
      <c r="F9" s="24" t="s">
        <v>125</v>
      </c>
      <c r="G9" s="24" t="s">
        <v>126</v>
      </c>
      <c r="H9" s="35" t="s">
        <v>127</v>
      </c>
      <c r="I9" s="24" t="s">
        <v>90</v>
      </c>
      <c r="J9" s="24" t="s">
        <v>91</v>
      </c>
      <c r="K9" s="24" t="s">
        <v>92</v>
      </c>
      <c r="L9" s="24" t="s">
        <v>90</v>
      </c>
      <c r="M9" s="24" t="s">
        <v>117</v>
      </c>
      <c r="N9" s="24" t="s">
        <v>94</v>
      </c>
      <c r="O9" s="24" t="s">
        <v>117</v>
      </c>
      <c r="P9" s="24" t="s">
        <v>122</v>
      </c>
    </row>
    <row r="10" spans="1:16" ht="90.75">
      <c r="A10" s="23">
        <v>9</v>
      </c>
      <c r="B10" s="24" t="s">
        <v>299</v>
      </c>
      <c r="C10" s="38" t="s">
        <v>17</v>
      </c>
      <c r="D10" s="24" t="s">
        <v>86</v>
      </c>
      <c r="E10" s="25">
        <v>44028</v>
      </c>
      <c r="F10" s="24" t="s">
        <v>111</v>
      </c>
      <c r="G10" s="24" t="s">
        <v>88</v>
      </c>
      <c r="H10" s="35" t="s">
        <v>130</v>
      </c>
      <c r="I10" s="24" t="s">
        <v>90</v>
      </c>
      <c r="J10" s="24" t="s">
        <v>91</v>
      </c>
      <c r="K10" s="24" t="s">
        <v>92</v>
      </c>
      <c r="L10" s="24" t="s">
        <v>90</v>
      </c>
      <c r="M10" s="24" t="s">
        <v>131</v>
      </c>
      <c r="N10" s="24" t="s">
        <v>95</v>
      </c>
      <c r="O10" s="24" t="s">
        <v>131</v>
      </c>
      <c r="P10" s="24" t="s">
        <v>95</v>
      </c>
    </row>
    <row r="11" spans="1:16">
      <c r="A11" s="23">
        <v>10</v>
      </c>
      <c r="B11" s="24" t="s">
        <v>1150</v>
      </c>
      <c r="C11" s="38" t="s">
        <v>20</v>
      </c>
      <c r="D11" s="24" t="s">
        <v>86</v>
      </c>
      <c r="E11" s="25">
        <v>45084</v>
      </c>
      <c r="F11" s="24" t="s">
        <v>111</v>
      </c>
      <c r="G11" s="24" t="s">
        <v>134</v>
      </c>
      <c r="H11" s="35" t="s">
        <v>135</v>
      </c>
      <c r="I11" s="24" t="s">
        <v>90</v>
      </c>
      <c r="J11" s="24" t="s">
        <v>91</v>
      </c>
      <c r="K11" s="24" t="s">
        <v>92</v>
      </c>
      <c r="L11" s="24" t="s">
        <v>90</v>
      </c>
      <c r="M11" s="24" t="s">
        <v>136</v>
      </c>
      <c r="N11" s="24" t="s">
        <v>122</v>
      </c>
      <c r="O11" s="24" t="s">
        <v>136</v>
      </c>
      <c r="P11" s="24" t="s">
        <v>122</v>
      </c>
    </row>
    <row r="12" spans="1:16">
      <c r="A12" s="23">
        <v>11</v>
      </c>
      <c r="B12" s="24" t="s">
        <v>322</v>
      </c>
      <c r="C12" s="38" t="s">
        <v>22</v>
      </c>
      <c r="D12" s="24" t="s">
        <v>86</v>
      </c>
      <c r="E12" s="25">
        <v>46007</v>
      </c>
      <c r="F12" s="24" t="s">
        <v>111</v>
      </c>
      <c r="G12" s="24" t="s">
        <v>94</v>
      </c>
      <c r="H12" s="35" t="s">
        <v>94</v>
      </c>
      <c r="I12" s="24" t="s">
        <v>90</v>
      </c>
      <c r="J12" s="24" t="s">
        <v>91</v>
      </c>
      <c r="K12" s="24" t="s">
        <v>92</v>
      </c>
      <c r="L12" s="24" t="s">
        <v>90</v>
      </c>
      <c r="M12" s="24" t="s">
        <v>103</v>
      </c>
      <c r="N12" s="24" t="s">
        <v>95</v>
      </c>
      <c r="O12" s="24" t="s">
        <v>131</v>
      </c>
      <c r="P12" s="24" t="s">
        <v>104</v>
      </c>
    </row>
    <row r="13" spans="1:16">
      <c r="A13" s="23">
        <v>12</v>
      </c>
      <c r="B13" s="3"/>
      <c r="C13" s="32" t="s">
        <v>23</v>
      </c>
      <c r="D13" s="24" t="s">
        <v>86</v>
      </c>
      <c r="E13" s="3"/>
      <c r="F13" s="3"/>
      <c r="G13" s="3"/>
      <c r="H13" s="36"/>
      <c r="I13" s="3"/>
      <c r="J13" s="3"/>
      <c r="K13" s="3"/>
      <c r="L13" s="3"/>
      <c r="M13" s="3"/>
      <c r="N13" s="3"/>
      <c r="O13" s="3"/>
      <c r="P13" s="3"/>
    </row>
    <row r="14" spans="1:16">
      <c r="A14" s="23">
        <v>13</v>
      </c>
      <c r="B14" s="24" t="s">
        <v>993</v>
      </c>
      <c r="C14" s="38" t="s">
        <v>24</v>
      </c>
      <c r="D14" s="24" t="s">
        <v>86</v>
      </c>
      <c r="E14" s="25">
        <v>45084</v>
      </c>
      <c r="F14" s="24" t="s">
        <v>111</v>
      </c>
      <c r="G14" s="24" t="s">
        <v>146</v>
      </c>
      <c r="H14" s="35" t="s">
        <v>147</v>
      </c>
      <c r="I14" s="24" t="s">
        <v>90</v>
      </c>
      <c r="J14" s="24" t="s">
        <v>91</v>
      </c>
      <c r="K14" s="24" t="s">
        <v>92</v>
      </c>
      <c r="L14" s="24" t="s">
        <v>90</v>
      </c>
      <c r="M14" s="24" t="s">
        <v>136</v>
      </c>
      <c r="N14" s="24" t="s">
        <v>95</v>
      </c>
      <c r="O14" s="24" t="s">
        <v>131</v>
      </c>
      <c r="P14" s="24" t="s">
        <v>95</v>
      </c>
    </row>
    <row r="15" spans="1:16" ht="45.75">
      <c r="A15" s="23">
        <v>14</v>
      </c>
      <c r="B15" s="24" t="s">
        <v>906</v>
      </c>
      <c r="C15" s="38" t="s">
        <v>25</v>
      </c>
      <c r="D15" s="24" t="s">
        <v>86</v>
      </c>
      <c r="E15" s="25">
        <v>44005</v>
      </c>
      <c r="F15" s="24" t="s">
        <v>150</v>
      </c>
      <c r="G15" s="24" t="s">
        <v>151</v>
      </c>
      <c r="H15" s="35" t="s">
        <v>152</v>
      </c>
      <c r="I15" s="24" t="s">
        <v>90</v>
      </c>
      <c r="J15" s="24" t="s">
        <v>91</v>
      </c>
      <c r="K15" s="24" t="s">
        <v>92</v>
      </c>
      <c r="L15" s="24" t="s">
        <v>90</v>
      </c>
      <c r="M15" s="24" t="s">
        <v>27</v>
      </c>
      <c r="N15" s="24" t="s">
        <v>122</v>
      </c>
      <c r="O15" s="24" t="s">
        <v>27</v>
      </c>
      <c r="P15" s="24" t="s">
        <v>104</v>
      </c>
    </row>
    <row r="16" spans="1:16">
      <c r="A16" s="23">
        <v>15</v>
      </c>
      <c r="B16" s="24" t="s">
        <v>955</v>
      </c>
      <c r="C16" s="38" t="s">
        <v>28</v>
      </c>
      <c r="D16" s="24" t="s">
        <v>86</v>
      </c>
      <c r="E16" s="25">
        <v>46023</v>
      </c>
      <c r="F16" s="24" t="s">
        <v>155</v>
      </c>
      <c r="G16" s="24" t="s">
        <v>94</v>
      </c>
      <c r="H16" s="35" t="s">
        <v>156</v>
      </c>
      <c r="I16" s="24" t="s">
        <v>90</v>
      </c>
      <c r="J16" s="24" t="s">
        <v>91</v>
      </c>
      <c r="K16" s="24" t="s">
        <v>92</v>
      </c>
      <c r="L16" s="24" t="s">
        <v>90</v>
      </c>
      <c r="M16" s="24" t="s">
        <v>94</v>
      </c>
      <c r="N16" s="24" t="s">
        <v>94</v>
      </c>
      <c r="O16" s="24" t="s">
        <v>27</v>
      </c>
      <c r="P16" s="24" t="s">
        <v>104</v>
      </c>
    </row>
    <row r="17" spans="1:16" ht="30">
      <c r="A17" s="23">
        <v>16</v>
      </c>
      <c r="B17" s="24" t="s">
        <v>991</v>
      </c>
      <c r="C17" s="38" t="s">
        <v>29</v>
      </c>
      <c r="D17" s="24" t="s">
        <v>86</v>
      </c>
      <c r="E17" s="25">
        <v>45283</v>
      </c>
      <c r="F17" s="24" t="s">
        <v>26</v>
      </c>
      <c r="G17" s="24" t="s">
        <v>120</v>
      </c>
      <c r="H17" s="35" t="s">
        <v>159</v>
      </c>
      <c r="I17" s="24" t="s">
        <v>90</v>
      </c>
      <c r="J17" s="24" t="s">
        <v>91</v>
      </c>
      <c r="K17" s="24" t="s">
        <v>92</v>
      </c>
      <c r="L17" s="24" t="s">
        <v>90</v>
      </c>
      <c r="M17" s="24" t="s">
        <v>27</v>
      </c>
      <c r="N17" s="24" t="s">
        <v>104</v>
      </c>
      <c r="O17" s="24" t="s">
        <v>27</v>
      </c>
      <c r="P17" s="24" t="s">
        <v>104</v>
      </c>
    </row>
    <row r="18" spans="1:16">
      <c r="A18" s="23">
        <v>17</v>
      </c>
      <c r="B18" s="24" t="s">
        <v>1022</v>
      </c>
      <c r="C18" s="38" t="s">
        <v>30</v>
      </c>
      <c r="D18" s="24" t="s">
        <v>86</v>
      </c>
      <c r="E18" s="25">
        <v>45854</v>
      </c>
      <c r="F18" s="24" t="s">
        <v>26</v>
      </c>
      <c r="G18" s="24" t="s">
        <v>94</v>
      </c>
      <c r="H18" s="35" t="s">
        <v>162</v>
      </c>
      <c r="I18" s="24" t="s">
        <v>90</v>
      </c>
      <c r="J18" s="24" t="s">
        <v>91</v>
      </c>
      <c r="K18" s="24" t="s">
        <v>92</v>
      </c>
      <c r="L18" s="24" t="s">
        <v>90</v>
      </c>
      <c r="M18" s="24" t="s">
        <v>94</v>
      </c>
      <c r="N18" s="24" t="s">
        <v>94</v>
      </c>
      <c r="O18" s="24" t="s">
        <v>27</v>
      </c>
      <c r="P18" s="24" t="s">
        <v>95</v>
      </c>
    </row>
    <row r="19" spans="1:16" ht="75.75">
      <c r="A19" s="23">
        <v>18</v>
      </c>
      <c r="B19" s="24" t="s">
        <v>1007</v>
      </c>
      <c r="C19" s="38" t="s">
        <v>31</v>
      </c>
      <c r="D19" s="24" t="s">
        <v>86</v>
      </c>
      <c r="E19" s="25">
        <v>45283</v>
      </c>
      <c r="F19" s="24" t="s">
        <v>26</v>
      </c>
      <c r="G19" s="24" t="s">
        <v>94</v>
      </c>
      <c r="H19" s="35" t="s">
        <v>165</v>
      </c>
      <c r="I19" s="24" t="s">
        <v>90</v>
      </c>
      <c r="J19" s="24" t="s">
        <v>91</v>
      </c>
      <c r="K19" s="24" t="s">
        <v>92</v>
      </c>
      <c r="L19" s="24" t="s">
        <v>90</v>
      </c>
      <c r="M19" s="24" t="s">
        <v>27</v>
      </c>
      <c r="N19" s="24" t="s">
        <v>104</v>
      </c>
      <c r="O19" s="24" t="s">
        <v>27</v>
      </c>
      <c r="P19" s="24" t="s">
        <v>104</v>
      </c>
    </row>
    <row r="20" spans="1:16">
      <c r="A20" s="23">
        <v>19</v>
      </c>
      <c r="B20" s="24" t="s">
        <v>1298</v>
      </c>
      <c r="C20" s="38" t="s">
        <v>32</v>
      </c>
      <c r="D20" s="24" t="s">
        <v>86</v>
      </c>
      <c r="E20" s="25">
        <v>45283</v>
      </c>
      <c r="F20" s="24" t="s">
        <v>26</v>
      </c>
      <c r="G20" s="24" t="s">
        <v>94</v>
      </c>
      <c r="H20" s="35" t="s">
        <v>168</v>
      </c>
      <c r="I20" s="24" t="s">
        <v>90</v>
      </c>
      <c r="J20" s="24" t="s">
        <v>91</v>
      </c>
      <c r="K20" s="24" t="s">
        <v>92</v>
      </c>
      <c r="L20" s="24" t="s">
        <v>90</v>
      </c>
      <c r="M20" s="24" t="s">
        <v>27</v>
      </c>
      <c r="N20" s="24" t="s">
        <v>104</v>
      </c>
      <c r="O20" s="24" t="s">
        <v>27</v>
      </c>
      <c r="P20" s="24" t="s">
        <v>104</v>
      </c>
    </row>
    <row r="21" spans="1:16">
      <c r="A21" s="23">
        <v>20</v>
      </c>
      <c r="B21" s="24" t="s">
        <v>520</v>
      </c>
      <c r="C21" s="38" t="s">
        <v>33</v>
      </c>
      <c r="D21" s="24" t="s">
        <v>86</v>
      </c>
      <c r="E21" s="25">
        <v>46014</v>
      </c>
      <c r="F21" s="24" t="s">
        <v>111</v>
      </c>
      <c r="G21" s="24" t="s">
        <v>94</v>
      </c>
      <c r="H21" s="35" t="s">
        <v>94</v>
      </c>
      <c r="I21" s="24" t="s">
        <v>90</v>
      </c>
      <c r="J21" s="24" t="s">
        <v>91</v>
      </c>
      <c r="K21" s="24" t="s">
        <v>92</v>
      </c>
      <c r="L21" s="24" t="s">
        <v>90</v>
      </c>
      <c r="M21" s="24" t="s">
        <v>94</v>
      </c>
      <c r="N21" s="24" t="s">
        <v>94</v>
      </c>
      <c r="O21" s="24" t="s">
        <v>131</v>
      </c>
      <c r="P21" s="24" t="s">
        <v>104</v>
      </c>
    </row>
    <row r="22" spans="1:16">
      <c r="A22" s="23">
        <v>21</v>
      </c>
      <c r="B22" s="24" t="s">
        <v>879</v>
      </c>
      <c r="C22" s="38" t="s">
        <v>34</v>
      </c>
      <c r="D22" s="24" t="s">
        <v>86</v>
      </c>
      <c r="E22" s="25">
        <v>46149</v>
      </c>
      <c r="F22" s="24" t="s">
        <v>111</v>
      </c>
      <c r="G22" s="24" t="s">
        <v>94</v>
      </c>
      <c r="H22" s="35" t="s">
        <v>94</v>
      </c>
      <c r="I22" s="24" t="s">
        <v>90</v>
      </c>
      <c r="J22" s="24" t="s">
        <v>91</v>
      </c>
      <c r="K22" s="24" t="s">
        <v>92</v>
      </c>
      <c r="L22" s="24" t="s">
        <v>90</v>
      </c>
      <c r="M22" s="24" t="s">
        <v>94</v>
      </c>
      <c r="N22" s="24" t="s">
        <v>94</v>
      </c>
      <c r="O22" s="24" t="s">
        <v>136</v>
      </c>
      <c r="P22" s="24" t="s">
        <v>122</v>
      </c>
    </row>
    <row r="23" spans="1:16">
      <c r="A23" s="23">
        <v>22</v>
      </c>
      <c r="B23" s="24" t="s">
        <v>1129</v>
      </c>
      <c r="C23" s="38" t="s">
        <v>35</v>
      </c>
      <c r="D23" s="24" t="s">
        <v>86</v>
      </c>
      <c r="E23" s="25">
        <v>45885</v>
      </c>
      <c r="F23" s="24" t="s">
        <v>111</v>
      </c>
      <c r="G23" s="24" t="s">
        <v>175</v>
      </c>
      <c r="H23" s="35" t="s">
        <v>176</v>
      </c>
      <c r="I23" s="24" t="s">
        <v>90</v>
      </c>
      <c r="J23" s="24" t="s">
        <v>91</v>
      </c>
      <c r="K23" s="24" t="s">
        <v>92</v>
      </c>
      <c r="L23" s="24" t="s">
        <v>90</v>
      </c>
      <c r="M23" s="24" t="s">
        <v>103</v>
      </c>
      <c r="N23" s="24" t="s">
        <v>94</v>
      </c>
      <c r="O23" s="24" t="s">
        <v>103</v>
      </c>
      <c r="P23" s="24" t="s">
        <v>95</v>
      </c>
    </row>
    <row r="24" spans="1:16">
      <c r="A24" s="23">
        <v>23</v>
      </c>
      <c r="B24" s="3"/>
      <c r="C24" s="31" t="s">
        <v>36</v>
      </c>
      <c r="D24" s="24" t="s">
        <v>86</v>
      </c>
      <c r="E24" s="3"/>
      <c r="F24" s="3"/>
      <c r="G24" s="3"/>
      <c r="H24" s="36"/>
      <c r="I24" s="3"/>
      <c r="J24" s="3"/>
      <c r="K24" s="3"/>
      <c r="L24" s="3"/>
      <c r="M24" s="3"/>
      <c r="N24" s="3"/>
      <c r="O24" s="3"/>
      <c r="P24" s="3"/>
    </row>
    <row r="25" spans="1:16" ht="30">
      <c r="A25" s="23">
        <v>24</v>
      </c>
      <c r="B25" s="24" t="s">
        <v>1296</v>
      </c>
      <c r="C25" s="38" t="s">
        <v>37</v>
      </c>
      <c r="D25" s="24" t="s">
        <v>86</v>
      </c>
      <c r="E25" s="25">
        <v>40929</v>
      </c>
      <c r="F25" s="24" t="s">
        <v>150</v>
      </c>
      <c r="G25" s="24" t="s">
        <v>182</v>
      </c>
      <c r="H25" s="35" t="s">
        <v>183</v>
      </c>
      <c r="I25" s="24" t="s">
        <v>90</v>
      </c>
      <c r="J25" s="24" t="s">
        <v>91</v>
      </c>
      <c r="K25" s="24" t="s">
        <v>92</v>
      </c>
      <c r="L25" s="24" t="s">
        <v>90</v>
      </c>
      <c r="M25" s="24" t="s">
        <v>27</v>
      </c>
      <c r="N25" s="24" t="s">
        <v>122</v>
      </c>
      <c r="O25" s="24" t="s">
        <v>184</v>
      </c>
      <c r="P25" s="24" t="s">
        <v>104</v>
      </c>
    </row>
    <row r="26" spans="1:16" ht="30">
      <c r="A26" s="23">
        <v>25</v>
      </c>
      <c r="B26" s="24" t="s">
        <v>1127</v>
      </c>
      <c r="C26" s="38" t="s">
        <v>1520</v>
      </c>
      <c r="D26" s="24" t="s">
        <v>86</v>
      </c>
      <c r="E26" s="25">
        <v>43182</v>
      </c>
      <c r="F26" s="24" t="s">
        <v>111</v>
      </c>
      <c r="G26" s="24" t="s">
        <v>187</v>
      </c>
      <c r="H26" s="35" t="s">
        <v>188</v>
      </c>
      <c r="I26" s="24" t="s">
        <v>90</v>
      </c>
      <c r="J26" s="24" t="s">
        <v>91</v>
      </c>
      <c r="K26" s="24" t="s">
        <v>92</v>
      </c>
      <c r="L26" s="24" t="s">
        <v>90</v>
      </c>
      <c r="M26" s="24" t="s">
        <v>103</v>
      </c>
      <c r="N26" s="24" t="s">
        <v>122</v>
      </c>
      <c r="O26" s="24" t="s">
        <v>184</v>
      </c>
      <c r="P26" s="24" t="s">
        <v>104</v>
      </c>
    </row>
    <row r="27" spans="1:16">
      <c r="A27" s="23">
        <v>26</v>
      </c>
      <c r="B27" s="3"/>
      <c r="C27" s="31" t="s">
        <v>39</v>
      </c>
      <c r="D27" s="24" t="s">
        <v>86</v>
      </c>
      <c r="E27" s="3"/>
      <c r="F27" s="3"/>
      <c r="G27" s="3"/>
      <c r="H27" s="36"/>
      <c r="I27" s="3"/>
      <c r="J27" s="3"/>
      <c r="K27" s="3"/>
      <c r="L27" s="3"/>
      <c r="M27" s="3"/>
      <c r="N27" s="3"/>
      <c r="O27" s="3"/>
      <c r="P27" s="3"/>
    </row>
    <row r="28" spans="1:16">
      <c r="A28" s="23">
        <v>27</v>
      </c>
      <c r="B28" s="3"/>
      <c r="C28" s="31" t="s">
        <v>40</v>
      </c>
      <c r="D28" s="24" t="s">
        <v>86</v>
      </c>
      <c r="E28" s="3"/>
      <c r="F28" s="3"/>
      <c r="G28" s="3"/>
      <c r="H28" s="36"/>
      <c r="I28" s="3"/>
      <c r="J28" s="3"/>
      <c r="K28" s="3"/>
      <c r="L28" s="3"/>
      <c r="M28" s="3"/>
      <c r="N28" s="3"/>
      <c r="O28" s="3"/>
      <c r="P28" s="3"/>
    </row>
    <row r="29" spans="1:16">
      <c r="A29" s="23">
        <v>28</v>
      </c>
      <c r="B29" s="3"/>
      <c r="C29" s="31" t="s">
        <v>41</v>
      </c>
      <c r="D29" s="24" t="s">
        <v>86</v>
      </c>
      <c r="E29" s="3"/>
      <c r="F29" s="3"/>
      <c r="G29" s="3"/>
      <c r="H29" s="36"/>
      <c r="I29" s="3"/>
      <c r="J29" s="3"/>
      <c r="K29" s="3"/>
      <c r="L29" s="3"/>
      <c r="M29" s="3"/>
      <c r="N29" s="3"/>
      <c r="O29" s="3"/>
      <c r="P29" s="3"/>
    </row>
    <row r="30" spans="1:16">
      <c r="A30" s="23">
        <v>29</v>
      </c>
      <c r="B30" s="24" t="s">
        <v>563</v>
      </c>
      <c r="C30" s="38" t="s">
        <v>42</v>
      </c>
      <c r="D30" s="24" t="s">
        <v>86</v>
      </c>
      <c r="E30" s="25">
        <v>45923</v>
      </c>
      <c r="F30" s="24" t="s">
        <v>199</v>
      </c>
      <c r="G30" s="24" t="s">
        <v>94</v>
      </c>
      <c r="H30" s="35" t="s">
        <v>94</v>
      </c>
      <c r="I30" s="24" t="s">
        <v>90</v>
      </c>
      <c r="J30" s="24" t="s">
        <v>91</v>
      </c>
      <c r="K30" s="24" t="s">
        <v>92</v>
      </c>
      <c r="L30" s="24" t="s">
        <v>90</v>
      </c>
      <c r="M30" s="24" t="s">
        <v>94</v>
      </c>
      <c r="N30" s="24" t="s">
        <v>94</v>
      </c>
      <c r="O30" s="24" t="s">
        <v>43</v>
      </c>
      <c r="P30" s="24" t="s">
        <v>122</v>
      </c>
    </row>
    <row r="31" spans="1:16">
      <c r="A31" s="23">
        <v>30</v>
      </c>
      <c r="B31" s="3"/>
      <c r="C31" s="31" t="s">
        <v>45</v>
      </c>
      <c r="D31" s="24" t="s">
        <v>86</v>
      </c>
      <c r="E31" s="3"/>
      <c r="F31" s="3"/>
      <c r="G31" s="3"/>
      <c r="H31" s="36"/>
      <c r="I31" s="3"/>
      <c r="J31" s="3"/>
      <c r="K31" s="3"/>
      <c r="L31" s="3"/>
      <c r="M31" s="3"/>
      <c r="N31" s="3"/>
      <c r="O31" s="3"/>
      <c r="P31" s="3"/>
    </row>
    <row r="32" spans="1:16">
      <c r="A32" s="23">
        <v>31</v>
      </c>
      <c r="B32" s="24" t="s">
        <v>455</v>
      </c>
      <c r="C32" s="38" t="s">
        <v>46</v>
      </c>
      <c r="D32" s="24" t="s">
        <v>86</v>
      </c>
      <c r="E32" s="25">
        <v>45398</v>
      </c>
      <c r="F32" s="24" t="s">
        <v>204</v>
      </c>
      <c r="G32" s="24" t="s">
        <v>151</v>
      </c>
      <c r="H32" s="35" t="s">
        <v>205</v>
      </c>
      <c r="I32" s="24" t="s">
        <v>90</v>
      </c>
      <c r="J32" s="24" t="s">
        <v>91</v>
      </c>
      <c r="K32" s="24" t="s">
        <v>92</v>
      </c>
      <c r="L32" s="24" t="s">
        <v>90</v>
      </c>
      <c r="M32" s="24" t="s">
        <v>94</v>
      </c>
      <c r="N32" s="24" t="s">
        <v>94</v>
      </c>
      <c r="O32" s="24" t="s">
        <v>43</v>
      </c>
      <c r="P32" s="24" t="s">
        <v>95</v>
      </c>
    </row>
    <row r="33" spans="1:16">
      <c r="A33" s="23">
        <v>32</v>
      </c>
      <c r="B33" s="24" t="s">
        <v>721</v>
      </c>
      <c r="C33" s="38" t="s">
        <v>47</v>
      </c>
      <c r="D33" s="24" t="s">
        <v>86</v>
      </c>
      <c r="E33" s="25">
        <v>45937</v>
      </c>
      <c r="F33" s="24" t="s">
        <v>204</v>
      </c>
      <c r="G33" s="24" t="s">
        <v>94</v>
      </c>
      <c r="H33" s="35" t="s">
        <v>94</v>
      </c>
      <c r="I33" s="24" t="s">
        <v>90</v>
      </c>
      <c r="J33" s="24" t="s">
        <v>91</v>
      </c>
      <c r="K33" s="24" t="s">
        <v>92</v>
      </c>
      <c r="L33" s="24" t="s">
        <v>90</v>
      </c>
      <c r="M33" s="24" t="s">
        <v>94</v>
      </c>
      <c r="N33" s="24" t="s">
        <v>94</v>
      </c>
      <c r="O33" s="24" t="s">
        <v>43</v>
      </c>
      <c r="P33" s="24" t="s">
        <v>95</v>
      </c>
    </row>
    <row r="34" spans="1:16" ht="136.5">
      <c r="A34" s="23">
        <v>33</v>
      </c>
      <c r="B34" s="24" t="s">
        <v>701</v>
      </c>
      <c r="C34" s="38" t="s">
        <v>48</v>
      </c>
      <c r="D34" s="24" t="s">
        <v>86</v>
      </c>
      <c r="E34" s="25">
        <v>43206</v>
      </c>
      <c r="F34" s="24" t="s">
        <v>111</v>
      </c>
      <c r="G34" s="24" t="s">
        <v>107</v>
      </c>
      <c r="H34" s="35" t="s">
        <v>210</v>
      </c>
      <c r="I34" s="24" t="s">
        <v>90</v>
      </c>
      <c r="J34" s="24" t="s">
        <v>91</v>
      </c>
      <c r="K34" s="24" t="s">
        <v>92</v>
      </c>
      <c r="L34" s="24" t="s">
        <v>90</v>
      </c>
      <c r="M34" s="24" t="s">
        <v>103</v>
      </c>
      <c r="N34" s="24" t="s">
        <v>95</v>
      </c>
      <c r="O34" s="24" t="s">
        <v>117</v>
      </c>
      <c r="P34" s="24" t="s">
        <v>122</v>
      </c>
    </row>
    <row r="35" spans="1:16">
      <c r="A35" s="23">
        <v>34</v>
      </c>
      <c r="B35" s="24" t="s">
        <v>1406</v>
      </c>
      <c r="C35" s="38" t="s">
        <v>50</v>
      </c>
      <c r="D35" s="24" t="s">
        <v>86</v>
      </c>
      <c r="E35" s="25">
        <v>46149</v>
      </c>
      <c r="F35" s="24" t="s">
        <v>155</v>
      </c>
      <c r="G35" s="24" t="s">
        <v>94</v>
      </c>
      <c r="H35" s="35" t="s">
        <v>156</v>
      </c>
      <c r="I35" s="24" t="s">
        <v>213</v>
      </c>
      <c r="J35" s="24" t="s">
        <v>91</v>
      </c>
      <c r="K35" s="24" t="s">
        <v>92</v>
      </c>
      <c r="L35" s="24" t="s">
        <v>213</v>
      </c>
      <c r="M35" s="24" t="s">
        <v>94</v>
      </c>
      <c r="N35" s="24" t="s">
        <v>94</v>
      </c>
      <c r="O35" s="24" t="s">
        <v>27</v>
      </c>
      <c r="P35" s="24" t="s">
        <v>104</v>
      </c>
    </row>
    <row r="36" spans="1:16">
      <c r="A36" s="23">
        <v>35</v>
      </c>
      <c r="B36" s="3"/>
      <c r="C36" s="31" t="s">
        <v>51</v>
      </c>
      <c r="D36" s="24" t="s">
        <v>86</v>
      </c>
      <c r="E36" s="3"/>
      <c r="F36" s="3"/>
      <c r="G36" s="3"/>
      <c r="H36" s="36"/>
      <c r="I36" s="3"/>
      <c r="J36" s="3"/>
      <c r="K36" s="3"/>
      <c r="L36" s="3"/>
      <c r="M36" s="3"/>
      <c r="N36" s="3"/>
      <c r="O36" s="3"/>
      <c r="P36" s="3"/>
    </row>
    <row r="37" spans="1:16">
      <c r="A37" s="23">
        <v>36</v>
      </c>
      <c r="B37" s="3"/>
      <c r="C37" s="31" t="s">
        <v>52</v>
      </c>
      <c r="D37" s="24" t="s">
        <v>86</v>
      </c>
      <c r="E37" s="3"/>
      <c r="F37" s="3"/>
      <c r="G37" s="3"/>
      <c r="H37" s="36"/>
      <c r="I37" s="3"/>
      <c r="J37" s="3"/>
      <c r="K37" s="3"/>
      <c r="L37" s="3"/>
      <c r="M37" s="3"/>
      <c r="N37" s="3"/>
      <c r="O37" s="3"/>
      <c r="P37" s="3"/>
    </row>
    <row r="38" spans="1:16">
      <c r="A38" s="61">
        <v>37</v>
      </c>
      <c r="B38" s="6" t="s">
        <v>1229</v>
      </c>
      <c r="C38" s="6" t="s">
        <v>53</v>
      </c>
      <c r="D38" s="6" t="s">
        <v>86</v>
      </c>
      <c r="E38" s="7">
        <v>46029</v>
      </c>
      <c r="F38" s="6" t="s">
        <v>155</v>
      </c>
      <c r="G38" s="6" t="s">
        <v>94</v>
      </c>
      <c r="H38" s="6" t="s">
        <v>1231</v>
      </c>
      <c r="I38" s="6" t="s">
        <v>213</v>
      </c>
      <c r="J38" s="6" t="s">
        <v>91</v>
      </c>
      <c r="K38" s="6" t="s">
        <v>92</v>
      </c>
      <c r="L38" s="6" t="s">
        <v>213</v>
      </c>
      <c r="M38" s="6" t="s">
        <v>94</v>
      </c>
      <c r="N38" s="6" t="s">
        <v>94</v>
      </c>
      <c r="O38" s="6" t="s">
        <v>27</v>
      </c>
      <c r="P38" s="6" t="s">
        <v>104</v>
      </c>
    </row>
    <row r="39" spans="1:16">
      <c r="A39" s="23">
        <v>38</v>
      </c>
      <c r="B39" s="3"/>
      <c r="C39" s="31" t="s">
        <v>54</v>
      </c>
      <c r="D39" s="24" t="s">
        <v>86</v>
      </c>
      <c r="E39" s="3"/>
      <c r="F39" s="1" t="s">
        <v>18</v>
      </c>
      <c r="H39" s="36"/>
      <c r="I39" s="3"/>
      <c r="J39" s="3"/>
      <c r="K39" s="3"/>
      <c r="L39" s="3"/>
      <c r="M39" s="63" t="s">
        <v>19</v>
      </c>
      <c r="N39" s="3"/>
      <c r="O39" s="3"/>
      <c r="P39" s="3"/>
    </row>
    <row r="40" spans="1:16">
      <c r="A40" s="23">
        <v>39</v>
      </c>
      <c r="B40" s="3"/>
      <c r="C40" s="31" t="s">
        <v>55</v>
      </c>
      <c r="D40" s="24" t="s">
        <v>86</v>
      </c>
      <c r="E40" s="3"/>
      <c r="F40" s="3" t="s">
        <v>228</v>
      </c>
      <c r="G40" s="3"/>
      <c r="H40" s="36"/>
      <c r="I40" s="3"/>
      <c r="J40" s="3"/>
      <c r="K40" s="3"/>
      <c r="L40" s="3"/>
      <c r="M40" s="3"/>
      <c r="N40" s="3"/>
      <c r="O40" s="3"/>
      <c r="P40" s="3"/>
    </row>
    <row r="41" spans="1:16">
      <c r="A41" s="23">
        <v>40</v>
      </c>
      <c r="B41" s="3"/>
      <c r="C41" s="31" t="s">
        <v>57</v>
      </c>
      <c r="D41" s="24" t="s">
        <v>86</v>
      </c>
      <c r="E41" s="3"/>
      <c r="F41" s="64" t="s">
        <v>228</v>
      </c>
      <c r="G41" s="3"/>
      <c r="H41" s="36"/>
      <c r="I41" s="3"/>
      <c r="J41" s="3"/>
      <c r="K41" s="3"/>
      <c r="L41" s="3"/>
      <c r="M41" s="3"/>
      <c r="N41" s="3"/>
      <c r="O41" s="3"/>
      <c r="P41" s="3"/>
    </row>
    <row r="42" spans="1:16">
      <c r="A42" s="23">
        <v>41</v>
      </c>
      <c r="B42" s="3"/>
      <c r="C42" s="31" t="s">
        <v>58</v>
      </c>
      <c r="D42" s="24" t="s">
        <v>86</v>
      </c>
      <c r="E42" s="3"/>
      <c r="F42" s="64" t="s">
        <v>228</v>
      </c>
      <c r="G42" s="3"/>
      <c r="H42" s="36"/>
      <c r="I42" s="3"/>
      <c r="J42" s="3"/>
      <c r="K42" s="3"/>
      <c r="L42" s="3"/>
      <c r="M42" s="3"/>
      <c r="N42" s="3"/>
      <c r="O42" s="3"/>
      <c r="P42" s="3"/>
    </row>
    <row r="43" spans="1:16">
      <c r="A43" s="23">
        <v>42</v>
      </c>
      <c r="B43" s="3"/>
      <c r="C43" s="31" t="s">
        <v>59</v>
      </c>
      <c r="D43" s="24" t="s">
        <v>86</v>
      </c>
      <c r="E43" s="3"/>
      <c r="F43" s="3"/>
      <c r="G43" s="3"/>
      <c r="H43" s="36"/>
      <c r="I43" s="3"/>
      <c r="J43" s="3"/>
      <c r="K43" s="3"/>
      <c r="L43" s="3"/>
      <c r="M43" s="3"/>
      <c r="N43" s="3"/>
      <c r="O43" s="3"/>
      <c r="P43" s="3"/>
    </row>
    <row r="44" spans="1:16">
      <c r="A44" s="23">
        <v>43</v>
      </c>
      <c r="B44" s="3"/>
      <c r="C44" s="31" t="s">
        <v>60</v>
      </c>
      <c r="D44" s="24" t="s">
        <v>86</v>
      </c>
      <c r="E44" s="3"/>
      <c r="F44" s="62" t="s">
        <v>237</v>
      </c>
      <c r="G44" s="3"/>
      <c r="H44" s="36"/>
      <c r="I44" s="3"/>
      <c r="J44" s="3"/>
      <c r="K44" s="3"/>
      <c r="L44" s="3"/>
      <c r="M44" s="3"/>
      <c r="N44" s="3"/>
      <c r="O44" s="3"/>
      <c r="P44" s="3"/>
    </row>
    <row r="45" spans="1:16">
      <c r="A45" s="23">
        <v>44</v>
      </c>
      <c r="B45" s="3"/>
      <c r="C45" s="31" t="s">
        <v>62</v>
      </c>
      <c r="D45" s="24" t="s">
        <v>86</v>
      </c>
      <c r="E45" s="3"/>
      <c r="F45" s="63" t="s">
        <v>237</v>
      </c>
      <c r="G45" s="3"/>
      <c r="H45" s="36"/>
      <c r="I45" s="3"/>
      <c r="J45" s="3"/>
      <c r="K45" s="3"/>
      <c r="L45" s="3"/>
      <c r="M45" s="3"/>
      <c r="N45" s="3"/>
      <c r="O45" s="3"/>
      <c r="P45" s="3"/>
    </row>
    <row r="46" spans="1:16">
      <c r="A46" s="23">
        <v>45</v>
      </c>
      <c r="B46" s="3"/>
      <c r="C46" s="32" t="s">
        <v>63</v>
      </c>
      <c r="D46" s="24" t="s">
        <v>86</v>
      </c>
      <c r="E46" s="3"/>
      <c r="F46" s="62" t="s">
        <v>237</v>
      </c>
      <c r="G46" s="3"/>
      <c r="H46" s="36"/>
      <c r="I46" s="3"/>
      <c r="J46" s="3"/>
      <c r="K46" s="3"/>
      <c r="L46" s="3"/>
      <c r="M46" s="3"/>
      <c r="N46" s="3"/>
      <c r="O46" s="3"/>
      <c r="P46" s="3"/>
    </row>
    <row r="47" spans="1:16">
      <c r="A47" s="23">
        <v>46</v>
      </c>
      <c r="B47" s="3"/>
      <c r="C47" s="32" t="s">
        <v>64</v>
      </c>
      <c r="D47" s="24" t="s">
        <v>86</v>
      </c>
      <c r="E47" s="3"/>
      <c r="F47" s="63" t="s">
        <v>1538</v>
      </c>
      <c r="G47" s="3"/>
      <c r="H47" s="36"/>
      <c r="I47" s="3"/>
      <c r="J47" s="3"/>
      <c r="K47" s="3"/>
      <c r="L47" s="3"/>
      <c r="M47" s="3"/>
      <c r="N47" s="3"/>
      <c r="O47" s="3"/>
      <c r="P47" s="3"/>
    </row>
    <row r="48" spans="1:16">
      <c r="A48" s="23">
        <v>47</v>
      </c>
      <c r="B48" s="3"/>
      <c r="C48" s="31" t="s">
        <v>65</v>
      </c>
      <c r="D48" s="24" t="s">
        <v>86</v>
      </c>
      <c r="E48" s="3"/>
      <c r="F48" s="62" t="s">
        <v>1538</v>
      </c>
      <c r="G48" s="3"/>
      <c r="H48" s="36"/>
      <c r="I48" s="3"/>
      <c r="J48" s="3"/>
      <c r="K48" s="3"/>
      <c r="L48" s="3"/>
      <c r="M48" s="3"/>
      <c r="N48" s="3"/>
      <c r="O48" s="3"/>
      <c r="P48" s="3"/>
    </row>
    <row r="49" spans="1:16">
      <c r="A49" s="23">
        <v>48</v>
      </c>
      <c r="B49" s="3"/>
      <c r="C49" s="31" t="s">
        <v>66</v>
      </c>
      <c r="D49" s="24" t="s">
        <v>86</v>
      </c>
      <c r="E49" s="3"/>
      <c r="F49" s="63" t="s">
        <v>1538</v>
      </c>
      <c r="G49" s="3"/>
      <c r="H49" s="36"/>
      <c r="I49" s="3"/>
      <c r="J49" s="3"/>
      <c r="K49" s="3"/>
      <c r="L49" s="3"/>
      <c r="M49" s="3"/>
      <c r="N49" s="3"/>
      <c r="O49" s="3"/>
      <c r="P49" s="3"/>
    </row>
    <row r="50" spans="1:16" ht="45.75">
      <c r="A50" s="23">
        <v>49</v>
      </c>
      <c r="B50" s="28" t="s">
        <v>902</v>
      </c>
      <c r="C50" s="28" t="s">
        <v>67</v>
      </c>
      <c r="D50" s="28" t="s">
        <v>251</v>
      </c>
      <c r="E50" s="29">
        <v>46250</v>
      </c>
      <c r="F50" s="28" t="s">
        <v>111</v>
      </c>
      <c r="G50" s="28" t="s">
        <v>252</v>
      </c>
      <c r="H50" s="37" t="s">
        <v>253</v>
      </c>
      <c r="I50" s="28" t="s">
        <v>90</v>
      </c>
      <c r="J50" s="28" t="s">
        <v>91</v>
      </c>
      <c r="K50" s="28" t="s">
        <v>92</v>
      </c>
      <c r="L50" s="28" t="s">
        <v>90</v>
      </c>
      <c r="M50" s="28" t="s">
        <v>131</v>
      </c>
      <c r="N50" s="28" t="s">
        <v>104</v>
      </c>
      <c r="O50" s="28" t="s">
        <v>131</v>
      </c>
      <c r="P50" s="28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F666-C8A0-4C51-961A-C4EC014F1346}">
  <dimension ref="A1:Y77"/>
  <sheetViews>
    <sheetView workbookViewId="0">
      <selection activeCell="I6" sqref="I6"/>
    </sheetView>
  </sheetViews>
  <sheetFormatPr defaultRowHeight="15"/>
  <cols>
    <col min="1" max="1" width="9.140625" style="2"/>
    <col min="5" max="5" width="16.28515625" customWidth="1"/>
    <col min="6" max="6" width="15.140625" customWidth="1"/>
    <col min="7" max="7" width="13.42578125" customWidth="1"/>
    <col min="8" max="8" width="13" customWidth="1"/>
    <col min="9" max="9" width="12.28515625" customWidth="1"/>
    <col min="10" max="10" width="11.28515625" customWidth="1"/>
    <col min="11" max="11" width="18.42578125" customWidth="1"/>
    <col min="12" max="12" width="17.42578125" customWidth="1"/>
    <col min="13" max="13" width="14.7109375" hidden="1" customWidth="1"/>
    <col min="14" max="14" width="14.7109375" customWidth="1"/>
    <col min="15" max="15" width="19.7109375" customWidth="1"/>
    <col min="16" max="16" width="17.5703125" customWidth="1"/>
    <col min="17" max="17" width="15.85546875" customWidth="1"/>
    <col min="18" max="18" width="24.85546875" customWidth="1"/>
    <col min="19" max="19" width="27.42578125" customWidth="1"/>
    <col min="20" max="20" width="14.7109375" customWidth="1"/>
    <col min="21" max="21" width="23" customWidth="1"/>
    <col min="22" max="23" width="16.28515625" customWidth="1"/>
    <col min="24" max="24" width="15.28515625" customWidth="1"/>
  </cols>
  <sheetData>
    <row r="1" spans="1:25" ht="25.5">
      <c r="A1" s="114" t="s">
        <v>1539</v>
      </c>
      <c r="B1" s="114" t="s">
        <v>1540</v>
      </c>
      <c r="C1" s="114" t="s">
        <v>1541</v>
      </c>
      <c r="D1" s="114" t="s">
        <v>1542</v>
      </c>
      <c r="E1" s="114" t="s">
        <v>1543</v>
      </c>
      <c r="F1" s="114" t="s">
        <v>1544</v>
      </c>
      <c r="G1" s="114" t="s">
        <v>1545</v>
      </c>
      <c r="H1" s="114" t="s">
        <v>1546</v>
      </c>
      <c r="I1" s="114" t="s">
        <v>1547</v>
      </c>
      <c r="J1" s="114" t="s">
        <v>1548</v>
      </c>
      <c r="K1" s="114" t="s">
        <v>1549</v>
      </c>
      <c r="L1" s="115" t="s">
        <v>1550</v>
      </c>
      <c r="M1" s="115" t="s">
        <v>1551</v>
      </c>
      <c r="N1" s="115" t="s">
        <v>1551</v>
      </c>
      <c r="O1" s="114" t="s">
        <v>1552</v>
      </c>
      <c r="P1" s="114" t="s">
        <v>1553</v>
      </c>
      <c r="Q1" s="114" t="s">
        <v>1554</v>
      </c>
      <c r="R1" s="114" t="s">
        <v>1555</v>
      </c>
      <c r="S1" s="114" t="s">
        <v>1556</v>
      </c>
      <c r="T1" s="114" t="s">
        <v>1557</v>
      </c>
      <c r="U1" s="114" t="s">
        <v>1558</v>
      </c>
      <c r="V1" s="114" t="s">
        <v>1559</v>
      </c>
      <c r="W1" s="114" t="s">
        <v>1560</v>
      </c>
      <c r="X1" s="114" t="s">
        <v>1561</v>
      </c>
      <c r="Y1" s="114" t="s">
        <v>1562</v>
      </c>
    </row>
    <row r="2" spans="1:25" ht="45.75">
      <c r="A2" s="116">
        <v>1</v>
      </c>
      <c r="B2" s="73" t="s">
        <v>92</v>
      </c>
      <c r="C2" s="73" t="s">
        <v>1563</v>
      </c>
      <c r="D2" s="73" t="s">
        <v>91</v>
      </c>
      <c r="E2" s="73" t="s">
        <v>1564</v>
      </c>
      <c r="F2" s="73" t="s">
        <v>1565</v>
      </c>
      <c r="G2" s="73" t="s">
        <v>1566</v>
      </c>
      <c r="H2" s="53" t="s">
        <v>1567</v>
      </c>
      <c r="I2" s="53" t="s">
        <v>1568</v>
      </c>
      <c r="J2" s="73" t="s">
        <v>1569</v>
      </c>
      <c r="K2" s="73">
        <v>1</v>
      </c>
      <c r="L2" s="53" t="s">
        <v>106</v>
      </c>
      <c r="M2" s="53" t="s">
        <v>301</v>
      </c>
      <c r="N2" s="53" t="str">
        <f>IFERROR(VLOOKUP(TRIM(M2),Mapping!$A:$B,2,FALSE),"")</f>
        <v>Project_004</v>
      </c>
      <c r="O2" s="53" t="s">
        <v>1570</v>
      </c>
      <c r="P2" s="73" t="s">
        <v>1571</v>
      </c>
      <c r="Q2" s="73" t="s">
        <v>1572</v>
      </c>
      <c r="R2" s="73" t="s">
        <v>1573</v>
      </c>
      <c r="S2" s="73"/>
      <c r="T2" s="73"/>
      <c r="U2" s="73" t="s">
        <v>1574</v>
      </c>
      <c r="V2" s="73" t="s">
        <v>1575</v>
      </c>
      <c r="W2" s="73" t="s">
        <v>1576</v>
      </c>
      <c r="X2" s="73"/>
      <c r="Y2" s="73" t="s">
        <v>1577</v>
      </c>
    </row>
    <row r="3" spans="1:25" ht="45.75">
      <c r="A3" s="116">
        <v>2</v>
      </c>
      <c r="B3" s="73" t="s">
        <v>92</v>
      </c>
      <c r="C3" s="73" t="s">
        <v>1563</v>
      </c>
      <c r="D3" s="73" t="s">
        <v>91</v>
      </c>
      <c r="E3" s="73" t="s">
        <v>1564</v>
      </c>
      <c r="F3" s="73" t="s">
        <v>1565</v>
      </c>
      <c r="G3" s="73" t="s">
        <v>1566</v>
      </c>
      <c r="H3" s="53" t="s">
        <v>1567</v>
      </c>
      <c r="I3" s="53" t="s">
        <v>1568</v>
      </c>
      <c r="J3" s="73" t="s">
        <v>1569</v>
      </c>
      <c r="K3" s="73">
        <v>1</v>
      </c>
      <c r="L3" s="53" t="s">
        <v>119</v>
      </c>
      <c r="M3" s="53" t="s">
        <v>315</v>
      </c>
      <c r="N3" s="53" t="str">
        <f>IFERROR(VLOOKUP(TRIM(M3),Mapping!$A:$B,2,FALSE),"")</f>
        <v>Project_007</v>
      </c>
      <c r="O3" s="53" t="s">
        <v>1578</v>
      </c>
      <c r="P3" s="73" t="s">
        <v>1571</v>
      </c>
      <c r="Q3" s="73" t="s">
        <v>1572</v>
      </c>
      <c r="R3" s="73" t="s">
        <v>1573</v>
      </c>
      <c r="S3" s="73"/>
      <c r="T3" s="73"/>
      <c r="U3" s="73" t="s">
        <v>1574</v>
      </c>
      <c r="V3" s="73" t="s">
        <v>1575</v>
      </c>
      <c r="W3" s="73" t="s">
        <v>1576</v>
      </c>
      <c r="X3" s="73"/>
      <c r="Y3" s="73" t="s">
        <v>1577</v>
      </c>
    </row>
    <row r="4" spans="1:25" ht="45.75">
      <c r="A4" s="116">
        <v>3</v>
      </c>
      <c r="B4" s="73" t="s">
        <v>92</v>
      </c>
      <c r="C4" s="73" t="s">
        <v>1563</v>
      </c>
      <c r="D4" s="73" t="s">
        <v>91</v>
      </c>
      <c r="E4" s="73" t="s">
        <v>1564</v>
      </c>
      <c r="F4" s="73" t="s">
        <v>1565</v>
      </c>
      <c r="G4" s="73" t="s">
        <v>1566</v>
      </c>
      <c r="H4" s="53" t="s">
        <v>1567</v>
      </c>
      <c r="I4" s="53" t="s">
        <v>1568</v>
      </c>
      <c r="J4" s="73" t="s">
        <v>1569</v>
      </c>
      <c r="K4" s="73">
        <v>1</v>
      </c>
      <c r="L4" s="53" t="s">
        <v>140</v>
      </c>
      <c r="M4" s="53" t="s">
        <v>331</v>
      </c>
      <c r="N4" s="53" t="str">
        <f>IFERROR(VLOOKUP(TRIM(M4),Mapping!$A:$B,2,FALSE),"")</f>
        <v>Project_011</v>
      </c>
      <c r="O4" s="53" t="s">
        <v>18</v>
      </c>
      <c r="P4" s="73" t="s">
        <v>1571</v>
      </c>
      <c r="Q4" s="73" t="s">
        <v>1572</v>
      </c>
      <c r="R4" s="73" t="s">
        <v>1573</v>
      </c>
      <c r="S4" s="73"/>
      <c r="T4" s="73"/>
      <c r="U4" s="73" t="s">
        <v>1574</v>
      </c>
      <c r="V4" s="73" t="s">
        <v>1575</v>
      </c>
      <c r="W4" s="73" t="s">
        <v>1576</v>
      </c>
      <c r="X4" s="73"/>
      <c r="Y4" s="73" t="s">
        <v>1577</v>
      </c>
    </row>
    <row r="5" spans="1:25" ht="45.75">
      <c r="A5" s="116">
        <v>4</v>
      </c>
      <c r="B5" s="73" t="s">
        <v>92</v>
      </c>
      <c r="C5" s="73" t="s">
        <v>1563</v>
      </c>
      <c r="D5" s="73" t="s">
        <v>91</v>
      </c>
      <c r="E5" s="73" t="s">
        <v>1564</v>
      </c>
      <c r="F5" s="73" t="s">
        <v>1565</v>
      </c>
      <c r="G5" s="73" t="s">
        <v>1566</v>
      </c>
      <c r="H5" s="53" t="s">
        <v>1567</v>
      </c>
      <c r="I5" s="53" t="s">
        <v>1568</v>
      </c>
      <c r="J5" s="73" t="s">
        <v>1569</v>
      </c>
      <c r="K5" s="73">
        <v>1</v>
      </c>
      <c r="L5" s="53" t="s">
        <v>158</v>
      </c>
      <c r="M5" s="53" t="s">
        <v>348</v>
      </c>
      <c r="N5" s="53" t="str">
        <f>IFERROR(VLOOKUP(TRIM(M5),Mapping!$A:$B,2,FALSE),"")</f>
        <v>Project_014</v>
      </c>
      <c r="O5" s="53" t="s">
        <v>14</v>
      </c>
      <c r="P5" s="73" t="s">
        <v>1571</v>
      </c>
      <c r="Q5" s="73" t="s">
        <v>1572</v>
      </c>
      <c r="R5" s="73" t="s">
        <v>1573</v>
      </c>
      <c r="S5" s="73"/>
      <c r="T5" s="73"/>
      <c r="U5" s="73" t="s">
        <v>1574</v>
      </c>
      <c r="V5" s="73" t="s">
        <v>1575</v>
      </c>
      <c r="W5" s="73" t="s">
        <v>1576</v>
      </c>
      <c r="X5" s="73"/>
      <c r="Y5" s="73" t="s">
        <v>1577</v>
      </c>
    </row>
    <row r="6" spans="1:25" ht="45.75">
      <c r="A6" s="116">
        <v>5</v>
      </c>
      <c r="B6" s="73" t="s">
        <v>92</v>
      </c>
      <c r="C6" s="73" t="s">
        <v>1563</v>
      </c>
      <c r="D6" s="73" t="s">
        <v>91</v>
      </c>
      <c r="E6" s="73" t="s">
        <v>1564</v>
      </c>
      <c r="F6" s="73" t="s">
        <v>1565</v>
      </c>
      <c r="G6" s="73" t="s">
        <v>1566</v>
      </c>
      <c r="H6" s="53" t="s">
        <v>1567</v>
      </c>
      <c r="I6" s="53" t="s">
        <v>1568</v>
      </c>
      <c r="J6" s="73" t="s">
        <v>1569</v>
      </c>
      <c r="K6" s="73">
        <v>1</v>
      </c>
      <c r="L6" s="53" t="s">
        <v>172</v>
      </c>
      <c r="M6" s="53" t="s">
        <v>341</v>
      </c>
      <c r="N6" s="53" t="str">
        <f>IFERROR(VLOOKUP(TRIM(M6),Mapping!$A:$B,2,FALSE),"")</f>
        <v>Project_013</v>
      </c>
      <c r="O6" s="53" t="s">
        <v>1579</v>
      </c>
      <c r="P6" s="73" t="s">
        <v>1571</v>
      </c>
      <c r="Q6" s="73" t="s">
        <v>1572</v>
      </c>
      <c r="R6" s="73" t="s">
        <v>1573</v>
      </c>
      <c r="S6" s="73"/>
      <c r="T6" s="73"/>
      <c r="U6" s="73" t="s">
        <v>1574</v>
      </c>
      <c r="V6" s="73" t="s">
        <v>1575</v>
      </c>
      <c r="W6" s="73" t="s">
        <v>1576</v>
      </c>
      <c r="X6" s="73"/>
      <c r="Y6" s="73" t="s">
        <v>1577</v>
      </c>
    </row>
    <row r="7" spans="1:25" ht="45.75">
      <c r="A7" s="116">
        <v>6</v>
      </c>
      <c r="B7" s="73" t="s">
        <v>92</v>
      </c>
      <c r="C7" s="73" t="s">
        <v>1563</v>
      </c>
      <c r="D7" s="73" t="s">
        <v>91</v>
      </c>
      <c r="E7" s="73" t="s">
        <v>1564</v>
      </c>
      <c r="F7" s="73" t="s">
        <v>1565</v>
      </c>
      <c r="G7" s="73" t="s">
        <v>1566</v>
      </c>
      <c r="H7" s="53" t="s">
        <v>1567</v>
      </c>
      <c r="I7" s="53" t="s">
        <v>1568</v>
      </c>
      <c r="J7" s="73" t="s">
        <v>1569</v>
      </c>
      <c r="K7" s="73">
        <v>1</v>
      </c>
      <c r="L7" s="53" t="s">
        <v>181</v>
      </c>
      <c r="M7" s="53" t="s">
        <v>373</v>
      </c>
      <c r="N7" s="53" t="str">
        <f>IFERROR(VLOOKUP(TRIM(M7),Mapping!$A:$B,2,FALSE),"")</f>
        <v>Project_016</v>
      </c>
      <c r="O7" s="53" t="s">
        <v>936</v>
      </c>
      <c r="P7" s="73" t="s">
        <v>1571</v>
      </c>
      <c r="Q7" s="73" t="s">
        <v>1572</v>
      </c>
      <c r="R7" s="73" t="s">
        <v>1573</v>
      </c>
      <c r="S7" s="73"/>
      <c r="T7" s="73"/>
      <c r="U7" s="73" t="s">
        <v>1574</v>
      </c>
      <c r="V7" s="73" t="s">
        <v>1575</v>
      </c>
      <c r="W7" s="73" t="s">
        <v>1576</v>
      </c>
      <c r="X7" s="73"/>
      <c r="Y7" s="73" t="s">
        <v>1577</v>
      </c>
    </row>
    <row r="8" spans="1:25" ht="45.75">
      <c r="A8" s="116">
        <v>7</v>
      </c>
      <c r="B8" s="73" t="s">
        <v>92</v>
      </c>
      <c r="C8" s="73" t="s">
        <v>1563</v>
      </c>
      <c r="D8" s="73" t="s">
        <v>91</v>
      </c>
      <c r="E8" s="73" t="s">
        <v>1564</v>
      </c>
      <c r="F8" s="73" t="s">
        <v>1565</v>
      </c>
      <c r="G8" s="73" t="s">
        <v>1566</v>
      </c>
      <c r="H8" s="53" t="s">
        <v>1567</v>
      </c>
      <c r="I8" s="53" t="s">
        <v>1568</v>
      </c>
      <c r="J8" s="73" t="s">
        <v>1569</v>
      </c>
      <c r="K8" s="73">
        <v>1</v>
      </c>
      <c r="L8" s="53" t="s">
        <v>198</v>
      </c>
      <c r="M8" s="53" t="s">
        <v>392</v>
      </c>
      <c r="N8" s="53" t="str">
        <f>IFERROR(VLOOKUP(TRIM(M8),Mapping!$A:$B,2,FALSE),"")</f>
        <v>Project_021</v>
      </c>
      <c r="O8" s="53" t="s">
        <v>1580</v>
      </c>
      <c r="P8" s="73" t="s">
        <v>1571</v>
      </c>
      <c r="Q8" s="73" t="s">
        <v>1572</v>
      </c>
      <c r="R8" s="73" t="s">
        <v>1573</v>
      </c>
      <c r="S8" s="73"/>
      <c r="T8" s="73"/>
      <c r="U8" s="73" t="s">
        <v>1574</v>
      </c>
      <c r="V8" s="73" t="s">
        <v>1575</v>
      </c>
      <c r="W8" s="73" t="s">
        <v>1576</v>
      </c>
      <c r="X8" s="73"/>
      <c r="Y8" s="73" t="s">
        <v>1577</v>
      </c>
    </row>
    <row r="9" spans="1:25" ht="45.75">
      <c r="A9" s="116">
        <v>8</v>
      </c>
      <c r="B9" s="73" t="s">
        <v>92</v>
      </c>
      <c r="C9" s="73" t="s">
        <v>1563</v>
      </c>
      <c r="D9" s="73" t="s">
        <v>91</v>
      </c>
      <c r="E9" s="73" t="s">
        <v>1564</v>
      </c>
      <c r="F9" s="73" t="s">
        <v>1565</v>
      </c>
      <c r="G9" s="73" t="s">
        <v>1566</v>
      </c>
      <c r="H9" s="53" t="s">
        <v>1567</v>
      </c>
      <c r="I9" s="53" t="s">
        <v>1568</v>
      </c>
      <c r="J9" s="73" t="s">
        <v>1569</v>
      </c>
      <c r="K9" s="73">
        <v>1</v>
      </c>
      <c r="L9" s="53" t="s">
        <v>212</v>
      </c>
      <c r="M9" s="53" t="s">
        <v>348</v>
      </c>
      <c r="N9" s="53" t="str">
        <f>IFERROR(VLOOKUP(TRIM(M9),Mapping!$A:$B,2,FALSE),"")</f>
        <v>Project_014</v>
      </c>
      <c r="O9" s="53" t="s">
        <v>1581</v>
      </c>
      <c r="P9" s="73" t="s">
        <v>1571</v>
      </c>
      <c r="Q9" s="73" t="s">
        <v>1572</v>
      </c>
      <c r="R9" s="73" t="s">
        <v>1573</v>
      </c>
      <c r="S9" s="73"/>
      <c r="T9" s="73"/>
      <c r="U9" s="73" t="s">
        <v>1574</v>
      </c>
      <c r="V9" s="73" t="s">
        <v>1575</v>
      </c>
      <c r="W9" s="73" t="s">
        <v>1576</v>
      </c>
      <c r="X9" s="73"/>
      <c r="Y9" s="73" t="s">
        <v>1577</v>
      </c>
    </row>
    <row r="10" spans="1:25" ht="45.75">
      <c r="A10" s="116">
        <v>9</v>
      </c>
      <c r="B10" s="73" t="s">
        <v>92</v>
      </c>
      <c r="C10" s="73" t="s">
        <v>1563</v>
      </c>
      <c r="D10" s="73" t="s">
        <v>91</v>
      </c>
      <c r="E10" s="73" t="s">
        <v>1564</v>
      </c>
      <c r="F10" s="73" t="s">
        <v>1565</v>
      </c>
      <c r="G10" s="73" t="s">
        <v>1566</v>
      </c>
      <c r="H10" s="53" t="s">
        <v>1567</v>
      </c>
      <c r="I10" s="53" t="s">
        <v>1568</v>
      </c>
      <c r="J10" s="73" t="s">
        <v>1569</v>
      </c>
      <c r="K10" s="73">
        <v>1</v>
      </c>
      <c r="L10" s="53" t="s">
        <v>224</v>
      </c>
      <c r="M10" s="53" t="s">
        <v>284</v>
      </c>
      <c r="N10" s="53" t="str">
        <f>IFERROR(VLOOKUP(TRIM(M10),Mapping!$A:$B,2,FALSE),"")</f>
        <v>Project_001</v>
      </c>
      <c r="O10" s="53" t="s">
        <v>1581</v>
      </c>
      <c r="P10" s="73" t="s">
        <v>1571</v>
      </c>
      <c r="Q10" s="73" t="s">
        <v>1572</v>
      </c>
      <c r="R10" s="73" t="s">
        <v>1573</v>
      </c>
      <c r="S10" s="73"/>
      <c r="T10" s="73"/>
      <c r="U10" s="73" t="s">
        <v>1574</v>
      </c>
      <c r="V10" s="73" t="s">
        <v>1575</v>
      </c>
      <c r="W10" s="73" t="s">
        <v>1576</v>
      </c>
      <c r="X10" s="73"/>
      <c r="Y10" s="73" t="s">
        <v>1577</v>
      </c>
    </row>
    <row r="11" spans="1:25" ht="45.75">
      <c r="A11" s="116">
        <v>10</v>
      </c>
      <c r="B11" s="73" t="s">
        <v>92</v>
      </c>
      <c r="C11" s="73" t="s">
        <v>1563</v>
      </c>
      <c r="D11" s="73" t="s">
        <v>91</v>
      </c>
      <c r="E11" s="73" t="s">
        <v>1564</v>
      </c>
      <c r="F11" s="73" t="s">
        <v>1565</v>
      </c>
      <c r="G11" s="73" t="s">
        <v>1566</v>
      </c>
      <c r="H11" s="53" t="s">
        <v>1567</v>
      </c>
      <c r="I11" s="53" t="s">
        <v>1568</v>
      </c>
      <c r="J11" s="73" t="s">
        <v>1569</v>
      </c>
      <c r="K11" s="73">
        <v>1</v>
      </c>
      <c r="L11" s="53" t="s">
        <v>236</v>
      </c>
      <c r="M11" s="53" t="s">
        <v>301</v>
      </c>
      <c r="N11" s="53" t="str">
        <f>IFERROR(VLOOKUP(TRIM(M11),Mapping!$A:$B,2,FALSE),"")</f>
        <v>Project_004</v>
      </c>
      <c r="O11" s="53" t="s">
        <v>1581</v>
      </c>
      <c r="P11" s="73" t="s">
        <v>1571</v>
      </c>
      <c r="Q11" s="73" t="s">
        <v>1572</v>
      </c>
      <c r="R11" s="73" t="s">
        <v>1573</v>
      </c>
      <c r="S11" s="73"/>
      <c r="T11" s="73"/>
      <c r="U11" s="73" t="s">
        <v>1574</v>
      </c>
      <c r="V11" s="73" t="s">
        <v>1575</v>
      </c>
      <c r="W11" s="73" t="s">
        <v>1576</v>
      </c>
      <c r="X11" s="73"/>
      <c r="Y11" s="73" t="s">
        <v>1577</v>
      </c>
    </row>
    <row r="12" spans="1:25" ht="45.75">
      <c r="A12" s="116">
        <v>11</v>
      </c>
      <c r="B12" s="73" t="s">
        <v>92</v>
      </c>
      <c r="C12" s="73" t="s">
        <v>1563</v>
      </c>
      <c r="D12" s="73" t="s">
        <v>91</v>
      </c>
      <c r="E12" s="73" t="s">
        <v>1564</v>
      </c>
      <c r="F12" s="73" t="s">
        <v>1565</v>
      </c>
      <c r="G12" s="73" t="s">
        <v>1566</v>
      </c>
      <c r="H12" s="53" t="s">
        <v>1567</v>
      </c>
      <c r="I12" s="53" t="s">
        <v>1568</v>
      </c>
      <c r="J12" s="73" t="s">
        <v>1569</v>
      </c>
      <c r="K12" s="73">
        <v>1</v>
      </c>
      <c r="L12" s="53" t="s">
        <v>243</v>
      </c>
      <c r="M12" s="53" t="s">
        <v>341</v>
      </c>
      <c r="N12" s="53" t="str">
        <f>IFERROR(VLOOKUP(TRIM(M12),Mapping!$A:$B,2,FALSE),"")</f>
        <v>Project_013</v>
      </c>
      <c r="O12" s="53" t="s">
        <v>1581</v>
      </c>
      <c r="P12" s="73" t="s">
        <v>1571</v>
      </c>
      <c r="Q12" s="73" t="s">
        <v>1572</v>
      </c>
      <c r="R12" s="73" t="s">
        <v>1573</v>
      </c>
      <c r="S12" s="73"/>
      <c r="T12" s="73"/>
      <c r="U12" s="73" t="s">
        <v>1574</v>
      </c>
      <c r="V12" s="73" t="s">
        <v>1575</v>
      </c>
      <c r="W12" s="73" t="s">
        <v>1576</v>
      </c>
      <c r="X12" s="73"/>
      <c r="Y12" s="73" t="s">
        <v>1577</v>
      </c>
    </row>
    <row r="13" spans="1:25" ht="45.75">
      <c r="A13" s="116">
        <v>12</v>
      </c>
      <c r="B13" s="73" t="s">
        <v>92</v>
      </c>
      <c r="C13" s="73" t="s">
        <v>1563</v>
      </c>
      <c r="D13" s="73" t="s">
        <v>91</v>
      </c>
      <c r="E13" s="73" t="s">
        <v>1564</v>
      </c>
      <c r="F13" s="73" t="s">
        <v>1565</v>
      </c>
      <c r="G13" s="73" t="s">
        <v>1566</v>
      </c>
      <c r="H13" s="53" t="s">
        <v>1567</v>
      </c>
      <c r="I13" s="53" t="s">
        <v>1568</v>
      </c>
      <c r="J13" s="73" t="s">
        <v>1569</v>
      </c>
      <c r="K13" s="73">
        <v>1</v>
      </c>
      <c r="L13" s="53" t="s">
        <v>456</v>
      </c>
      <c r="M13" s="53" t="s">
        <v>387</v>
      </c>
      <c r="N13" s="53" t="str">
        <f>IFERROR(VLOOKUP(TRIM(M13),Mapping!$A:$B,2,FALSE),"")</f>
        <v>Project_020</v>
      </c>
      <c r="O13" s="53" t="s">
        <v>27</v>
      </c>
      <c r="P13" s="73" t="s">
        <v>1571</v>
      </c>
      <c r="Q13" s="73" t="s">
        <v>1572</v>
      </c>
      <c r="R13" s="73" t="s">
        <v>1573</v>
      </c>
      <c r="S13" s="73"/>
      <c r="T13" s="73"/>
      <c r="U13" s="73" t="s">
        <v>1574</v>
      </c>
      <c r="V13" s="73" t="s">
        <v>1575</v>
      </c>
      <c r="W13" s="73" t="s">
        <v>1576</v>
      </c>
      <c r="X13" s="73"/>
      <c r="Y13" s="73" t="s">
        <v>1577</v>
      </c>
    </row>
    <row r="14" spans="1:25" ht="45.75">
      <c r="A14" s="116">
        <v>13</v>
      </c>
      <c r="B14" s="73" t="s">
        <v>92</v>
      </c>
      <c r="C14" s="73" t="s">
        <v>1563</v>
      </c>
      <c r="D14" s="73" t="s">
        <v>91</v>
      </c>
      <c r="E14" s="73" t="s">
        <v>1564</v>
      </c>
      <c r="F14" s="73" t="s">
        <v>1565</v>
      </c>
      <c r="G14" s="73" t="s">
        <v>1566</v>
      </c>
      <c r="H14" s="53" t="s">
        <v>1567</v>
      </c>
      <c r="I14" s="53" t="s">
        <v>1568</v>
      </c>
      <c r="J14" s="73" t="s">
        <v>1569</v>
      </c>
      <c r="K14" s="73">
        <v>1</v>
      </c>
      <c r="L14" s="53" t="s">
        <v>470</v>
      </c>
      <c r="M14" s="53" t="s">
        <v>341</v>
      </c>
      <c r="N14" s="53" t="str">
        <f>IFERROR(VLOOKUP(TRIM(M14),Mapping!$A:$B,2,FALSE),"")</f>
        <v>Project_013</v>
      </c>
      <c r="O14" s="53" t="s">
        <v>1580</v>
      </c>
      <c r="P14" s="73" t="s">
        <v>1571</v>
      </c>
      <c r="Q14" s="73" t="s">
        <v>1572</v>
      </c>
      <c r="R14" s="73" t="s">
        <v>1573</v>
      </c>
      <c r="S14" s="73"/>
      <c r="T14" s="73"/>
      <c r="U14" s="73" t="s">
        <v>1574</v>
      </c>
      <c r="V14" s="73" t="s">
        <v>1575</v>
      </c>
      <c r="W14" s="73" t="s">
        <v>1576</v>
      </c>
      <c r="X14" s="73"/>
      <c r="Y14" s="73" t="s">
        <v>1577</v>
      </c>
    </row>
    <row r="15" spans="1:25" ht="45.75">
      <c r="A15" s="116">
        <v>14</v>
      </c>
      <c r="B15" s="73" t="s">
        <v>92</v>
      </c>
      <c r="C15" s="73" t="s">
        <v>1563</v>
      </c>
      <c r="D15" s="73" t="s">
        <v>91</v>
      </c>
      <c r="E15" s="73" t="s">
        <v>1564</v>
      </c>
      <c r="F15" s="73" t="s">
        <v>1565</v>
      </c>
      <c r="G15" s="73" t="s">
        <v>1566</v>
      </c>
      <c r="H15" s="53" t="s">
        <v>1567</v>
      </c>
      <c r="I15" s="53" t="s">
        <v>1568</v>
      </c>
      <c r="J15" s="73" t="s">
        <v>1569</v>
      </c>
      <c r="K15" s="73">
        <v>1</v>
      </c>
      <c r="L15" s="53" t="s">
        <v>484</v>
      </c>
      <c r="M15" s="53" t="s">
        <v>486</v>
      </c>
      <c r="N15" s="53" t="str">
        <f>IFERROR(VLOOKUP(TRIM(M15),Mapping!$A:$B,2,FALSE),"")</f>
        <v>Project_028</v>
      </c>
      <c r="O15" s="53" t="s">
        <v>1578</v>
      </c>
      <c r="P15" s="73" t="s">
        <v>1571</v>
      </c>
      <c r="Q15" s="73" t="s">
        <v>1572</v>
      </c>
      <c r="R15" s="73" t="s">
        <v>1573</v>
      </c>
      <c r="S15" s="73"/>
      <c r="T15" s="73"/>
      <c r="U15" s="73" t="s">
        <v>1574</v>
      </c>
      <c r="V15" s="73" t="s">
        <v>1575</v>
      </c>
      <c r="W15" s="73" t="s">
        <v>1576</v>
      </c>
      <c r="X15" s="73"/>
      <c r="Y15" s="73" t="s">
        <v>1577</v>
      </c>
    </row>
    <row r="16" spans="1:25" ht="45.75">
      <c r="A16" s="116">
        <v>15</v>
      </c>
      <c r="B16" s="73" t="s">
        <v>92</v>
      </c>
      <c r="C16" s="73" t="s">
        <v>1563</v>
      </c>
      <c r="D16" s="73" t="s">
        <v>91</v>
      </c>
      <c r="E16" s="73" t="s">
        <v>1564</v>
      </c>
      <c r="F16" s="73" t="s">
        <v>1565</v>
      </c>
      <c r="G16" s="73" t="s">
        <v>1566</v>
      </c>
      <c r="H16" s="53" t="s">
        <v>1567</v>
      </c>
      <c r="I16" s="53" t="s">
        <v>1568</v>
      </c>
      <c r="J16" s="73" t="s">
        <v>1569</v>
      </c>
      <c r="K16" s="73">
        <v>1</v>
      </c>
      <c r="L16" s="53" t="s">
        <v>499</v>
      </c>
      <c r="M16" s="53" t="s">
        <v>501</v>
      </c>
      <c r="N16" s="53" t="str">
        <f>IFERROR(VLOOKUP(TRIM(M16),Mapping!$A:$B,2,FALSE),"")</f>
        <v>Project_029</v>
      </c>
      <c r="O16" s="53" t="s">
        <v>1580</v>
      </c>
      <c r="P16" s="73" t="s">
        <v>1571</v>
      </c>
      <c r="Q16" s="73" t="s">
        <v>1572</v>
      </c>
      <c r="R16" s="73" t="s">
        <v>1573</v>
      </c>
      <c r="S16" s="73"/>
      <c r="T16" s="73"/>
      <c r="U16" s="73" t="s">
        <v>1574</v>
      </c>
      <c r="V16" s="73" t="s">
        <v>1575</v>
      </c>
      <c r="W16" s="73" t="s">
        <v>1576</v>
      </c>
      <c r="X16" s="73"/>
      <c r="Y16" s="73" t="s">
        <v>1577</v>
      </c>
    </row>
    <row r="17" spans="1:25" ht="45.75">
      <c r="A17" s="116">
        <v>16</v>
      </c>
      <c r="B17" s="73" t="s">
        <v>92</v>
      </c>
      <c r="C17" s="73" t="s">
        <v>1563</v>
      </c>
      <c r="D17" s="73" t="s">
        <v>91</v>
      </c>
      <c r="E17" s="73" t="s">
        <v>1564</v>
      </c>
      <c r="F17" s="73" t="s">
        <v>1565</v>
      </c>
      <c r="G17" s="73" t="s">
        <v>1566</v>
      </c>
      <c r="H17" s="53" t="s">
        <v>1567</v>
      </c>
      <c r="I17" s="53" t="s">
        <v>1568</v>
      </c>
      <c r="J17" s="73" t="s">
        <v>1569</v>
      </c>
      <c r="K17" s="73">
        <v>1</v>
      </c>
      <c r="L17" s="53" t="s">
        <v>521</v>
      </c>
      <c r="M17" s="53" t="s">
        <v>387</v>
      </c>
      <c r="N17" s="53" t="str">
        <f>IFERROR(VLOOKUP(TRIM(M17),Mapping!$A:$B,2,FALSE),"")</f>
        <v>Project_020</v>
      </c>
      <c r="O17" s="53" t="s">
        <v>1581</v>
      </c>
      <c r="P17" s="73" t="s">
        <v>1571</v>
      </c>
      <c r="Q17" s="73" t="s">
        <v>1572</v>
      </c>
      <c r="R17" s="73" t="s">
        <v>1573</v>
      </c>
      <c r="S17" s="73"/>
      <c r="T17" s="73"/>
      <c r="U17" s="73" t="s">
        <v>1574</v>
      </c>
      <c r="V17" s="73" t="s">
        <v>1575</v>
      </c>
      <c r="W17" s="73" t="s">
        <v>1576</v>
      </c>
      <c r="X17" s="73"/>
      <c r="Y17" s="73" t="s">
        <v>1577</v>
      </c>
    </row>
    <row r="18" spans="1:25" ht="45.75">
      <c r="A18" s="116">
        <v>17</v>
      </c>
      <c r="B18" s="73" t="s">
        <v>92</v>
      </c>
      <c r="C18" s="73" t="s">
        <v>1563</v>
      </c>
      <c r="D18" s="73" t="s">
        <v>91</v>
      </c>
      <c r="E18" s="73" t="s">
        <v>1564</v>
      </c>
      <c r="F18" s="73" t="s">
        <v>1565</v>
      </c>
      <c r="G18" s="73" t="s">
        <v>1566</v>
      </c>
      <c r="H18" s="53" t="s">
        <v>1567</v>
      </c>
      <c r="I18" s="53" t="s">
        <v>1568</v>
      </c>
      <c r="J18" s="73" t="s">
        <v>1569</v>
      </c>
      <c r="K18" s="73">
        <v>1</v>
      </c>
      <c r="L18" s="53" t="s">
        <v>532</v>
      </c>
      <c r="M18" s="53" t="s">
        <v>301</v>
      </c>
      <c r="N18" s="53" t="str">
        <f>IFERROR(VLOOKUP(TRIM(M18),Mapping!$A:$B,2,FALSE),"")</f>
        <v>Project_004</v>
      </c>
      <c r="O18" s="53" t="s">
        <v>1581</v>
      </c>
      <c r="P18" s="73" t="s">
        <v>1582</v>
      </c>
      <c r="Q18" s="73" t="s">
        <v>1572</v>
      </c>
      <c r="R18" s="73" t="s">
        <v>1573</v>
      </c>
      <c r="S18" s="73"/>
      <c r="T18" s="73"/>
      <c r="U18" s="73" t="s">
        <v>1574</v>
      </c>
      <c r="V18" s="73" t="s">
        <v>1575</v>
      </c>
      <c r="W18" s="73" t="s">
        <v>1576</v>
      </c>
      <c r="X18" s="73"/>
      <c r="Y18" s="73" t="s">
        <v>1577</v>
      </c>
    </row>
    <row r="19" spans="1:25" ht="45.75">
      <c r="A19" s="116">
        <v>18</v>
      </c>
      <c r="B19" s="73" t="s">
        <v>92</v>
      </c>
      <c r="C19" s="73" t="s">
        <v>1563</v>
      </c>
      <c r="D19" s="73" t="s">
        <v>91</v>
      </c>
      <c r="E19" s="73" t="s">
        <v>1564</v>
      </c>
      <c r="F19" s="73" t="s">
        <v>1565</v>
      </c>
      <c r="G19" s="73" t="s">
        <v>1566</v>
      </c>
      <c r="H19" s="53" t="s">
        <v>1567</v>
      </c>
      <c r="I19" s="53" t="s">
        <v>1568</v>
      </c>
      <c r="J19" s="73" t="s">
        <v>1569</v>
      </c>
      <c r="K19" s="73">
        <v>1</v>
      </c>
      <c r="L19" s="53" t="s">
        <v>548</v>
      </c>
      <c r="M19" s="53" t="s">
        <v>468</v>
      </c>
      <c r="N19" s="53" t="str">
        <f>IFERROR(VLOOKUP(TRIM(M19),Mapping!$A:$B,2,FALSE),"")</f>
        <v>Project_027</v>
      </c>
      <c r="O19" s="53" t="s">
        <v>18</v>
      </c>
      <c r="P19" s="73" t="s">
        <v>1571</v>
      </c>
      <c r="Q19" s="73" t="s">
        <v>1572</v>
      </c>
      <c r="R19" s="73" t="s">
        <v>1573</v>
      </c>
      <c r="S19" s="73"/>
      <c r="T19" s="73"/>
      <c r="U19" s="73" t="s">
        <v>1574</v>
      </c>
      <c r="V19" s="73" t="s">
        <v>1575</v>
      </c>
      <c r="W19" s="73" t="s">
        <v>1576</v>
      </c>
      <c r="X19" s="73"/>
      <c r="Y19" s="73" t="s">
        <v>1577</v>
      </c>
    </row>
    <row r="20" spans="1:25" ht="45.75">
      <c r="A20" s="116">
        <v>19</v>
      </c>
      <c r="B20" s="73" t="s">
        <v>92</v>
      </c>
      <c r="C20" s="73" t="s">
        <v>1563</v>
      </c>
      <c r="D20" s="73" t="s">
        <v>91</v>
      </c>
      <c r="E20" s="73" t="s">
        <v>1564</v>
      </c>
      <c r="F20" s="73" t="s">
        <v>1565</v>
      </c>
      <c r="G20" s="73" t="s">
        <v>1566</v>
      </c>
      <c r="H20" s="53" t="s">
        <v>1567</v>
      </c>
      <c r="I20" s="53" t="s">
        <v>1568</v>
      </c>
      <c r="J20" s="73" t="s">
        <v>1569</v>
      </c>
      <c r="K20" s="73">
        <v>1</v>
      </c>
      <c r="L20" s="53" t="s">
        <v>561</v>
      </c>
      <c r="M20" s="53" t="s">
        <v>298</v>
      </c>
      <c r="N20" s="53" t="str">
        <f>IFERROR(VLOOKUP(TRIM(M20),Mapping!$A:$B,2,FALSE),"")</f>
        <v>Project_003</v>
      </c>
      <c r="O20" s="53" t="s">
        <v>27</v>
      </c>
      <c r="P20" s="73" t="s">
        <v>1582</v>
      </c>
      <c r="Q20" s="73" t="s">
        <v>1572</v>
      </c>
      <c r="R20" s="73" t="s">
        <v>1573</v>
      </c>
      <c r="S20" s="73"/>
      <c r="T20" s="73"/>
      <c r="U20" s="73" t="s">
        <v>1574</v>
      </c>
      <c r="V20" s="73" t="s">
        <v>1575</v>
      </c>
      <c r="W20" s="73" t="s">
        <v>1576</v>
      </c>
      <c r="X20" s="73"/>
      <c r="Y20" s="73" t="s">
        <v>1577</v>
      </c>
    </row>
    <row r="21" spans="1:25" ht="45.75">
      <c r="A21" s="116">
        <v>20</v>
      </c>
      <c r="B21" s="73" t="s">
        <v>92</v>
      </c>
      <c r="C21" s="73" t="s">
        <v>1563</v>
      </c>
      <c r="D21" s="73" t="s">
        <v>91</v>
      </c>
      <c r="E21" s="73" t="s">
        <v>1564</v>
      </c>
      <c r="F21" s="73" t="s">
        <v>1565</v>
      </c>
      <c r="G21" s="73" t="s">
        <v>1566</v>
      </c>
      <c r="H21" s="53" t="s">
        <v>1567</v>
      </c>
      <c r="I21" s="53" t="s">
        <v>1568</v>
      </c>
      <c r="J21" s="73" t="s">
        <v>1569</v>
      </c>
      <c r="K21" s="73">
        <v>1</v>
      </c>
      <c r="L21" s="53" t="s">
        <v>577</v>
      </c>
      <c r="M21" s="53" t="s">
        <v>305</v>
      </c>
      <c r="N21" s="53" t="str">
        <f>IFERROR(VLOOKUP(TRIM(M21),Mapping!$A:$B,2,FALSE),"")</f>
        <v>Project_005</v>
      </c>
      <c r="O21" s="53" t="s">
        <v>1581</v>
      </c>
      <c r="P21" s="73" t="s">
        <v>1571</v>
      </c>
      <c r="Q21" s="73" t="s">
        <v>1572</v>
      </c>
      <c r="R21" s="73" t="s">
        <v>1573</v>
      </c>
      <c r="S21" s="73"/>
      <c r="T21" s="73"/>
      <c r="U21" s="73" t="s">
        <v>1574</v>
      </c>
      <c r="V21" s="73" t="s">
        <v>1575</v>
      </c>
      <c r="W21" s="73" t="s">
        <v>1576</v>
      </c>
      <c r="X21" s="73"/>
      <c r="Y21" s="73" t="s">
        <v>1577</v>
      </c>
    </row>
    <row r="22" spans="1:25" ht="45.75">
      <c r="A22" s="116">
        <v>21</v>
      </c>
      <c r="B22" s="73" t="s">
        <v>92</v>
      </c>
      <c r="C22" s="73" t="s">
        <v>1563</v>
      </c>
      <c r="D22" s="73" t="s">
        <v>91</v>
      </c>
      <c r="E22" s="73" t="s">
        <v>1564</v>
      </c>
      <c r="F22" s="73" t="s">
        <v>1565</v>
      </c>
      <c r="G22" s="73" t="s">
        <v>1566</v>
      </c>
      <c r="H22" s="53" t="s">
        <v>1567</v>
      </c>
      <c r="I22" s="53" t="s">
        <v>1568</v>
      </c>
      <c r="J22" s="73" t="s">
        <v>1569</v>
      </c>
      <c r="K22" s="73">
        <v>1</v>
      </c>
      <c r="L22" s="53" t="s">
        <v>589</v>
      </c>
      <c r="M22" s="53" t="s">
        <v>387</v>
      </c>
      <c r="N22" s="53" t="str">
        <f>IFERROR(VLOOKUP(TRIM(M22),Mapping!$A:$B,2,FALSE),"")</f>
        <v>Project_020</v>
      </c>
      <c r="O22" s="53" t="s">
        <v>1580</v>
      </c>
      <c r="P22" s="73" t="s">
        <v>1571</v>
      </c>
      <c r="Q22" s="73" t="s">
        <v>1572</v>
      </c>
      <c r="R22" s="73" t="s">
        <v>1573</v>
      </c>
      <c r="S22" s="73"/>
      <c r="T22" s="73"/>
      <c r="U22" s="73" t="s">
        <v>1574</v>
      </c>
      <c r="V22" s="73" t="s">
        <v>1575</v>
      </c>
      <c r="W22" s="73" t="s">
        <v>1576</v>
      </c>
      <c r="X22" s="73"/>
      <c r="Y22" s="73" t="s">
        <v>1577</v>
      </c>
    </row>
    <row r="23" spans="1:25" ht="45.75">
      <c r="A23" s="116">
        <v>22</v>
      </c>
      <c r="B23" s="73" t="s">
        <v>92</v>
      </c>
      <c r="C23" s="73" t="s">
        <v>1563</v>
      </c>
      <c r="D23" s="73" t="s">
        <v>91</v>
      </c>
      <c r="E23" s="73" t="s">
        <v>1564</v>
      </c>
      <c r="F23" s="73" t="s">
        <v>1565</v>
      </c>
      <c r="G23" s="73" t="s">
        <v>1566</v>
      </c>
      <c r="H23" s="53" t="s">
        <v>1567</v>
      </c>
      <c r="I23" s="53" t="s">
        <v>1568</v>
      </c>
      <c r="J23" s="73" t="s">
        <v>1569</v>
      </c>
      <c r="K23" s="73">
        <v>1</v>
      </c>
      <c r="L23" s="53" t="s">
        <v>597</v>
      </c>
      <c r="M23" s="53" t="s">
        <v>301</v>
      </c>
      <c r="N23" s="53" t="str">
        <f>IFERROR(VLOOKUP(TRIM(M23),Mapping!$A:$B,2,FALSE),"")</f>
        <v>Project_004</v>
      </c>
      <c r="O23" s="53" t="s">
        <v>18</v>
      </c>
      <c r="P23" s="73" t="s">
        <v>1571</v>
      </c>
      <c r="Q23" s="73" t="s">
        <v>1572</v>
      </c>
      <c r="R23" s="73" t="s">
        <v>1573</v>
      </c>
      <c r="S23" s="73"/>
      <c r="T23" s="73"/>
      <c r="U23" s="73" t="s">
        <v>1574</v>
      </c>
      <c r="V23" s="73" t="s">
        <v>1575</v>
      </c>
      <c r="W23" s="73" t="s">
        <v>1576</v>
      </c>
      <c r="X23" s="73"/>
      <c r="Y23" s="73" t="s">
        <v>1577</v>
      </c>
    </row>
    <row r="24" spans="1:25" ht="45.75">
      <c r="A24" s="116">
        <v>23</v>
      </c>
      <c r="B24" s="73" t="s">
        <v>92</v>
      </c>
      <c r="C24" s="73" t="s">
        <v>1563</v>
      </c>
      <c r="D24" s="73" t="s">
        <v>91</v>
      </c>
      <c r="E24" s="73" t="s">
        <v>1564</v>
      </c>
      <c r="F24" s="73" t="s">
        <v>1565</v>
      </c>
      <c r="G24" s="73" t="s">
        <v>1566</v>
      </c>
      <c r="H24" s="53" t="s">
        <v>1567</v>
      </c>
      <c r="I24" s="53" t="s">
        <v>1568</v>
      </c>
      <c r="J24" s="73" t="s">
        <v>1569</v>
      </c>
      <c r="K24" s="73">
        <v>1</v>
      </c>
      <c r="L24" s="53" t="s">
        <v>609</v>
      </c>
      <c r="M24" s="53" t="s">
        <v>348</v>
      </c>
      <c r="N24" s="53" t="str">
        <f>IFERROR(VLOOKUP(TRIM(M24),Mapping!$A:$B,2,FALSE),"")</f>
        <v>Project_014</v>
      </c>
      <c r="O24" s="53" t="s">
        <v>1578</v>
      </c>
      <c r="P24" s="73" t="s">
        <v>1571</v>
      </c>
      <c r="Q24" s="73" t="s">
        <v>1572</v>
      </c>
      <c r="R24" s="73" t="s">
        <v>1573</v>
      </c>
      <c r="S24" s="73"/>
      <c r="T24" s="73"/>
      <c r="U24" s="73" t="s">
        <v>1574</v>
      </c>
      <c r="V24" s="73" t="s">
        <v>1575</v>
      </c>
      <c r="W24" s="73" t="s">
        <v>1576</v>
      </c>
      <c r="X24" s="73"/>
      <c r="Y24" s="73" t="s">
        <v>1577</v>
      </c>
    </row>
    <row r="25" spans="1:25" ht="45.75">
      <c r="A25" s="116">
        <v>24</v>
      </c>
      <c r="B25" s="73" t="s">
        <v>92</v>
      </c>
      <c r="C25" s="73" t="s">
        <v>1563</v>
      </c>
      <c r="D25" s="73" t="s">
        <v>91</v>
      </c>
      <c r="E25" s="73" t="s">
        <v>1564</v>
      </c>
      <c r="F25" s="73" t="s">
        <v>1565</v>
      </c>
      <c r="G25" s="73" t="s">
        <v>1566</v>
      </c>
      <c r="H25" s="53" t="s">
        <v>1567</v>
      </c>
      <c r="I25" s="53" t="s">
        <v>1568</v>
      </c>
      <c r="J25" s="73" t="s">
        <v>1569</v>
      </c>
      <c r="K25" s="73">
        <v>1</v>
      </c>
      <c r="L25" s="53" t="s">
        <v>621</v>
      </c>
      <c r="M25" s="53" t="s">
        <v>387</v>
      </c>
      <c r="N25" s="53" t="str">
        <f>IFERROR(VLOOKUP(TRIM(M25),Mapping!$A:$B,2,FALSE),"")</f>
        <v>Project_020</v>
      </c>
      <c r="O25" s="53" t="s">
        <v>1581</v>
      </c>
      <c r="P25" s="73" t="s">
        <v>1571</v>
      </c>
      <c r="Q25" s="73" t="s">
        <v>1572</v>
      </c>
      <c r="R25" s="73" t="s">
        <v>1573</v>
      </c>
      <c r="S25" s="73"/>
      <c r="T25" s="73"/>
      <c r="U25" s="73" t="s">
        <v>1574</v>
      </c>
      <c r="V25" s="73" t="s">
        <v>1575</v>
      </c>
      <c r="W25" s="73" t="s">
        <v>1576</v>
      </c>
      <c r="X25" s="73"/>
      <c r="Y25" s="73" t="s">
        <v>1577</v>
      </c>
    </row>
    <row r="26" spans="1:25" ht="45.75">
      <c r="A26" s="116">
        <v>25</v>
      </c>
      <c r="B26" s="73" t="s">
        <v>92</v>
      </c>
      <c r="C26" s="73" t="s">
        <v>1563</v>
      </c>
      <c r="D26" s="73" t="s">
        <v>91</v>
      </c>
      <c r="E26" s="73" t="s">
        <v>1564</v>
      </c>
      <c r="F26" s="73" t="s">
        <v>1565</v>
      </c>
      <c r="G26" s="73" t="s">
        <v>1566</v>
      </c>
      <c r="H26" s="53" t="s">
        <v>1567</v>
      </c>
      <c r="I26" s="53" t="s">
        <v>1568</v>
      </c>
      <c r="J26" s="73" t="s">
        <v>1569</v>
      </c>
      <c r="K26" s="73">
        <v>1</v>
      </c>
      <c r="L26" s="53" t="s">
        <v>634</v>
      </c>
      <c r="M26" s="53" t="s">
        <v>348</v>
      </c>
      <c r="N26" s="53" t="str">
        <f>IFERROR(VLOOKUP(TRIM(M26),Mapping!$A:$B,2,FALSE),"")</f>
        <v>Project_014</v>
      </c>
      <c r="O26" s="53" t="s">
        <v>18</v>
      </c>
      <c r="P26" s="73" t="s">
        <v>1571</v>
      </c>
      <c r="Q26" s="73" t="s">
        <v>1572</v>
      </c>
      <c r="R26" s="73" t="s">
        <v>1573</v>
      </c>
      <c r="S26" s="73"/>
      <c r="T26" s="73"/>
      <c r="U26" s="73" t="s">
        <v>1574</v>
      </c>
      <c r="V26" s="73" t="s">
        <v>1575</v>
      </c>
      <c r="W26" s="73" t="s">
        <v>1576</v>
      </c>
      <c r="X26" s="73"/>
      <c r="Y26" s="73" t="s">
        <v>1577</v>
      </c>
    </row>
    <row r="27" spans="1:25" ht="45.75">
      <c r="A27" s="116">
        <v>26</v>
      </c>
      <c r="B27" s="73" t="s">
        <v>92</v>
      </c>
      <c r="C27" s="73" t="s">
        <v>1563</v>
      </c>
      <c r="D27" s="73" t="s">
        <v>91</v>
      </c>
      <c r="E27" s="73" t="s">
        <v>1564</v>
      </c>
      <c r="F27" s="73" t="s">
        <v>1565</v>
      </c>
      <c r="G27" s="73" t="s">
        <v>1566</v>
      </c>
      <c r="H27" s="53" t="s">
        <v>1567</v>
      </c>
      <c r="I27" s="53" t="s">
        <v>1568</v>
      </c>
      <c r="J27" s="73" t="s">
        <v>1569</v>
      </c>
      <c r="K27" s="73">
        <v>1</v>
      </c>
      <c r="L27" s="53" t="s">
        <v>644</v>
      </c>
      <c r="M27" s="53" t="s">
        <v>305</v>
      </c>
      <c r="N27" s="53" t="str">
        <f>IFERROR(VLOOKUP(TRIM(M27),Mapping!$A:$B,2,FALSE),"")</f>
        <v>Project_005</v>
      </c>
      <c r="O27" s="53" t="s">
        <v>1581</v>
      </c>
      <c r="P27" s="73" t="s">
        <v>1582</v>
      </c>
      <c r="Q27" s="73" t="s">
        <v>1572</v>
      </c>
      <c r="R27" s="73" t="s">
        <v>1573</v>
      </c>
      <c r="S27" s="73"/>
      <c r="T27" s="73"/>
      <c r="U27" s="73" t="s">
        <v>1574</v>
      </c>
      <c r="V27" s="73" t="s">
        <v>1575</v>
      </c>
      <c r="W27" s="73" t="s">
        <v>1576</v>
      </c>
      <c r="X27" s="73"/>
      <c r="Y27" s="73" t="s">
        <v>1577</v>
      </c>
    </row>
    <row r="28" spans="1:25" ht="45.75">
      <c r="A28" s="116">
        <v>27</v>
      </c>
      <c r="B28" s="73" t="s">
        <v>92</v>
      </c>
      <c r="C28" s="73" t="s">
        <v>1563</v>
      </c>
      <c r="D28" s="73" t="s">
        <v>91</v>
      </c>
      <c r="E28" s="73" t="s">
        <v>1564</v>
      </c>
      <c r="F28" s="73" t="s">
        <v>1565</v>
      </c>
      <c r="G28" s="73" t="s">
        <v>1566</v>
      </c>
      <c r="H28" s="53" t="s">
        <v>1567</v>
      </c>
      <c r="I28" s="53" t="s">
        <v>1568</v>
      </c>
      <c r="J28" s="73" t="s">
        <v>1569</v>
      </c>
      <c r="K28" s="73">
        <v>1</v>
      </c>
      <c r="L28" s="53" t="s">
        <v>658</v>
      </c>
      <c r="M28" s="53" t="s">
        <v>301</v>
      </c>
      <c r="N28" s="53" t="str">
        <f>IFERROR(VLOOKUP(TRIM(M28),Mapping!$A:$B,2,FALSE),"")</f>
        <v>Project_004</v>
      </c>
      <c r="O28" s="53" t="s">
        <v>18</v>
      </c>
      <c r="P28" s="73" t="s">
        <v>1583</v>
      </c>
      <c r="Q28" s="73" t="s">
        <v>1572</v>
      </c>
      <c r="R28" s="73" t="s">
        <v>1573</v>
      </c>
      <c r="S28" s="73"/>
      <c r="T28" s="73"/>
      <c r="U28" s="73" t="s">
        <v>1574</v>
      </c>
      <c r="V28" s="73" t="s">
        <v>1575</v>
      </c>
      <c r="W28" s="73" t="s">
        <v>1576</v>
      </c>
      <c r="X28" s="73"/>
      <c r="Y28" s="73" t="s">
        <v>1577</v>
      </c>
    </row>
    <row r="29" spans="1:25" ht="45.75">
      <c r="A29" s="116">
        <v>28</v>
      </c>
      <c r="B29" s="73" t="s">
        <v>92</v>
      </c>
      <c r="C29" s="73" t="s">
        <v>1563</v>
      </c>
      <c r="D29" s="73" t="s">
        <v>91</v>
      </c>
      <c r="E29" s="73" t="s">
        <v>1564</v>
      </c>
      <c r="F29" s="73" t="s">
        <v>1565</v>
      </c>
      <c r="G29" s="73" t="s">
        <v>1566</v>
      </c>
      <c r="H29" s="53" t="s">
        <v>1567</v>
      </c>
      <c r="I29" s="53" t="s">
        <v>1568</v>
      </c>
      <c r="J29" s="73" t="s">
        <v>1569</v>
      </c>
      <c r="K29" s="73">
        <v>1</v>
      </c>
      <c r="L29" s="53" t="s">
        <v>670</v>
      </c>
      <c r="M29" s="53" t="s">
        <v>387</v>
      </c>
      <c r="N29" s="53" t="str">
        <f>IFERROR(VLOOKUP(TRIM(M29),Mapping!$A:$B,2,FALSE),"")</f>
        <v>Project_020</v>
      </c>
      <c r="O29" s="53" t="s">
        <v>18</v>
      </c>
      <c r="P29" s="73" t="s">
        <v>1582</v>
      </c>
      <c r="Q29" s="73" t="s">
        <v>1572</v>
      </c>
      <c r="R29" s="73" t="s">
        <v>1573</v>
      </c>
      <c r="S29" s="73"/>
      <c r="T29" s="73"/>
      <c r="U29" s="73" t="s">
        <v>1574</v>
      </c>
      <c r="V29" s="73" t="s">
        <v>1575</v>
      </c>
      <c r="W29" s="73" t="s">
        <v>1576</v>
      </c>
      <c r="X29" s="73"/>
      <c r="Y29" s="73" t="s">
        <v>1577</v>
      </c>
    </row>
    <row r="30" spans="1:25" ht="45.75">
      <c r="A30" s="116">
        <v>29</v>
      </c>
      <c r="B30" s="73" t="s">
        <v>92</v>
      </c>
      <c r="C30" s="73" t="s">
        <v>1563</v>
      </c>
      <c r="D30" s="73" t="s">
        <v>91</v>
      </c>
      <c r="E30" s="73" t="s">
        <v>1564</v>
      </c>
      <c r="F30" s="73" t="s">
        <v>1565</v>
      </c>
      <c r="G30" s="73" t="s">
        <v>1566</v>
      </c>
      <c r="H30" s="53" t="s">
        <v>1567</v>
      </c>
      <c r="I30" s="53" t="s">
        <v>1568</v>
      </c>
      <c r="J30" s="73" t="s">
        <v>1569</v>
      </c>
      <c r="K30" s="73">
        <v>1</v>
      </c>
      <c r="L30" s="53" t="s">
        <v>684</v>
      </c>
      <c r="M30" s="53" t="s">
        <v>348</v>
      </c>
      <c r="N30" s="53" t="str">
        <f>IFERROR(VLOOKUP(TRIM(M30),Mapping!$A:$B,2,FALSE),"")</f>
        <v>Project_014</v>
      </c>
      <c r="O30" s="53" t="s">
        <v>1581</v>
      </c>
      <c r="P30" s="73" t="s">
        <v>1571</v>
      </c>
      <c r="Q30" s="73" t="s">
        <v>1572</v>
      </c>
      <c r="R30" s="73" t="s">
        <v>1573</v>
      </c>
      <c r="S30" s="73"/>
      <c r="T30" s="73"/>
      <c r="U30" s="73" t="s">
        <v>1574</v>
      </c>
      <c r="V30" s="73" t="s">
        <v>1575</v>
      </c>
      <c r="W30" s="73" t="s">
        <v>1576</v>
      </c>
      <c r="X30" s="73"/>
      <c r="Y30" s="73" t="s">
        <v>1577</v>
      </c>
    </row>
    <row r="31" spans="1:25" ht="45.75">
      <c r="A31" s="116">
        <v>30</v>
      </c>
      <c r="B31" s="73" t="s">
        <v>92</v>
      </c>
      <c r="C31" s="73" t="s">
        <v>1563</v>
      </c>
      <c r="D31" s="73" t="s">
        <v>91</v>
      </c>
      <c r="E31" s="73" t="s">
        <v>1564</v>
      </c>
      <c r="F31" s="73" t="s">
        <v>1565</v>
      </c>
      <c r="G31" s="73" t="s">
        <v>1566</v>
      </c>
      <c r="H31" s="53" t="s">
        <v>1567</v>
      </c>
      <c r="I31" s="53" t="s">
        <v>1568</v>
      </c>
      <c r="J31" s="73" t="s">
        <v>1569</v>
      </c>
      <c r="K31" s="73">
        <v>1</v>
      </c>
      <c r="L31" s="53" t="s">
        <v>694</v>
      </c>
      <c r="M31" s="53" t="s">
        <v>501</v>
      </c>
      <c r="N31" s="53" t="str">
        <f>IFERROR(VLOOKUP(TRIM(M31),Mapping!$A:$B,2,FALSE),"")</f>
        <v>Project_029</v>
      </c>
      <c r="O31" s="53" t="s">
        <v>696</v>
      </c>
      <c r="P31" s="73" t="s">
        <v>1571</v>
      </c>
      <c r="Q31" s="73" t="s">
        <v>1572</v>
      </c>
      <c r="R31" s="73" t="s">
        <v>1573</v>
      </c>
      <c r="S31" s="73"/>
      <c r="T31" s="73"/>
      <c r="U31" s="73" t="s">
        <v>1574</v>
      </c>
      <c r="V31" s="73" t="s">
        <v>1575</v>
      </c>
      <c r="W31" s="73" t="s">
        <v>1576</v>
      </c>
      <c r="X31" s="73"/>
      <c r="Y31" s="73" t="s">
        <v>1577</v>
      </c>
    </row>
    <row r="32" spans="1:25" ht="45.75">
      <c r="A32" s="116">
        <v>31</v>
      </c>
      <c r="B32" s="73" t="s">
        <v>92</v>
      </c>
      <c r="C32" s="73" t="s">
        <v>1563</v>
      </c>
      <c r="D32" s="73" t="s">
        <v>91</v>
      </c>
      <c r="E32" s="73" t="s">
        <v>1564</v>
      </c>
      <c r="F32" s="73" t="s">
        <v>1565</v>
      </c>
      <c r="G32" s="73" t="s">
        <v>1566</v>
      </c>
      <c r="H32" s="53" t="s">
        <v>1567</v>
      </c>
      <c r="I32" s="53" t="s">
        <v>1568</v>
      </c>
      <c r="J32" s="73" t="s">
        <v>1569</v>
      </c>
      <c r="K32" s="73">
        <v>1</v>
      </c>
      <c r="L32" s="53" t="s">
        <v>706</v>
      </c>
      <c r="M32" s="53" t="s">
        <v>708</v>
      </c>
      <c r="N32" s="53" t="str">
        <f>IFERROR(VLOOKUP(TRIM(M32),Mapping!$A:$B,2,FALSE),"")</f>
        <v>Project_039</v>
      </c>
      <c r="O32" s="53" t="s">
        <v>1581</v>
      </c>
      <c r="P32" s="73" t="s">
        <v>1584</v>
      </c>
      <c r="Q32" s="73" t="s">
        <v>1572</v>
      </c>
      <c r="R32" s="73" t="s">
        <v>1573</v>
      </c>
      <c r="S32" s="73"/>
      <c r="T32" s="73"/>
      <c r="U32" s="73" t="s">
        <v>1574</v>
      </c>
      <c r="V32" s="73" t="s">
        <v>1575</v>
      </c>
      <c r="W32" s="73" t="s">
        <v>1576</v>
      </c>
      <c r="X32" s="73"/>
      <c r="Y32" s="73" t="s">
        <v>1577</v>
      </c>
    </row>
    <row r="33" spans="1:25" ht="45.75">
      <c r="A33" s="116">
        <v>32</v>
      </c>
      <c r="B33" s="73" t="s">
        <v>92</v>
      </c>
      <c r="C33" s="73" t="s">
        <v>1563</v>
      </c>
      <c r="D33" s="73" t="s">
        <v>91</v>
      </c>
      <c r="E33" s="73" t="s">
        <v>1564</v>
      </c>
      <c r="F33" s="73" t="s">
        <v>1565</v>
      </c>
      <c r="G33" s="73" t="s">
        <v>1566</v>
      </c>
      <c r="H33" s="53" t="s">
        <v>1567</v>
      </c>
      <c r="I33" s="53" t="s">
        <v>1568</v>
      </c>
      <c r="J33" s="73" t="s">
        <v>1569</v>
      </c>
      <c r="K33" s="73">
        <v>1</v>
      </c>
      <c r="L33" s="53" t="s">
        <v>719</v>
      </c>
      <c r="M33" s="53" t="s">
        <v>298</v>
      </c>
      <c r="N33" s="53" t="str">
        <f>IFERROR(VLOOKUP(TRIM(M33),Mapping!$A:$B,2,FALSE),"")</f>
        <v>Project_003</v>
      </c>
      <c r="O33" s="53" t="s">
        <v>18</v>
      </c>
      <c r="P33" s="73" t="s">
        <v>1571</v>
      </c>
      <c r="Q33" s="73" t="s">
        <v>1572</v>
      </c>
      <c r="R33" s="73" t="s">
        <v>1573</v>
      </c>
      <c r="S33" s="73"/>
      <c r="T33" s="73"/>
      <c r="U33" s="73" t="s">
        <v>1574</v>
      </c>
      <c r="V33" s="73" t="s">
        <v>1575</v>
      </c>
      <c r="W33" s="73" t="s">
        <v>1576</v>
      </c>
      <c r="X33" s="73"/>
      <c r="Y33" s="73" t="s">
        <v>1577</v>
      </c>
    </row>
    <row r="34" spans="1:25" ht="45.75">
      <c r="A34" s="116">
        <v>33</v>
      </c>
      <c r="B34" s="73" t="s">
        <v>92</v>
      </c>
      <c r="C34" s="73" t="s">
        <v>1563</v>
      </c>
      <c r="D34" s="73" t="s">
        <v>91</v>
      </c>
      <c r="E34" s="73" t="s">
        <v>1564</v>
      </c>
      <c r="F34" s="73" t="s">
        <v>1565</v>
      </c>
      <c r="G34" s="73" t="s">
        <v>1566</v>
      </c>
      <c r="H34" s="53" t="s">
        <v>1567</v>
      </c>
      <c r="I34" s="53" t="s">
        <v>1568</v>
      </c>
      <c r="J34" s="73" t="s">
        <v>1569</v>
      </c>
      <c r="K34" s="73">
        <v>1</v>
      </c>
      <c r="L34" s="53" t="s">
        <v>729</v>
      </c>
      <c r="M34" s="53" t="s">
        <v>434</v>
      </c>
      <c r="N34" s="53" t="str">
        <f>IFERROR(VLOOKUP(TRIM(M34),Mapping!$A:$B,2,FALSE),"")</f>
        <v>Project_024</v>
      </c>
      <c r="O34" s="53" t="s">
        <v>1580</v>
      </c>
      <c r="P34" s="73" t="s">
        <v>1585</v>
      </c>
      <c r="Q34" s="73" t="s">
        <v>1572</v>
      </c>
      <c r="R34" s="73" t="s">
        <v>1573</v>
      </c>
      <c r="S34" s="73"/>
      <c r="T34" s="73"/>
      <c r="U34" s="73" t="s">
        <v>1574</v>
      </c>
      <c r="V34" s="73" t="s">
        <v>1575</v>
      </c>
      <c r="W34" s="73" t="s">
        <v>1576</v>
      </c>
      <c r="X34" s="73"/>
      <c r="Y34" s="73" t="s">
        <v>1577</v>
      </c>
    </row>
    <row r="35" spans="1:25" ht="45.75">
      <c r="A35" s="116">
        <v>34</v>
      </c>
      <c r="B35" s="73" t="s">
        <v>92</v>
      </c>
      <c r="C35" s="73" t="s">
        <v>1563</v>
      </c>
      <c r="D35" s="73" t="s">
        <v>91</v>
      </c>
      <c r="E35" s="73" t="s">
        <v>1564</v>
      </c>
      <c r="F35" s="73" t="s">
        <v>1565</v>
      </c>
      <c r="G35" s="73" t="s">
        <v>1566</v>
      </c>
      <c r="H35" s="53" t="s">
        <v>1567</v>
      </c>
      <c r="I35" s="53" t="s">
        <v>1568</v>
      </c>
      <c r="J35" s="73" t="s">
        <v>1569</v>
      </c>
      <c r="K35" s="73">
        <v>1</v>
      </c>
      <c r="L35" s="53" t="s">
        <v>742</v>
      </c>
      <c r="M35" s="53" t="s">
        <v>341</v>
      </c>
      <c r="N35" s="53" t="str">
        <f>IFERROR(VLOOKUP(TRIM(M35),Mapping!$A:$B,2,FALSE),"")</f>
        <v>Project_013</v>
      </c>
      <c r="O35" s="53" t="s">
        <v>18</v>
      </c>
      <c r="P35" s="73" t="s">
        <v>1571</v>
      </c>
      <c r="Q35" s="73" t="s">
        <v>1572</v>
      </c>
      <c r="R35" s="73" t="s">
        <v>1573</v>
      </c>
      <c r="S35" s="73"/>
      <c r="T35" s="73"/>
      <c r="U35" s="73" t="s">
        <v>1574</v>
      </c>
      <c r="V35" s="73" t="s">
        <v>1575</v>
      </c>
      <c r="W35" s="73" t="s">
        <v>1576</v>
      </c>
      <c r="X35" s="73"/>
      <c r="Y35" s="73" t="s">
        <v>1577</v>
      </c>
    </row>
    <row r="36" spans="1:25" ht="45.75">
      <c r="A36" s="116">
        <v>35</v>
      </c>
      <c r="B36" s="73" t="s">
        <v>92</v>
      </c>
      <c r="C36" s="73" t="s">
        <v>1563</v>
      </c>
      <c r="D36" s="73" t="s">
        <v>91</v>
      </c>
      <c r="E36" s="73" t="s">
        <v>1564</v>
      </c>
      <c r="F36" s="73" t="s">
        <v>1565</v>
      </c>
      <c r="G36" s="73" t="s">
        <v>1566</v>
      </c>
      <c r="H36" s="53" t="s">
        <v>1567</v>
      </c>
      <c r="I36" s="53" t="s">
        <v>1568</v>
      </c>
      <c r="J36" s="73" t="s">
        <v>1569</v>
      </c>
      <c r="K36" s="73">
        <v>1</v>
      </c>
      <c r="L36" s="53" t="s">
        <v>754</v>
      </c>
      <c r="M36" s="53" t="s">
        <v>305</v>
      </c>
      <c r="N36" s="53" t="str">
        <f>IFERROR(VLOOKUP(TRIM(M36),Mapping!$A:$B,2,FALSE),"")</f>
        <v>Project_005</v>
      </c>
      <c r="O36" s="53" t="s">
        <v>18</v>
      </c>
      <c r="P36" s="73" t="s">
        <v>1582</v>
      </c>
      <c r="Q36" s="73" t="s">
        <v>1572</v>
      </c>
      <c r="R36" s="73" t="s">
        <v>1573</v>
      </c>
      <c r="S36" s="73"/>
      <c r="T36" s="73"/>
      <c r="U36" s="73" t="s">
        <v>1574</v>
      </c>
      <c r="V36" s="73" t="s">
        <v>1575</v>
      </c>
      <c r="W36" s="73" t="s">
        <v>1576</v>
      </c>
      <c r="X36" s="73"/>
      <c r="Y36" s="73" t="s">
        <v>1577</v>
      </c>
    </row>
    <row r="37" spans="1:25" ht="45.75">
      <c r="A37" s="116">
        <v>36</v>
      </c>
      <c r="B37" s="73" t="s">
        <v>92</v>
      </c>
      <c r="C37" s="73" t="s">
        <v>1563</v>
      </c>
      <c r="D37" s="73" t="s">
        <v>91</v>
      </c>
      <c r="E37" s="73" t="s">
        <v>1564</v>
      </c>
      <c r="F37" s="73" t="s">
        <v>1565</v>
      </c>
      <c r="G37" s="73" t="s">
        <v>1566</v>
      </c>
      <c r="H37" s="53" t="s">
        <v>1567</v>
      </c>
      <c r="I37" s="53" t="s">
        <v>1568</v>
      </c>
      <c r="J37" s="73" t="s">
        <v>1569</v>
      </c>
      <c r="K37" s="73">
        <v>1</v>
      </c>
      <c r="L37" s="53" t="s">
        <v>765</v>
      </c>
      <c r="M37" s="53" t="s">
        <v>378</v>
      </c>
      <c r="N37" s="53" t="str">
        <f>IFERROR(VLOOKUP(TRIM(M37),Mapping!$A:$B,2,FALSE),"")</f>
        <v>Project_018</v>
      </c>
      <c r="O37" s="53" t="s">
        <v>1586</v>
      </c>
      <c r="P37" s="73" t="s">
        <v>1571</v>
      </c>
      <c r="Q37" s="73" t="s">
        <v>1572</v>
      </c>
      <c r="R37" s="73" t="s">
        <v>1573</v>
      </c>
      <c r="S37" s="73"/>
      <c r="T37" s="73"/>
      <c r="U37" s="73" t="s">
        <v>1574</v>
      </c>
      <c r="V37" s="73" t="s">
        <v>1575</v>
      </c>
      <c r="W37" s="73" t="s">
        <v>1576</v>
      </c>
      <c r="X37" s="73"/>
      <c r="Y37" s="73" t="s">
        <v>1577</v>
      </c>
    </row>
    <row r="38" spans="1:25" ht="45.75">
      <c r="A38" s="116">
        <v>37</v>
      </c>
      <c r="B38" s="73" t="s">
        <v>92</v>
      </c>
      <c r="C38" s="73" t="s">
        <v>1563</v>
      </c>
      <c r="D38" s="73" t="s">
        <v>91</v>
      </c>
      <c r="E38" s="73" t="s">
        <v>1564</v>
      </c>
      <c r="F38" s="73" t="s">
        <v>1565</v>
      </c>
      <c r="G38" s="73" t="s">
        <v>1566</v>
      </c>
      <c r="H38" s="53" t="s">
        <v>1567</v>
      </c>
      <c r="I38" s="53" t="s">
        <v>1568</v>
      </c>
      <c r="J38" s="73" t="s">
        <v>1569</v>
      </c>
      <c r="K38" s="73">
        <v>1</v>
      </c>
      <c r="L38" s="53" t="s">
        <v>779</v>
      </c>
      <c r="M38" s="53" t="s">
        <v>318</v>
      </c>
      <c r="N38" s="53" t="str">
        <f>IFERROR(VLOOKUP(TRIM(M38),Mapping!$A:$B,2,FALSE),"")</f>
        <v>Project_008</v>
      </c>
      <c r="O38" s="53" t="s">
        <v>1587</v>
      </c>
      <c r="P38" s="73" t="s">
        <v>1571</v>
      </c>
      <c r="Q38" s="73" t="s">
        <v>1572</v>
      </c>
      <c r="R38" s="73" t="s">
        <v>1573</v>
      </c>
      <c r="S38" s="73"/>
      <c r="T38" s="73"/>
      <c r="U38" s="73" t="s">
        <v>1574</v>
      </c>
      <c r="V38" s="73" t="s">
        <v>1575</v>
      </c>
      <c r="W38" s="73" t="s">
        <v>1576</v>
      </c>
      <c r="X38" s="73"/>
      <c r="Y38" s="73" t="s">
        <v>1577</v>
      </c>
    </row>
    <row r="39" spans="1:25" ht="45.75">
      <c r="A39" s="116">
        <v>38</v>
      </c>
      <c r="B39" s="73" t="s">
        <v>92</v>
      </c>
      <c r="C39" s="73" t="s">
        <v>1563</v>
      </c>
      <c r="D39" s="73" t="s">
        <v>91</v>
      </c>
      <c r="E39" s="73" t="s">
        <v>1564</v>
      </c>
      <c r="F39" s="73" t="s">
        <v>1565</v>
      </c>
      <c r="G39" s="73" t="s">
        <v>1566</v>
      </c>
      <c r="H39" s="53" t="s">
        <v>1567</v>
      </c>
      <c r="I39" s="53" t="s">
        <v>1568</v>
      </c>
      <c r="J39" s="73" t="s">
        <v>1569</v>
      </c>
      <c r="K39" s="73">
        <v>1</v>
      </c>
      <c r="L39" s="53" t="s">
        <v>796</v>
      </c>
      <c r="M39" s="53" t="s">
        <v>387</v>
      </c>
      <c r="N39" s="53" t="str">
        <f>IFERROR(VLOOKUP(TRIM(M39),Mapping!$A:$B,2,FALSE),"")</f>
        <v>Project_020</v>
      </c>
      <c r="O39" s="53" t="s">
        <v>1581</v>
      </c>
      <c r="P39" s="73" t="s">
        <v>1585</v>
      </c>
      <c r="Q39" s="73" t="s">
        <v>1572</v>
      </c>
      <c r="R39" s="73" t="s">
        <v>1573</v>
      </c>
      <c r="S39" s="73"/>
      <c r="T39" s="73"/>
      <c r="U39" s="73" t="s">
        <v>1574</v>
      </c>
      <c r="V39" s="73" t="s">
        <v>1575</v>
      </c>
      <c r="W39" s="73" t="s">
        <v>1576</v>
      </c>
      <c r="X39" s="73"/>
      <c r="Y39" s="73" t="s">
        <v>1577</v>
      </c>
    </row>
    <row r="40" spans="1:25" ht="45.75">
      <c r="A40" s="116">
        <v>39</v>
      </c>
      <c r="B40" s="73" t="s">
        <v>92</v>
      </c>
      <c r="C40" s="73" t="s">
        <v>1563</v>
      </c>
      <c r="D40" s="73" t="s">
        <v>91</v>
      </c>
      <c r="E40" s="73" t="s">
        <v>1564</v>
      </c>
      <c r="F40" s="73" t="s">
        <v>1565</v>
      </c>
      <c r="G40" s="73" t="s">
        <v>1566</v>
      </c>
      <c r="H40" s="53" t="s">
        <v>1567</v>
      </c>
      <c r="I40" s="53" t="s">
        <v>1568</v>
      </c>
      <c r="J40" s="73" t="s">
        <v>1569</v>
      </c>
      <c r="K40" s="73">
        <v>1</v>
      </c>
      <c r="L40" s="53" t="s">
        <v>808</v>
      </c>
      <c r="M40" s="53" t="s">
        <v>348</v>
      </c>
      <c r="N40" s="53" t="str">
        <f>IFERROR(VLOOKUP(TRIM(M40),Mapping!$A:$B,2,FALSE),"")</f>
        <v>Project_014</v>
      </c>
      <c r="O40" s="53" t="s">
        <v>4</v>
      </c>
      <c r="P40" s="73" t="s">
        <v>1584</v>
      </c>
      <c r="Q40" s="73" t="s">
        <v>1572</v>
      </c>
      <c r="R40" s="73" t="s">
        <v>1573</v>
      </c>
      <c r="S40" s="73"/>
      <c r="T40" s="73"/>
      <c r="U40" s="73" t="s">
        <v>1574</v>
      </c>
      <c r="V40" s="73" t="s">
        <v>1575</v>
      </c>
      <c r="W40" s="73" t="s">
        <v>1576</v>
      </c>
      <c r="X40" s="73"/>
      <c r="Y40" s="73" t="s">
        <v>1577</v>
      </c>
    </row>
    <row r="41" spans="1:25" ht="45.75">
      <c r="A41" s="116">
        <v>40</v>
      </c>
      <c r="B41" s="73" t="s">
        <v>92</v>
      </c>
      <c r="C41" s="73" t="s">
        <v>1563</v>
      </c>
      <c r="D41" s="73" t="s">
        <v>91</v>
      </c>
      <c r="E41" s="73" t="s">
        <v>1564</v>
      </c>
      <c r="F41" s="73" t="s">
        <v>1565</v>
      </c>
      <c r="G41" s="73" t="s">
        <v>1566</v>
      </c>
      <c r="H41" s="53" t="s">
        <v>1567</v>
      </c>
      <c r="I41" s="53" t="s">
        <v>1568</v>
      </c>
      <c r="J41" s="73" t="s">
        <v>1569</v>
      </c>
      <c r="K41" s="73">
        <v>1</v>
      </c>
      <c r="L41" s="53" t="s">
        <v>820</v>
      </c>
      <c r="M41" s="53" t="s">
        <v>301</v>
      </c>
      <c r="N41" s="53" t="str">
        <f>IFERROR(VLOOKUP(TRIM(M41),Mapping!$A:$B,2,FALSE),"")</f>
        <v>Project_004</v>
      </c>
      <c r="O41" s="53" t="s">
        <v>1580</v>
      </c>
      <c r="P41" s="73" t="s">
        <v>1571</v>
      </c>
      <c r="Q41" s="73" t="s">
        <v>1572</v>
      </c>
      <c r="R41" s="73" t="s">
        <v>1573</v>
      </c>
      <c r="S41" s="73"/>
      <c r="T41" s="73"/>
      <c r="U41" s="73" t="s">
        <v>1574</v>
      </c>
      <c r="V41" s="73" t="s">
        <v>1575</v>
      </c>
      <c r="W41" s="73" t="s">
        <v>1576</v>
      </c>
      <c r="X41" s="73"/>
      <c r="Y41" s="73" t="s">
        <v>1577</v>
      </c>
    </row>
    <row r="42" spans="1:25" ht="45.75">
      <c r="A42" s="116">
        <v>41</v>
      </c>
      <c r="B42" s="73" t="s">
        <v>92</v>
      </c>
      <c r="C42" s="73" t="s">
        <v>1563</v>
      </c>
      <c r="D42" s="73" t="s">
        <v>91</v>
      </c>
      <c r="E42" s="73" t="s">
        <v>1564</v>
      </c>
      <c r="F42" s="73" t="s">
        <v>1565</v>
      </c>
      <c r="G42" s="73" t="s">
        <v>1566</v>
      </c>
      <c r="H42" s="53" t="s">
        <v>1567</v>
      </c>
      <c r="I42" s="53" t="s">
        <v>1568</v>
      </c>
      <c r="J42" s="73" t="s">
        <v>1569</v>
      </c>
      <c r="K42" s="73">
        <v>1</v>
      </c>
      <c r="L42" s="53" t="s">
        <v>831</v>
      </c>
      <c r="M42" s="53" t="s">
        <v>305</v>
      </c>
      <c r="N42" s="53" t="str">
        <f>IFERROR(VLOOKUP(TRIM(M42),Mapping!$A:$B,2,FALSE),"")</f>
        <v>Project_005</v>
      </c>
      <c r="O42" s="53" t="s">
        <v>18</v>
      </c>
      <c r="P42" s="73" t="s">
        <v>1571</v>
      </c>
      <c r="Q42" s="73" t="s">
        <v>1572</v>
      </c>
      <c r="R42" s="73" t="s">
        <v>1573</v>
      </c>
      <c r="S42" s="73"/>
      <c r="T42" s="73"/>
      <c r="U42" s="73" t="s">
        <v>1574</v>
      </c>
      <c r="V42" s="73" t="s">
        <v>1575</v>
      </c>
      <c r="W42" s="73" t="s">
        <v>1576</v>
      </c>
      <c r="X42" s="73"/>
      <c r="Y42" s="73" t="s">
        <v>1577</v>
      </c>
    </row>
    <row r="43" spans="1:25" ht="45.75">
      <c r="A43" s="116">
        <v>42</v>
      </c>
      <c r="B43" s="73" t="s">
        <v>92</v>
      </c>
      <c r="C43" s="73" t="s">
        <v>1563</v>
      </c>
      <c r="D43" s="73" t="s">
        <v>91</v>
      </c>
      <c r="E43" s="73" t="s">
        <v>1564</v>
      </c>
      <c r="F43" s="73" t="s">
        <v>1565</v>
      </c>
      <c r="G43" s="73" t="s">
        <v>1566</v>
      </c>
      <c r="H43" s="53" t="s">
        <v>1567</v>
      </c>
      <c r="I43" s="53" t="s">
        <v>1568</v>
      </c>
      <c r="J43" s="73" t="s">
        <v>1569</v>
      </c>
      <c r="K43" s="73">
        <v>1</v>
      </c>
      <c r="L43" s="53" t="s">
        <v>843</v>
      </c>
      <c r="M43" s="53" t="s">
        <v>301</v>
      </c>
      <c r="N43" s="53" t="str">
        <f>IFERROR(VLOOKUP(TRIM(M43),Mapping!$A:$B,2,FALSE),"")</f>
        <v>Project_004</v>
      </c>
      <c r="O43" s="53" t="s">
        <v>27</v>
      </c>
      <c r="P43" s="73" t="s">
        <v>1582</v>
      </c>
      <c r="Q43" s="73" t="s">
        <v>1572</v>
      </c>
      <c r="R43" s="73" t="s">
        <v>1573</v>
      </c>
      <c r="S43" s="73"/>
      <c r="T43" s="73"/>
      <c r="U43" s="73" t="s">
        <v>1574</v>
      </c>
      <c r="V43" s="73" t="s">
        <v>1575</v>
      </c>
      <c r="W43" s="73" t="s">
        <v>1576</v>
      </c>
      <c r="X43" s="73"/>
      <c r="Y43" s="73" t="s">
        <v>1577</v>
      </c>
    </row>
    <row r="44" spans="1:25" ht="45.75">
      <c r="A44" s="116">
        <v>43</v>
      </c>
      <c r="B44" s="73" t="s">
        <v>92</v>
      </c>
      <c r="C44" s="73" t="s">
        <v>1563</v>
      </c>
      <c r="D44" s="73" t="s">
        <v>91</v>
      </c>
      <c r="E44" s="73" t="s">
        <v>1564</v>
      </c>
      <c r="F44" s="73" t="s">
        <v>1565</v>
      </c>
      <c r="G44" s="73" t="s">
        <v>1566</v>
      </c>
      <c r="H44" s="53" t="s">
        <v>1567</v>
      </c>
      <c r="I44" s="53" t="s">
        <v>1568</v>
      </c>
      <c r="J44" s="73" t="s">
        <v>1569</v>
      </c>
      <c r="K44" s="73">
        <v>1</v>
      </c>
      <c r="L44" s="53" t="s">
        <v>854</v>
      </c>
      <c r="M44" s="53" t="s">
        <v>301</v>
      </c>
      <c r="N44" s="53" t="str">
        <f>IFERROR(VLOOKUP(TRIM(M44),Mapping!$A:$B,2,FALSE),"")</f>
        <v>Project_004</v>
      </c>
      <c r="O44" s="53" t="s">
        <v>1581</v>
      </c>
      <c r="P44" s="73" t="s">
        <v>1571</v>
      </c>
      <c r="Q44" s="73" t="s">
        <v>1572</v>
      </c>
      <c r="R44" s="73" t="s">
        <v>1573</v>
      </c>
      <c r="S44" s="73"/>
      <c r="T44" s="73"/>
      <c r="U44" s="73" t="s">
        <v>1574</v>
      </c>
      <c r="V44" s="73" t="s">
        <v>1575</v>
      </c>
      <c r="W44" s="73" t="s">
        <v>1576</v>
      </c>
      <c r="X44" s="73"/>
      <c r="Y44" s="73" t="s">
        <v>1577</v>
      </c>
    </row>
    <row r="45" spans="1:25" ht="45.75">
      <c r="A45" s="116">
        <v>44</v>
      </c>
      <c r="B45" s="73" t="s">
        <v>92</v>
      </c>
      <c r="C45" s="73" t="s">
        <v>1563</v>
      </c>
      <c r="D45" s="73" t="s">
        <v>91</v>
      </c>
      <c r="E45" s="73" t="s">
        <v>1564</v>
      </c>
      <c r="F45" s="73" t="s">
        <v>1565</v>
      </c>
      <c r="G45" s="73" t="s">
        <v>1566</v>
      </c>
      <c r="H45" s="53" t="s">
        <v>1567</v>
      </c>
      <c r="I45" s="53" t="s">
        <v>1568</v>
      </c>
      <c r="J45" s="73" t="s">
        <v>1569</v>
      </c>
      <c r="K45" s="73">
        <v>1</v>
      </c>
      <c r="L45" s="53" t="s">
        <v>868</v>
      </c>
      <c r="M45" s="53" t="s">
        <v>348</v>
      </c>
      <c r="N45" s="53" t="str">
        <f>IFERROR(VLOOKUP(TRIM(M45),Mapping!$A:$B,2,FALSE),"")</f>
        <v>Project_014</v>
      </c>
      <c r="O45" s="53" t="s">
        <v>18</v>
      </c>
      <c r="P45" s="73" t="s">
        <v>1571</v>
      </c>
      <c r="Q45" s="73" t="s">
        <v>1572</v>
      </c>
      <c r="R45" s="73" t="s">
        <v>1573</v>
      </c>
      <c r="S45" s="73"/>
      <c r="T45" s="73"/>
      <c r="U45" s="73" t="s">
        <v>1574</v>
      </c>
      <c r="V45" s="73" t="s">
        <v>1575</v>
      </c>
      <c r="W45" s="73" t="s">
        <v>1576</v>
      </c>
      <c r="X45" s="73"/>
      <c r="Y45" s="73" t="s">
        <v>1577</v>
      </c>
    </row>
    <row r="46" spans="1:25" ht="45.75">
      <c r="A46" s="116">
        <v>45</v>
      </c>
      <c r="B46" s="73" t="s">
        <v>92</v>
      </c>
      <c r="C46" s="73" t="s">
        <v>1563</v>
      </c>
      <c r="D46" s="73" t="s">
        <v>91</v>
      </c>
      <c r="E46" s="73" t="s">
        <v>1564</v>
      </c>
      <c r="F46" s="73" t="s">
        <v>1565</v>
      </c>
      <c r="G46" s="73" t="s">
        <v>1566</v>
      </c>
      <c r="H46" s="53" t="s">
        <v>1567</v>
      </c>
      <c r="I46" s="53" t="s">
        <v>1568</v>
      </c>
      <c r="J46" s="73" t="s">
        <v>1569</v>
      </c>
      <c r="K46" s="73">
        <v>1</v>
      </c>
      <c r="L46" s="53" t="s">
        <v>880</v>
      </c>
      <c r="M46" s="53" t="s">
        <v>315</v>
      </c>
      <c r="N46" s="53" t="str">
        <f>IFERROR(VLOOKUP(TRIM(M46),Mapping!$A:$B,2,FALSE),"")</f>
        <v>Project_007</v>
      </c>
      <c r="O46" s="53" t="s">
        <v>1580</v>
      </c>
      <c r="P46" s="73" t="s">
        <v>1571</v>
      </c>
      <c r="Q46" s="73" t="s">
        <v>1572</v>
      </c>
      <c r="R46" s="73" t="s">
        <v>1573</v>
      </c>
      <c r="S46" s="73"/>
      <c r="T46" s="73"/>
      <c r="U46" s="73" t="s">
        <v>1574</v>
      </c>
      <c r="V46" s="73" t="s">
        <v>1575</v>
      </c>
      <c r="W46" s="73" t="s">
        <v>1576</v>
      </c>
      <c r="X46" s="73"/>
      <c r="Y46" s="73" t="s">
        <v>1577</v>
      </c>
    </row>
    <row r="47" spans="1:25" ht="45.75">
      <c r="A47" s="116">
        <v>46</v>
      </c>
      <c r="B47" s="73" t="s">
        <v>92</v>
      </c>
      <c r="C47" s="73" t="s">
        <v>1563</v>
      </c>
      <c r="D47" s="73" t="s">
        <v>91</v>
      </c>
      <c r="E47" s="73" t="s">
        <v>1564</v>
      </c>
      <c r="F47" s="73" t="s">
        <v>1565</v>
      </c>
      <c r="G47" s="73" t="s">
        <v>1566</v>
      </c>
      <c r="H47" s="53" t="s">
        <v>1567</v>
      </c>
      <c r="I47" s="53" t="s">
        <v>1568</v>
      </c>
      <c r="J47" s="73" t="s">
        <v>1569</v>
      </c>
      <c r="K47" s="73">
        <v>1</v>
      </c>
      <c r="L47" s="53" t="s">
        <v>893</v>
      </c>
      <c r="M47" s="53" t="s">
        <v>679</v>
      </c>
      <c r="N47" s="53" t="str">
        <f>IFERROR(VLOOKUP(TRIM(M47),Mapping!$A:$B,2,FALSE),"")</f>
        <v>Project_038</v>
      </c>
      <c r="O47" s="53" t="s">
        <v>18</v>
      </c>
      <c r="P47" s="73" t="s">
        <v>1571</v>
      </c>
      <c r="Q47" s="73" t="s">
        <v>1572</v>
      </c>
      <c r="R47" s="73" t="s">
        <v>1573</v>
      </c>
      <c r="S47" s="73"/>
      <c r="T47" s="73"/>
      <c r="U47" s="73" t="s">
        <v>1574</v>
      </c>
      <c r="V47" s="73" t="s">
        <v>1575</v>
      </c>
      <c r="W47" s="73" t="s">
        <v>1576</v>
      </c>
      <c r="X47" s="73"/>
      <c r="Y47" s="73" t="s">
        <v>1577</v>
      </c>
    </row>
    <row r="48" spans="1:25" ht="45.75">
      <c r="A48" s="116">
        <v>47</v>
      </c>
      <c r="B48" s="73" t="s">
        <v>92</v>
      </c>
      <c r="C48" s="73" t="s">
        <v>1563</v>
      </c>
      <c r="D48" s="73" t="s">
        <v>91</v>
      </c>
      <c r="E48" s="73" t="s">
        <v>1564</v>
      </c>
      <c r="F48" s="73" t="s">
        <v>1565</v>
      </c>
      <c r="G48" s="73" t="s">
        <v>1566</v>
      </c>
      <c r="H48" s="53" t="s">
        <v>1567</v>
      </c>
      <c r="I48" s="53" t="s">
        <v>1568</v>
      </c>
      <c r="J48" s="73" t="s">
        <v>1569</v>
      </c>
      <c r="K48" s="73">
        <v>1</v>
      </c>
      <c r="L48" s="53" t="s">
        <v>905</v>
      </c>
      <c r="M48" s="53" t="s">
        <v>298</v>
      </c>
      <c r="N48" s="53" t="str">
        <f>IFERROR(VLOOKUP(TRIM(M48),Mapping!$A:$B,2,FALSE),"")</f>
        <v>Project_003</v>
      </c>
      <c r="O48" s="53" t="s">
        <v>18</v>
      </c>
      <c r="P48" s="73" t="s">
        <v>1571</v>
      </c>
      <c r="Q48" s="73" t="s">
        <v>1572</v>
      </c>
      <c r="R48" s="73" t="s">
        <v>1573</v>
      </c>
      <c r="S48" s="73"/>
      <c r="T48" s="73"/>
      <c r="U48" s="73" t="s">
        <v>1574</v>
      </c>
      <c r="V48" s="73" t="s">
        <v>1575</v>
      </c>
      <c r="W48" s="73" t="s">
        <v>1576</v>
      </c>
      <c r="X48" s="73"/>
      <c r="Y48" s="73" t="s">
        <v>1577</v>
      </c>
    </row>
    <row r="49" spans="1:25" ht="45.75">
      <c r="A49" s="116">
        <v>48</v>
      </c>
      <c r="B49" s="73" t="s">
        <v>92</v>
      </c>
      <c r="C49" s="73" t="s">
        <v>1563</v>
      </c>
      <c r="D49" s="73" t="s">
        <v>91</v>
      </c>
      <c r="E49" s="73" t="s">
        <v>1564</v>
      </c>
      <c r="F49" s="73" t="s">
        <v>1565</v>
      </c>
      <c r="G49" s="73" t="s">
        <v>1566</v>
      </c>
      <c r="H49" s="53" t="s">
        <v>1567</v>
      </c>
      <c r="I49" s="53" t="s">
        <v>1568</v>
      </c>
      <c r="J49" s="73" t="s">
        <v>1569</v>
      </c>
      <c r="K49" s="73">
        <v>1</v>
      </c>
      <c r="L49" s="53" t="s">
        <v>915</v>
      </c>
      <c r="M49" s="53" t="s">
        <v>392</v>
      </c>
      <c r="N49" s="53" t="str">
        <f>IFERROR(VLOOKUP(TRIM(M49),Mapping!$A:$B,2,FALSE),"")</f>
        <v>Project_021</v>
      </c>
      <c r="O49" s="53" t="s">
        <v>27</v>
      </c>
      <c r="P49" s="73" t="s">
        <v>1571</v>
      </c>
      <c r="Q49" s="73" t="s">
        <v>1572</v>
      </c>
      <c r="R49" s="73" t="s">
        <v>1573</v>
      </c>
      <c r="S49" s="73"/>
      <c r="T49" s="73"/>
      <c r="U49" s="73" t="s">
        <v>1574</v>
      </c>
      <c r="V49" s="73" t="s">
        <v>1575</v>
      </c>
      <c r="W49" s="73" t="s">
        <v>1576</v>
      </c>
      <c r="X49" s="73"/>
      <c r="Y49" s="73" t="s">
        <v>1577</v>
      </c>
    </row>
    <row r="50" spans="1:25" ht="45.75">
      <c r="A50" s="116">
        <v>49</v>
      </c>
      <c r="B50" s="73" t="s">
        <v>92</v>
      </c>
      <c r="C50" s="73" t="s">
        <v>1563</v>
      </c>
      <c r="D50" s="73" t="s">
        <v>91</v>
      </c>
      <c r="E50" s="73" t="s">
        <v>1564</v>
      </c>
      <c r="F50" s="73" t="s">
        <v>1565</v>
      </c>
      <c r="G50" s="73" t="s">
        <v>1566</v>
      </c>
      <c r="H50" s="53" t="s">
        <v>1567</v>
      </c>
      <c r="I50" s="53" t="s">
        <v>1568</v>
      </c>
      <c r="J50" s="73" t="s">
        <v>1569</v>
      </c>
      <c r="K50" s="73">
        <v>1</v>
      </c>
      <c r="L50" s="53" t="s">
        <v>929</v>
      </c>
      <c r="M50" s="53" t="s">
        <v>486</v>
      </c>
      <c r="N50" s="53" t="str">
        <f>IFERROR(VLOOKUP(TRIM(M50),Mapping!$A:$B,2,FALSE),"")</f>
        <v>Project_028</v>
      </c>
      <c r="O50" s="53" t="s">
        <v>1581</v>
      </c>
      <c r="P50" s="73" t="s">
        <v>1571</v>
      </c>
      <c r="Q50" s="73" t="s">
        <v>1572</v>
      </c>
      <c r="R50" s="73" t="s">
        <v>1573</v>
      </c>
      <c r="S50" s="73"/>
      <c r="T50" s="73"/>
      <c r="U50" s="73" t="s">
        <v>1574</v>
      </c>
      <c r="V50" s="73" t="s">
        <v>1575</v>
      </c>
      <c r="W50" s="73" t="s">
        <v>1576</v>
      </c>
      <c r="X50" s="73"/>
      <c r="Y50" s="73" t="s">
        <v>1577</v>
      </c>
    </row>
    <row r="51" spans="1:25" ht="45.75">
      <c r="A51" s="116">
        <v>50</v>
      </c>
      <c r="B51" s="73" t="s">
        <v>92</v>
      </c>
      <c r="C51" s="73" t="s">
        <v>1563</v>
      </c>
      <c r="D51" s="73" t="s">
        <v>91</v>
      </c>
      <c r="E51" s="73" t="s">
        <v>1564</v>
      </c>
      <c r="F51" s="73" t="s">
        <v>1565</v>
      </c>
      <c r="G51" s="73" t="s">
        <v>1566</v>
      </c>
      <c r="H51" s="53" t="s">
        <v>1567</v>
      </c>
      <c r="I51" s="53" t="s">
        <v>1568</v>
      </c>
      <c r="J51" s="73" t="s">
        <v>1569</v>
      </c>
      <c r="K51" s="73">
        <v>1</v>
      </c>
      <c r="L51" s="53" t="s">
        <v>942</v>
      </c>
      <c r="M51" s="53" t="s">
        <v>339</v>
      </c>
      <c r="N51" s="53" t="str">
        <f>IFERROR(VLOOKUP(TRIM(M51),Mapping!$A:$B,2,FALSE),"")</f>
        <v>Project_012</v>
      </c>
      <c r="O51" s="53" t="s">
        <v>1580</v>
      </c>
      <c r="P51" s="73" t="s">
        <v>1585</v>
      </c>
      <c r="Q51" s="73" t="s">
        <v>1572</v>
      </c>
      <c r="R51" s="73" t="s">
        <v>1573</v>
      </c>
      <c r="S51" s="73"/>
      <c r="T51" s="73"/>
      <c r="U51" s="73" t="s">
        <v>1574</v>
      </c>
      <c r="V51" s="73" t="s">
        <v>1575</v>
      </c>
      <c r="W51" s="73" t="s">
        <v>1576</v>
      </c>
      <c r="X51" s="73"/>
      <c r="Y51" s="73" t="s">
        <v>1577</v>
      </c>
    </row>
    <row r="52" spans="1:25" ht="45.75">
      <c r="A52" s="116">
        <v>51</v>
      </c>
      <c r="B52" s="73" t="s">
        <v>92</v>
      </c>
      <c r="C52" s="73" t="s">
        <v>1563</v>
      </c>
      <c r="D52" s="73" t="s">
        <v>91</v>
      </c>
      <c r="E52" s="73" t="s">
        <v>1564</v>
      </c>
      <c r="F52" s="73" t="s">
        <v>1565</v>
      </c>
      <c r="G52" s="73" t="s">
        <v>1566</v>
      </c>
      <c r="H52" s="53" t="s">
        <v>1567</v>
      </c>
      <c r="I52" s="53" t="s">
        <v>1568</v>
      </c>
      <c r="J52" s="73" t="s">
        <v>1569</v>
      </c>
      <c r="K52" s="73">
        <v>1</v>
      </c>
      <c r="L52" s="53" t="s">
        <v>953</v>
      </c>
      <c r="M52" s="53" t="s">
        <v>298</v>
      </c>
      <c r="N52" s="53" t="str">
        <f>IFERROR(VLOOKUP(TRIM(M52),Mapping!$A:$B,2,FALSE),"")</f>
        <v>Project_003</v>
      </c>
      <c r="O52" s="53" t="s">
        <v>18</v>
      </c>
      <c r="P52" s="73" t="s">
        <v>1585</v>
      </c>
      <c r="Q52" s="73" t="s">
        <v>1572</v>
      </c>
      <c r="R52" s="73" t="s">
        <v>1573</v>
      </c>
      <c r="S52" s="73"/>
      <c r="T52" s="73"/>
      <c r="U52" s="73" t="s">
        <v>1574</v>
      </c>
      <c r="V52" s="73" t="s">
        <v>1575</v>
      </c>
      <c r="W52" s="73" t="s">
        <v>1576</v>
      </c>
      <c r="X52" s="73"/>
      <c r="Y52" s="73" t="s">
        <v>1577</v>
      </c>
    </row>
    <row r="53" spans="1:25" ht="45.75">
      <c r="A53" s="116">
        <v>52</v>
      </c>
      <c r="B53" s="73" t="s">
        <v>92</v>
      </c>
      <c r="C53" s="73" t="s">
        <v>1563</v>
      </c>
      <c r="D53" s="73" t="s">
        <v>91</v>
      </c>
      <c r="E53" s="73" t="s">
        <v>1564</v>
      </c>
      <c r="F53" s="73" t="s">
        <v>1565</v>
      </c>
      <c r="G53" s="73" t="s">
        <v>1566</v>
      </c>
      <c r="H53" s="53" t="s">
        <v>1567</v>
      </c>
      <c r="I53" s="53" t="s">
        <v>1568</v>
      </c>
      <c r="J53" s="73" t="s">
        <v>1569</v>
      </c>
      <c r="K53" s="73">
        <v>1</v>
      </c>
      <c r="L53" s="53" t="s">
        <v>967</v>
      </c>
      <c r="M53" s="53" t="s">
        <v>339</v>
      </c>
      <c r="N53" s="53" t="str">
        <f>IFERROR(VLOOKUP(TRIM(M53),Mapping!$A:$B,2,FALSE),"")</f>
        <v>Project_012</v>
      </c>
      <c r="O53" s="53" t="s">
        <v>1581</v>
      </c>
      <c r="P53" s="73" t="s">
        <v>1571</v>
      </c>
      <c r="Q53" s="73" t="s">
        <v>1572</v>
      </c>
      <c r="R53" s="73" t="s">
        <v>1573</v>
      </c>
      <c r="S53" s="73"/>
      <c r="T53" s="73"/>
      <c r="U53" s="73" t="s">
        <v>1574</v>
      </c>
      <c r="V53" s="73" t="s">
        <v>1575</v>
      </c>
      <c r="W53" s="73" t="s">
        <v>1576</v>
      </c>
      <c r="X53" s="73"/>
      <c r="Y53" s="73" t="s">
        <v>1577</v>
      </c>
    </row>
    <row r="54" spans="1:25" ht="45.75">
      <c r="A54" s="116">
        <v>53</v>
      </c>
      <c r="B54" s="73" t="s">
        <v>92</v>
      </c>
      <c r="C54" s="73" t="s">
        <v>1563</v>
      </c>
      <c r="D54" s="73" t="s">
        <v>91</v>
      </c>
      <c r="E54" s="73" t="s">
        <v>1564</v>
      </c>
      <c r="F54" s="73" t="s">
        <v>1565</v>
      </c>
      <c r="G54" s="73" t="s">
        <v>1566</v>
      </c>
      <c r="H54" s="53" t="s">
        <v>1567</v>
      </c>
      <c r="I54" s="53" t="s">
        <v>1568</v>
      </c>
      <c r="J54" s="73" t="s">
        <v>1569</v>
      </c>
      <c r="K54" s="73">
        <v>1</v>
      </c>
      <c r="L54" s="53" t="s">
        <v>980</v>
      </c>
      <c r="M54" s="53" t="s">
        <v>301</v>
      </c>
      <c r="N54" s="53" t="str">
        <f>IFERROR(VLOOKUP(TRIM(M54),Mapping!$A:$B,2,FALSE),"")</f>
        <v>Project_004</v>
      </c>
      <c r="O54" s="53" t="s">
        <v>4</v>
      </c>
      <c r="P54" s="73" t="s">
        <v>1571</v>
      </c>
      <c r="Q54" s="73" t="s">
        <v>1572</v>
      </c>
      <c r="R54" s="73" t="s">
        <v>1573</v>
      </c>
      <c r="S54" s="73"/>
      <c r="T54" s="73"/>
      <c r="U54" s="73" t="s">
        <v>1574</v>
      </c>
      <c r="V54" s="73" t="s">
        <v>1575</v>
      </c>
      <c r="W54" s="73" t="s">
        <v>1576</v>
      </c>
      <c r="X54" s="73"/>
      <c r="Y54" s="73" t="s">
        <v>1577</v>
      </c>
    </row>
    <row r="55" spans="1:25" ht="45.75">
      <c r="A55" s="116">
        <v>54</v>
      </c>
      <c r="B55" s="73" t="s">
        <v>92</v>
      </c>
      <c r="C55" s="73" t="s">
        <v>1563</v>
      </c>
      <c r="D55" s="73" t="s">
        <v>91</v>
      </c>
      <c r="E55" s="73" t="s">
        <v>1564</v>
      </c>
      <c r="F55" s="73" t="s">
        <v>1565</v>
      </c>
      <c r="G55" s="73" t="s">
        <v>1566</v>
      </c>
      <c r="H55" s="53" t="s">
        <v>1567</v>
      </c>
      <c r="I55" s="53" t="s">
        <v>1568</v>
      </c>
      <c r="J55" s="73" t="s">
        <v>1569</v>
      </c>
      <c r="K55" s="73">
        <v>1</v>
      </c>
      <c r="L55" s="53" t="s">
        <v>989</v>
      </c>
      <c r="M55" s="53" t="s">
        <v>298</v>
      </c>
      <c r="N55" s="53" t="str">
        <f>IFERROR(VLOOKUP(TRIM(M55),Mapping!$A:$B,2,FALSE),"")</f>
        <v>Project_003</v>
      </c>
      <c r="O55" s="53" t="s">
        <v>4</v>
      </c>
      <c r="P55" s="73" t="s">
        <v>1585</v>
      </c>
      <c r="Q55" s="73" t="s">
        <v>1572</v>
      </c>
      <c r="R55" s="73" t="s">
        <v>1573</v>
      </c>
      <c r="S55" s="73"/>
      <c r="T55" s="73"/>
      <c r="U55" s="73" t="s">
        <v>1574</v>
      </c>
      <c r="V55" s="73" t="s">
        <v>1575</v>
      </c>
      <c r="W55" s="73" t="s">
        <v>1576</v>
      </c>
      <c r="X55" s="73"/>
      <c r="Y55" s="73" t="s">
        <v>1577</v>
      </c>
    </row>
    <row r="56" spans="1:25" ht="45.75">
      <c r="A56" s="116">
        <v>55</v>
      </c>
      <c r="B56" s="73" t="s">
        <v>92</v>
      </c>
      <c r="C56" s="73" t="s">
        <v>1563</v>
      </c>
      <c r="D56" s="73" t="s">
        <v>91</v>
      </c>
      <c r="E56" s="73" t="s">
        <v>1564</v>
      </c>
      <c r="F56" s="73" t="s">
        <v>1565</v>
      </c>
      <c r="G56" s="73" t="s">
        <v>1566</v>
      </c>
      <c r="H56" s="53" t="s">
        <v>1567</v>
      </c>
      <c r="I56" s="53" t="s">
        <v>1568</v>
      </c>
      <c r="J56" s="73" t="s">
        <v>1569</v>
      </c>
      <c r="K56" s="73">
        <v>1</v>
      </c>
      <c r="L56" s="53" t="s">
        <v>999</v>
      </c>
      <c r="M56" s="53" t="s">
        <v>373</v>
      </c>
      <c r="N56" s="53" t="str">
        <f>IFERROR(VLOOKUP(TRIM(M56),Mapping!$A:$B,2,FALSE),"")</f>
        <v>Project_016</v>
      </c>
      <c r="O56" s="53" t="s">
        <v>1581</v>
      </c>
      <c r="P56" s="73" t="s">
        <v>1571</v>
      </c>
      <c r="Q56" s="73" t="s">
        <v>1572</v>
      </c>
      <c r="R56" s="73" t="s">
        <v>1573</v>
      </c>
      <c r="S56" s="73"/>
      <c r="T56" s="73"/>
      <c r="U56" s="73" t="s">
        <v>1574</v>
      </c>
      <c r="V56" s="73" t="s">
        <v>1575</v>
      </c>
      <c r="W56" s="73" t="s">
        <v>1576</v>
      </c>
      <c r="X56" s="73"/>
      <c r="Y56" s="73" t="s">
        <v>1577</v>
      </c>
    </row>
    <row r="57" spans="1:25" ht="45.75">
      <c r="A57" s="116">
        <v>56</v>
      </c>
      <c r="B57" s="73" t="s">
        <v>92</v>
      </c>
      <c r="C57" s="73" t="s">
        <v>1563</v>
      </c>
      <c r="D57" s="73" t="s">
        <v>91</v>
      </c>
      <c r="E57" s="73" t="s">
        <v>1564</v>
      </c>
      <c r="F57" s="73" t="s">
        <v>1565</v>
      </c>
      <c r="G57" s="73" t="s">
        <v>1566</v>
      </c>
      <c r="H57" s="53" t="s">
        <v>1567</v>
      </c>
      <c r="I57" s="53" t="s">
        <v>1568</v>
      </c>
      <c r="J57" s="73" t="s">
        <v>1569</v>
      </c>
      <c r="K57" s="73">
        <v>1</v>
      </c>
      <c r="L57" s="53" t="s">
        <v>1010</v>
      </c>
      <c r="M57" s="53" t="s">
        <v>323</v>
      </c>
      <c r="N57" s="53" t="str">
        <f>IFERROR(VLOOKUP(TRIM(M57),Mapping!$A:$B,2,FALSE),"")</f>
        <v>Project_009</v>
      </c>
      <c r="O57" s="53" t="s">
        <v>1580</v>
      </c>
      <c r="P57" s="73" t="s">
        <v>1571</v>
      </c>
      <c r="Q57" s="73" t="s">
        <v>1572</v>
      </c>
      <c r="R57" s="73" t="s">
        <v>1573</v>
      </c>
      <c r="S57" s="73"/>
      <c r="T57" s="73"/>
      <c r="U57" s="73" t="s">
        <v>1574</v>
      </c>
      <c r="V57" s="73" t="s">
        <v>1575</v>
      </c>
      <c r="W57" s="73" t="s">
        <v>1576</v>
      </c>
      <c r="X57" s="73"/>
      <c r="Y57" s="73" t="s">
        <v>1577</v>
      </c>
    </row>
    <row r="58" spans="1:25" ht="45.75">
      <c r="A58" s="116">
        <v>57</v>
      </c>
      <c r="B58" s="73" t="s">
        <v>92</v>
      </c>
      <c r="C58" s="73" t="s">
        <v>1563</v>
      </c>
      <c r="D58" s="73" t="s">
        <v>91</v>
      </c>
      <c r="E58" s="73" t="s">
        <v>1564</v>
      </c>
      <c r="F58" s="73" t="s">
        <v>1565</v>
      </c>
      <c r="G58" s="73" t="s">
        <v>1566</v>
      </c>
      <c r="H58" s="53" t="s">
        <v>1567</v>
      </c>
      <c r="I58" s="53" t="s">
        <v>1568</v>
      </c>
      <c r="J58" s="73" t="s">
        <v>1569</v>
      </c>
      <c r="K58" s="73">
        <v>1</v>
      </c>
      <c r="L58" s="53" t="s">
        <v>1021</v>
      </c>
      <c r="M58" s="53" t="s">
        <v>298</v>
      </c>
      <c r="N58" s="53" t="str">
        <f>IFERROR(VLOOKUP(TRIM(M58),Mapping!$A:$B,2,FALSE),"")</f>
        <v>Project_003</v>
      </c>
      <c r="O58" s="53" t="s">
        <v>27</v>
      </c>
      <c r="P58" s="73" t="s">
        <v>1571</v>
      </c>
      <c r="Q58" s="73" t="s">
        <v>1572</v>
      </c>
      <c r="R58" s="73" t="s">
        <v>1573</v>
      </c>
      <c r="S58" s="73"/>
      <c r="T58" s="73"/>
      <c r="U58" s="73" t="s">
        <v>1574</v>
      </c>
      <c r="V58" s="73" t="s">
        <v>1575</v>
      </c>
      <c r="W58" s="73" t="s">
        <v>1576</v>
      </c>
      <c r="X58" s="73"/>
      <c r="Y58" s="73" t="s">
        <v>1577</v>
      </c>
    </row>
    <row r="59" spans="1:25" ht="45.75">
      <c r="A59" s="116">
        <v>58</v>
      </c>
      <c r="B59" s="73" t="s">
        <v>92</v>
      </c>
      <c r="C59" s="73" t="s">
        <v>1563</v>
      </c>
      <c r="D59" s="73" t="s">
        <v>91</v>
      </c>
      <c r="E59" s="73" t="s">
        <v>1564</v>
      </c>
      <c r="F59" s="73" t="s">
        <v>1565</v>
      </c>
      <c r="G59" s="73" t="s">
        <v>1566</v>
      </c>
      <c r="H59" s="53" t="s">
        <v>1567</v>
      </c>
      <c r="I59" s="53" t="s">
        <v>1568</v>
      </c>
      <c r="J59" s="73" t="s">
        <v>1569</v>
      </c>
      <c r="K59" s="73">
        <v>1</v>
      </c>
      <c r="L59" s="53" t="s">
        <v>1031</v>
      </c>
      <c r="M59" s="53" t="s">
        <v>387</v>
      </c>
      <c r="N59" s="53" t="str">
        <f>IFERROR(VLOOKUP(TRIM(M59),Mapping!$A:$B,2,FALSE),"")</f>
        <v>Project_020</v>
      </c>
      <c r="O59" s="53" t="s">
        <v>14</v>
      </c>
      <c r="P59" s="73" t="s">
        <v>1571</v>
      </c>
      <c r="Q59" s="73" t="s">
        <v>1572</v>
      </c>
      <c r="R59" s="73" t="s">
        <v>1573</v>
      </c>
      <c r="S59" s="73"/>
      <c r="T59" s="73"/>
      <c r="U59" s="73" t="s">
        <v>1574</v>
      </c>
      <c r="V59" s="73" t="s">
        <v>1575</v>
      </c>
      <c r="W59" s="73" t="s">
        <v>1576</v>
      </c>
      <c r="X59" s="73"/>
      <c r="Y59" s="73" t="s">
        <v>1577</v>
      </c>
    </row>
    <row r="60" spans="1:25" ht="45.75">
      <c r="A60" s="116">
        <v>59</v>
      </c>
      <c r="B60" s="73" t="s">
        <v>92</v>
      </c>
      <c r="C60" s="73" t="s">
        <v>1563</v>
      </c>
      <c r="D60" s="73" t="s">
        <v>91</v>
      </c>
      <c r="E60" s="73" t="s">
        <v>1564</v>
      </c>
      <c r="F60" s="73" t="s">
        <v>1565</v>
      </c>
      <c r="G60" s="73" t="s">
        <v>1566</v>
      </c>
      <c r="H60" s="53" t="s">
        <v>1567</v>
      </c>
      <c r="I60" s="53" t="s">
        <v>1568</v>
      </c>
      <c r="J60" s="73" t="s">
        <v>1569</v>
      </c>
      <c r="K60" s="73">
        <v>1</v>
      </c>
      <c r="L60" s="53" t="s">
        <v>1042</v>
      </c>
      <c r="M60" s="53" t="s">
        <v>434</v>
      </c>
      <c r="N60" s="53" t="str">
        <f>IFERROR(VLOOKUP(TRIM(M60),Mapping!$A:$B,2,FALSE),"")</f>
        <v>Project_024</v>
      </c>
      <c r="O60" s="53" t="s">
        <v>18</v>
      </c>
      <c r="P60" s="73" t="s">
        <v>1571</v>
      </c>
      <c r="Q60" s="73" t="s">
        <v>1572</v>
      </c>
      <c r="R60" s="73" t="s">
        <v>1573</v>
      </c>
      <c r="S60" s="73"/>
      <c r="T60" s="73"/>
      <c r="U60" s="73" t="s">
        <v>1574</v>
      </c>
      <c r="V60" s="73" t="s">
        <v>1575</v>
      </c>
      <c r="W60" s="73" t="s">
        <v>1576</v>
      </c>
      <c r="X60" s="73"/>
      <c r="Y60" s="73" t="s">
        <v>1577</v>
      </c>
    </row>
    <row r="61" spans="1:25" ht="45.75">
      <c r="A61" s="116">
        <v>60</v>
      </c>
      <c r="B61" s="73" t="s">
        <v>92</v>
      </c>
      <c r="C61" s="73" t="s">
        <v>1563</v>
      </c>
      <c r="D61" s="73" t="s">
        <v>91</v>
      </c>
      <c r="E61" s="73" t="s">
        <v>1564</v>
      </c>
      <c r="F61" s="73" t="s">
        <v>1565</v>
      </c>
      <c r="G61" s="73" t="s">
        <v>1566</v>
      </c>
      <c r="H61" s="53" t="s">
        <v>1567</v>
      </c>
      <c r="I61" s="53" t="s">
        <v>1568</v>
      </c>
      <c r="J61" s="73" t="s">
        <v>1569</v>
      </c>
      <c r="K61" s="73">
        <v>1</v>
      </c>
      <c r="L61" s="53" t="s">
        <v>1052</v>
      </c>
      <c r="M61" s="53" t="s">
        <v>305</v>
      </c>
      <c r="N61" s="53" t="str">
        <f>IFERROR(VLOOKUP(TRIM(M61),Mapping!$A:$B,2,FALSE),"")</f>
        <v>Project_005</v>
      </c>
      <c r="O61" s="53" t="s">
        <v>18</v>
      </c>
      <c r="P61" s="73" t="s">
        <v>1571</v>
      </c>
      <c r="Q61" s="73" t="s">
        <v>1572</v>
      </c>
      <c r="R61" s="73" t="s">
        <v>1573</v>
      </c>
      <c r="S61" s="73"/>
      <c r="T61" s="73"/>
      <c r="U61" s="73" t="s">
        <v>1574</v>
      </c>
      <c r="V61" s="73" t="s">
        <v>1575</v>
      </c>
      <c r="W61" s="73" t="s">
        <v>1576</v>
      </c>
      <c r="X61" s="73"/>
      <c r="Y61" s="73" t="s">
        <v>1577</v>
      </c>
    </row>
    <row r="62" spans="1:25" ht="45.75">
      <c r="A62" s="116">
        <v>61</v>
      </c>
      <c r="B62" s="73" t="s">
        <v>92</v>
      </c>
      <c r="C62" s="73" t="s">
        <v>1563</v>
      </c>
      <c r="D62" s="73" t="s">
        <v>91</v>
      </c>
      <c r="E62" s="73" t="s">
        <v>1564</v>
      </c>
      <c r="F62" s="73" t="s">
        <v>1565</v>
      </c>
      <c r="G62" s="73" t="s">
        <v>1566</v>
      </c>
      <c r="H62" s="53" t="s">
        <v>1567</v>
      </c>
      <c r="I62" s="53" t="s">
        <v>1568</v>
      </c>
      <c r="J62" s="73" t="s">
        <v>1569</v>
      </c>
      <c r="K62" s="73">
        <v>1</v>
      </c>
      <c r="L62" s="53" t="s">
        <v>1062</v>
      </c>
      <c r="M62" s="53" t="s">
        <v>323</v>
      </c>
      <c r="N62" s="53" t="str">
        <f>IFERROR(VLOOKUP(TRIM(M62),Mapping!$A:$B,2,FALSE),"")</f>
        <v>Project_009</v>
      </c>
      <c r="O62" s="53" t="s">
        <v>1581</v>
      </c>
      <c r="P62" s="73" t="s">
        <v>1571</v>
      </c>
      <c r="Q62" s="73" t="s">
        <v>1572</v>
      </c>
      <c r="R62" s="73" t="s">
        <v>1573</v>
      </c>
      <c r="S62" s="73"/>
      <c r="T62" s="73"/>
      <c r="U62" s="73" t="s">
        <v>1574</v>
      </c>
      <c r="V62" s="73" t="s">
        <v>1575</v>
      </c>
      <c r="W62" s="73" t="s">
        <v>1576</v>
      </c>
      <c r="X62" s="73"/>
      <c r="Y62" s="73" t="s">
        <v>1577</v>
      </c>
    </row>
    <row r="63" spans="1:25" ht="45.75">
      <c r="A63" s="116">
        <v>62</v>
      </c>
      <c r="B63" s="73" t="s">
        <v>92</v>
      </c>
      <c r="C63" s="73" t="s">
        <v>1563</v>
      </c>
      <c r="D63" s="73" t="s">
        <v>91</v>
      </c>
      <c r="E63" s="73" t="s">
        <v>1564</v>
      </c>
      <c r="F63" s="73" t="s">
        <v>1565</v>
      </c>
      <c r="G63" s="73" t="s">
        <v>1566</v>
      </c>
      <c r="H63" s="53" t="s">
        <v>1567</v>
      </c>
      <c r="I63" s="53" t="s">
        <v>1568</v>
      </c>
      <c r="J63" s="73" t="s">
        <v>1569</v>
      </c>
      <c r="K63" s="73">
        <v>1</v>
      </c>
      <c r="L63" s="53" t="s">
        <v>1074</v>
      </c>
      <c r="M63" s="53" t="s">
        <v>339</v>
      </c>
      <c r="N63" s="53" t="str">
        <f>IFERROR(VLOOKUP(TRIM(M63),Mapping!$A:$B,2,FALSE),"")</f>
        <v>Project_012</v>
      </c>
      <c r="O63" s="53" t="s">
        <v>1580</v>
      </c>
      <c r="P63" s="73" t="s">
        <v>1571</v>
      </c>
      <c r="Q63" s="73" t="s">
        <v>1572</v>
      </c>
      <c r="R63" s="73" t="s">
        <v>1573</v>
      </c>
      <c r="S63" s="73"/>
      <c r="T63" s="73"/>
      <c r="U63" s="73" t="s">
        <v>1574</v>
      </c>
      <c r="V63" s="73" t="s">
        <v>1575</v>
      </c>
      <c r="W63" s="73" t="s">
        <v>1576</v>
      </c>
      <c r="X63" s="73"/>
      <c r="Y63" s="73" t="s">
        <v>1577</v>
      </c>
    </row>
    <row r="64" spans="1:25" ht="45.75">
      <c r="A64" s="116">
        <v>63</v>
      </c>
      <c r="B64" s="73" t="s">
        <v>92</v>
      </c>
      <c r="C64" s="73" t="s">
        <v>1563</v>
      </c>
      <c r="D64" s="73" t="s">
        <v>91</v>
      </c>
      <c r="E64" s="73" t="s">
        <v>1564</v>
      </c>
      <c r="F64" s="73" t="s">
        <v>1565</v>
      </c>
      <c r="G64" s="73" t="s">
        <v>1566</v>
      </c>
      <c r="H64" s="53" t="s">
        <v>1567</v>
      </c>
      <c r="I64" s="53" t="s">
        <v>1568</v>
      </c>
      <c r="J64" s="73" t="s">
        <v>1569</v>
      </c>
      <c r="K64" s="73">
        <v>1</v>
      </c>
      <c r="L64" s="53" t="s">
        <v>1085</v>
      </c>
      <c r="M64" s="53" t="s">
        <v>387</v>
      </c>
      <c r="N64" s="53" t="str">
        <f>IFERROR(VLOOKUP(TRIM(M64),Mapping!$A:$B,2,FALSE),"")</f>
        <v>Project_020</v>
      </c>
      <c r="O64" s="53" t="s">
        <v>18</v>
      </c>
      <c r="P64" s="73" t="s">
        <v>1582</v>
      </c>
      <c r="Q64" s="73" t="s">
        <v>1572</v>
      </c>
      <c r="R64" s="73" t="s">
        <v>1573</v>
      </c>
      <c r="S64" s="73"/>
      <c r="T64" s="73"/>
      <c r="U64" s="73" t="s">
        <v>1574</v>
      </c>
      <c r="V64" s="73" t="s">
        <v>1575</v>
      </c>
      <c r="W64" s="73" t="s">
        <v>1576</v>
      </c>
      <c r="X64" s="73"/>
      <c r="Y64" s="73" t="s">
        <v>1577</v>
      </c>
    </row>
    <row r="65" spans="1:25" ht="45.75">
      <c r="A65" s="116">
        <v>64</v>
      </c>
      <c r="B65" s="73" t="s">
        <v>92</v>
      </c>
      <c r="C65" s="73" t="s">
        <v>1563</v>
      </c>
      <c r="D65" s="73" t="s">
        <v>91</v>
      </c>
      <c r="E65" s="73" t="s">
        <v>1564</v>
      </c>
      <c r="F65" s="73" t="s">
        <v>1565</v>
      </c>
      <c r="G65" s="73" t="s">
        <v>1566</v>
      </c>
      <c r="H65" s="53" t="s">
        <v>1567</v>
      </c>
      <c r="I65" s="53" t="s">
        <v>1568</v>
      </c>
      <c r="J65" s="73" t="s">
        <v>1569</v>
      </c>
      <c r="K65" s="73">
        <v>1</v>
      </c>
      <c r="L65" s="53" t="s">
        <v>1097</v>
      </c>
      <c r="M65" s="53" t="s">
        <v>373</v>
      </c>
      <c r="N65" s="53" t="str">
        <f>IFERROR(VLOOKUP(TRIM(M65),Mapping!$A:$B,2,FALSE),"")</f>
        <v>Project_016</v>
      </c>
      <c r="O65" s="53" t="s">
        <v>1580</v>
      </c>
      <c r="P65" s="73" t="s">
        <v>1584</v>
      </c>
      <c r="Q65" s="73" t="s">
        <v>1572</v>
      </c>
      <c r="R65" s="73" t="s">
        <v>1573</v>
      </c>
      <c r="S65" s="73"/>
      <c r="T65" s="73"/>
      <c r="U65" s="73" t="s">
        <v>1574</v>
      </c>
      <c r="V65" s="73" t="s">
        <v>1575</v>
      </c>
      <c r="W65" s="73" t="s">
        <v>1576</v>
      </c>
      <c r="X65" s="73"/>
      <c r="Y65" s="73" t="s">
        <v>1577</v>
      </c>
    </row>
    <row r="66" spans="1:25" ht="45.75">
      <c r="A66" s="116">
        <v>65</v>
      </c>
      <c r="B66" s="73" t="s">
        <v>92</v>
      </c>
      <c r="C66" s="73" t="s">
        <v>1563</v>
      </c>
      <c r="D66" s="73" t="s">
        <v>91</v>
      </c>
      <c r="E66" s="73" t="s">
        <v>1564</v>
      </c>
      <c r="F66" s="73" t="s">
        <v>1565</v>
      </c>
      <c r="G66" s="73" t="s">
        <v>1566</v>
      </c>
      <c r="H66" s="53" t="s">
        <v>1567</v>
      </c>
      <c r="I66" s="53" t="s">
        <v>1568</v>
      </c>
      <c r="J66" s="73" t="s">
        <v>1569</v>
      </c>
      <c r="K66" s="73">
        <v>1</v>
      </c>
      <c r="L66" s="53" t="s">
        <v>1109</v>
      </c>
      <c r="M66" s="53" t="s">
        <v>323</v>
      </c>
      <c r="N66" s="53" t="str">
        <f>IFERROR(VLOOKUP(TRIM(M66),Mapping!$A:$B,2,FALSE),"")</f>
        <v>Project_009</v>
      </c>
      <c r="O66" s="53" t="s">
        <v>18</v>
      </c>
      <c r="P66" s="73" t="s">
        <v>1571</v>
      </c>
      <c r="Q66" s="73" t="s">
        <v>1572</v>
      </c>
      <c r="R66" s="73" t="s">
        <v>1573</v>
      </c>
      <c r="S66" s="73"/>
      <c r="T66" s="73"/>
      <c r="U66" s="73" t="s">
        <v>1574</v>
      </c>
      <c r="V66" s="73" t="s">
        <v>1575</v>
      </c>
      <c r="W66" s="73" t="s">
        <v>1576</v>
      </c>
      <c r="X66" s="73"/>
      <c r="Y66" s="73" t="s">
        <v>1577</v>
      </c>
    </row>
    <row r="67" spans="1:25" ht="45.75">
      <c r="A67" s="116">
        <v>66</v>
      </c>
      <c r="B67" s="73" t="s">
        <v>92</v>
      </c>
      <c r="C67" s="73" t="s">
        <v>1563</v>
      </c>
      <c r="D67" s="73" t="s">
        <v>91</v>
      </c>
      <c r="E67" s="73" t="s">
        <v>1564</v>
      </c>
      <c r="F67" s="73" t="s">
        <v>1565</v>
      </c>
      <c r="G67" s="73" t="s">
        <v>1566</v>
      </c>
      <c r="H67" s="53" t="s">
        <v>1567</v>
      </c>
      <c r="I67" s="53" t="s">
        <v>1568</v>
      </c>
      <c r="J67" s="73" t="s">
        <v>1569</v>
      </c>
      <c r="K67" s="73">
        <v>1</v>
      </c>
      <c r="L67" s="53" t="s">
        <v>1118</v>
      </c>
      <c r="M67" s="53" t="s">
        <v>341</v>
      </c>
      <c r="N67" s="53" t="str">
        <f>IFERROR(VLOOKUP(TRIM(M67),Mapping!$A:$B,2,FALSE),"")</f>
        <v>Project_013</v>
      </c>
      <c r="O67" s="53" t="s">
        <v>1581</v>
      </c>
      <c r="P67" s="73" t="s">
        <v>1571</v>
      </c>
      <c r="Q67" s="73" t="s">
        <v>1572</v>
      </c>
      <c r="R67" s="73" t="s">
        <v>1573</v>
      </c>
      <c r="S67" s="73"/>
      <c r="T67" s="73"/>
      <c r="U67" s="73" t="s">
        <v>1574</v>
      </c>
      <c r="V67" s="73" t="s">
        <v>1575</v>
      </c>
      <c r="W67" s="73" t="s">
        <v>1576</v>
      </c>
      <c r="X67" s="73"/>
      <c r="Y67" s="73" t="s">
        <v>1577</v>
      </c>
    </row>
    <row r="68" spans="1:25" ht="45.75">
      <c r="A68" s="116">
        <v>67</v>
      </c>
      <c r="B68" s="73" t="s">
        <v>92</v>
      </c>
      <c r="C68" s="73" t="s">
        <v>1563</v>
      </c>
      <c r="D68" s="73" t="s">
        <v>91</v>
      </c>
      <c r="E68" s="73" t="s">
        <v>1564</v>
      </c>
      <c r="F68" s="73" t="s">
        <v>1565</v>
      </c>
      <c r="G68" s="73" t="s">
        <v>1566</v>
      </c>
      <c r="H68" s="53" t="s">
        <v>1567</v>
      </c>
      <c r="I68" s="53" t="s">
        <v>1568</v>
      </c>
      <c r="J68" s="73" t="s">
        <v>1569</v>
      </c>
      <c r="K68" s="73">
        <v>1</v>
      </c>
      <c r="L68" s="53" t="s">
        <v>1130</v>
      </c>
      <c r="M68" s="53" t="s">
        <v>648</v>
      </c>
      <c r="N68" s="53" t="str">
        <f>IFERROR(VLOOKUP(TRIM(M68),Mapping!$A:$B,2,FALSE),"")</f>
        <v>Project_035</v>
      </c>
      <c r="O68" s="53" t="s">
        <v>14</v>
      </c>
      <c r="P68" s="73" t="s">
        <v>1571</v>
      </c>
      <c r="Q68" s="73" t="s">
        <v>1572</v>
      </c>
      <c r="R68" s="73" t="s">
        <v>1573</v>
      </c>
      <c r="S68" s="73"/>
      <c r="T68" s="73"/>
      <c r="U68" s="73" t="s">
        <v>1574</v>
      </c>
      <c r="V68" s="73" t="s">
        <v>1575</v>
      </c>
      <c r="W68" s="73" t="s">
        <v>1576</v>
      </c>
      <c r="X68" s="73"/>
      <c r="Y68" s="73" t="s">
        <v>1577</v>
      </c>
    </row>
    <row r="69" spans="1:25" ht="45.75">
      <c r="A69" s="116">
        <v>68</v>
      </c>
      <c r="B69" s="73" t="s">
        <v>92</v>
      </c>
      <c r="C69" s="73" t="s">
        <v>1563</v>
      </c>
      <c r="D69" s="73" t="s">
        <v>91</v>
      </c>
      <c r="E69" s="73" t="s">
        <v>1564</v>
      </c>
      <c r="F69" s="73" t="s">
        <v>1565</v>
      </c>
      <c r="G69" s="73" t="s">
        <v>1566</v>
      </c>
      <c r="H69" s="53" t="s">
        <v>1567</v>
      </c>
      <c r="I69" s="53" t="s">
        <v>1568</v>
      </c>
      <c r="J69" s="73" t="s">
        <v>1569</v>
      </c>
      <c r="K69" s="73">
        <v>1</v>
      </c>
      <c r="L69" s="53" t="s">
        <v>1143</v>
      </c>
      <c r="M69" s="53" t="s">
        <v>501</v>
      </c>
      <c r="N69" s="53" t="str">
        <f>IFERROR(VLOOKUP(TRIM(M69),Mapping!$A:$B,2,FALSE),"")</f>
        <v>Project_029</v>
      </c>
      <c r="O69" s="53" t="s">
        <v>1581</v>
      </c>
      <c r="P69" s="73" t="s">
        <v>1571</v>
      </c>
      <c r="Q69" s="73" t="s">
        <v>1572</v>
      </c>
      <c r="R69" s="73" t="s">
        <v>1573</v>
      </c>
      <c r="S69" s="73"/>
      <c r="T69" s="73"/>
      <c r="U69" s="73" t="s">
        <v>1574</v>
      </c>
      <c r="V69" s="73" t="s">
        <v>1575</v>
      </c>
      <c r="W69" s="73" t="s">
        <v>1576</v>
      </c>
      <c r="X69" s="73"/>
      <c r="Y69" s="73" t="s">
        <v>1577</v>
      </c>
    </row>
    <row r="70" spans="1:25" ht="45.75">
      <c r="A70" s="116">
        <v>69</v>
      </c>
      <c r="B70" s="73" t="s">
        <v>92</v>
      </c>
      <c r="C70" s="73" t="s">
        <v>1563</v>
      </c>
      <c r="D70" s="73" t="s">
        <v>91</v>
      </c>
      <c r="E70" s="73" t="s">
        <v>1564</v>
      </c>
      <c r="F70" s="73" t="s">
        <v>1565</v>
      </c>
      <c r="G70" s="73" t="s">
        <v>1566</v>
      </c>
      <c r="H70" s="53" t="s">
        <v>1567</v>
      </c>
      <c r="I70" s="53" t="s">
        <v>1568</v>
      </c>
      <c r="J70" s="73" t="s">
        <v>1569</v>
      </c>
      <c r="K70" s="73">
        <v>1</v>
      </c>
      <c r="L70" s="53" t="s">
        <v>1153</v>
      </c>
      <c r="M70" s="53" t="s">
        <v>301</v>
      </c>
      <c r="N70" s="53" t="str">
        <f>IFERROR(VLOOKUP(TRIM(M70),Mapping!$A:$B,2,FALSE),"")</f>
        <v>Project_004</v>
      </c>
      <c r="O70" s="53" t="s">
        <v>4</v>
      </c>
      <c r="P70" s="73" t="s">
        <v>1571</v>
      </c>
      <c r="Q70" s="73" t="s">
        <v>1572</v>
      </c>
      <c r="R70" s="73" t="s">
        <v>1573</v>
      </c>
      <c r="S70" s="73"/>
      <c r="T70" s="73"/>
      <c r="U70" s="73" t="s">
        <v>1574</v>
      </c>
      <c r="V70" s="73" t="s">
        <v>1575</v>
      </c>
      <c r="W70" s="73" t="s">
        <v>1576</v>
      </c>
      <c r="X70" s="73"/>
      <c r="Y70" s="73" t="s">
        <v>1577</v>
      </c>
    </row>
    <row r="71" spans="1:25" ht="45.75">
      <c r="A71" s="116">
        <v>70</v>
      </c>
      <c r="B71" s="73" t="s">
        <v>92</v>
      </c>
      <c r="C71" s="73" t="s">
        <v>1563</v>
      </c>
      <c r="D71" s="73" t="s">
        <v>91</v>
      </c>
      <c r="E71" s="73" t="s">
        <v>1564</v>
      </c>
      <c r="F71" s="73" t="s">
        <v>1565</v>
      </c>
      <c r="G71" s="73" t="s">
        <v>1566</v>
      </c>
      <c r="H71" s="53" t="s">
        <v>1567</v>
      </c>
      <c r="I71" s="53" t="s">
        <v>1568</v>
      </c>
      <c r="J71" s="73" t="s">
        <v>1569</v>
      </c>
      <c r="K71" s="73">
        <v>1</v>
      </c>
      <c r="L71" s="53" t="s">
        <v>1164</v>
      </c>
      <c r="M71" s="53" t="s">
        <v>348</v>
      </c>
      <c r="N71" s="53" t="str">
        <f>IFERROR(VLOOKUP(TRIM(M71),Mapping!$A:$B,2,FALSE),"")</f>
        <v>Project_014</v>
      </c>
      <c r="O71" s="53" t="s">
        <v>27</v>
      </c>
      <c r="P71" s="73" t="s">
        <v>1571</v>
      </c>
      <c r="Q71" s="73" t="s">
        <v>1572</v>
      </c>
      <c r="R71" s="73" t="s">
        <v>1573</v>
      </c>
      <c r="S71" s="73"/>
      <c r="T71" s="73"/>
      <c r="U71" s="73" t="s">
        <v>1574</v>
      </c>
      <c r="V71" s="73" t="s">
        <v>1575</v>
      </c>
      <c r="W71" s="73" t="s">
        <v>1576</v>
      </c>
      <c r="X71" s="73"/>
      <c r="Y71" s="73" t="s">
        <v>1577</v>
      </c>
    </row>
    <row r="72" spans="1:25" ht="45.75">
      <c r="A72" s="116">
        <v>71</v>
      </c>
      <c r="B72" s="73" t="s">
        <v>92</v>
      </c>
      <c r="C72" s="73" t="s">
        <v>1563</v>
      </c>
      <c r="D72" s="73" t="s">
        <v>91</v>
      </c>
      <c r="E72" s="73" t="s">
        <v>1564</v>
      </c>
      <c r="F72" s="73" t="s">
        <v>1565</v>
      </c>
      <c r="G72" s="73" t="s">
        <v>1566</v>
      </c>
      <c r="H72" s="53" t="s">
        <v>1567</v>
      </c>
      <c r="I72" s="53" t="s">
        <v>1568</v>
      </c>
      <c r="J72" s="73" t="s">
        <v>1569</v>
      </c>
      <c r="K72" s="73">
        <v>1</v>
      </c>
      <c r="L72" s="53" t="s">
        <v>1179</v>
      </c>
      <c r="M72" s="53" t="s">
        <v>305</v>
      </c>
      <c r="N72" s="53" t="str">
        <f>IFERROR(VLOOKUP(TRIM(M72),Mapping!$A:$B,2,FALSE),"")</f>
        <v>Project_005</v>
      </c>
      <c r="O72" s="53" t="s">
        <v>18</v>
      </c>
      <c r="P72" s="73" t="s">
        <v>1571</v>
      </c>
      <c r="Q72" s="73" t="s">
        <v>1572</v>
      </c>
      <c r="R72" s="73" t="s">
        <v>1573</v>
      </c>
      <c r="S72" s="73"/>
      <c r="T72" s="73"/>
      <c r="U72" s="73" t="s">
        <v>1574</v>
      </c>
      <c r="V72" s="73" t="s">
        <v>1575</v>
      </c>
      <c r="W72" s="73" t="s">
        <v>1576</v>
      </c>
      <c r="X72" s="73"/>
      <c r="Y72" s="73" t="s">
        <v>1577</v>
      </c>
    </row>
    <row r="73" spans="1:25" ht="45.75">
      <c r="A73" s="116">
        <v>72</v>
      </c>
      <c r="B73" s="73" t="s">
        <v>92</v>
      </c>
      <c r="C73" s="73" t="s">
        <v>1563</v>
      </c>
      <c r="D73" s="73" t="s">
        <v>91</v>
      </c>
      <c r="E73" s="73" t="s">
        <v>1564</v>
      </c>
      <c r="F73" s="73" t="s">
        <v>1565</v>
      </c>
      <c r="G73" s="73" t="s">
        <v>1566</v>
      </c>
      <c r="H73" s="53" t="s">
        <v>1567</v>
      </c>
      <c r="I73" s="53" t="s">
        <v>1568</v>
      </c>
      <c r="J73" s="73" t="s">
        <v>1569</v>
      </c>
      <c r="K73" s="73">
        <v>1</v>
      </c>
      <c r="L73" s="53" t="s">
        <v>1192</v>
      </c>
      <c r="M73" s="53" t="s">
        <v>348</v>
      </c>
      <c r="N73" s="53" t="str">
        <f>IFERROR(VLOOKUP(TRIM(M73),Mapping!$A:$B,2,FALSE),"")</f>
        <v>Project_014</v>
      </c>
      <c r="O73" s="53" t="s">
        <v>18</v>
      </c>
      <c r="P73" s="73" t="s">
        <v>1571</v>
      </c>
      <c r="Q73" s="73" t="s">
        <v>1572</v>
      </c>
      <c r="R73" s="73" t="s">
        <v>1573</v>
      </c>
      <c r="S73" s="73"/>
      <c r="T73" s="73"/>
      <c r="U73" s="73" t="s">
        <v>1574</v>
      </c>
      <c r="V73" s="73" t="s">
        <v>1575</v>
      </c>
      <c r="W73" s="73" t="s">
        <v>1576</v>
      </c>
      <c r="X73" s="73"/>
      <c r="Y73" s="73" t="s">
        <v>1577</v>
      </c>
    </row>
    <row r="74" spans="1:25" ht="45.75">
      <c r="A74" s="116">
        <v>73</v>
      </c>
      <c r="B74" s="73" t="s">
        <v>92</v>
      </c>
      <c r="C74" s="73" t="s">
        <v>1563</v>
      </c>
      <c r="D74" s="73" t="s">
        <v>91</v>
      </c>
      <c r="E74" s="73" t="s">
        <v>1564</v>
      </c>
      <c r="F74" s="73" t="s">
        <v>1565</v>
      </c>
      <c r="G74" s="73" t="s">
        <v>1566</v>
      </c>
      <c r="H74" s="53" t="s">
        <v>1567</v>
      </c>
      <c r="I74" s="53" t="s">
        <v>1568</v>
      </c>
      <c r="J74" s="73" t="s">
        <v>1569</v>
      </c>
      <c r="K74" s="73">
        <v>1</v>
      </c>
      <c r="L74" s="53" t="s">
        <v>1203</v>
      </c>
      <c r="M74" s="53" t="s">
        <v>653</v>
      </c>
      <c r="N74" s="53" t="str">
        <f>IFERROR(VLOOKUP(TRIM(M74),Mapping!$A:$B,2,FALSE),"")</f>
        <v>Project_036</v>
      </c>
      <c r="O74" s="53" t="s">
        <v>1581</v>
      </c>
      <c r="P74" s="73" t="s">
        <v>1582</v>
      </c>
      <c r="Q74" s="73" t="s">
        <v>1572</v>
      </c>
      <c r="R74" s="73" t="s">
        <v>1573</v>
      </c>
      <c r="S74" s="73"/>
      <c r="T74" s="73"/>
      <c r="U74" s="73" t="s">
        <v>1574</v>
      </c>
      <c r="V74" s="73" t="s">
        <v>1575</v>
      </c>
      <c r="W74" s="73" t="s">
        <v>1576</v>
      </c>
      <c r="X74" s="73"/>
      <c r="Y74" s="73" t="s">
        <v>1577</v>
      </c>
    </row>
    <row r="75" spans="1:25" ht="45.75">
      <c r="A75" s="116">
        <v>74</v>
      </c>
      <c r="B75" s="73" t="s">
        <v>92</v>
      </c>
      <c r="C75" s="73" t="s">
        <v>1563</v>
      </c>
      <c r="D75" s="73" t="s">
        <v>91</v>
      </c>
      <c r="E75" s="73" t="s">
        <v>1564</v>
      </c>
      <c r="F75" s="73" t="s">
        <v>1565</v>
      </c>
      <c r="G75" s="73" t="s">
        <v>1566</v>
      </c>
      <c r="H75" s="53" t="s">
        <v>1567</v>
      </c>
      <c r="I75" s="53" t="s">
        <v>1568</v>
      </c>
      <c r="J75" s="73" t="s">
        <v>1569</v>
      </c>
      <c r="K75" s="73">
        <v>1</v>
      </c>
      <c r="L75" s="53" t="s">
        <v>1216</v>
      </c>
      <c r="M75" s="53" t="s">
        <v>341</v>
      </c>
      <c r="N75" s="53" t="str">
        <f>IFERROR(VLOOKUP(TRIM(M75),Mapping!$A:$B,2,FALSE),"")</f>
        <v>Project_013</v>
      </c>
      <c r="O75" s="53" t="s">
        <v>14</v>
      </c>
      <c r="P75" s="73" t="s">
        <v>1571</v>
      </c>
      <c r="Q75" s="73" t="s">
        <v>1572</v>
      </c>
      <c r="R75" s="73" t="s">
        <v>1573</v>
      </c>
      <c r="S75" s="73"/>
      <c r="T75" s="73"/>
      <c r="U75" s="73" t="s">
        <v>1574</v>
      </c>
      <c r="V75" s="73" t="s">
        <v>1575</v>
      </c>
      <c r="W75" s="73" t="s">
        <v>1576</v>
      </c>
      <c r="X75" s="73"/>
      <c r="Y75" s="73" t="s">
        <v>1577</v>
      </c>
    </row>
    <row r="76" spans="1:25" ht="45.75">
      <c r="A76" s="116">
        <v>75</v>
      </c>
      <c r="B76" s="73" t="s">
        <v>92</v>
      </c>
      <c r="C76" s="73" t="s">
        <v>1563</v>
      </c>
      <c r="D76" s="73" t="s">
        <v>91</v>
      </c>
      <c r="E76" s="73" t="s">
        <v>1564</v>
      </c>
      <c r="F76" s="73" t="s">
        <v>1565</v>
      </c>
      <c r="G76" s="73" t="s">
        <v>1566</v>
      </c>
      <c r="H76" s="53" t="s">
        <v>1567</v>
      </c>
      <c r="I76" s="53" t="s">
        <v>1568</v>
      </c>
      <c r="J76" s="73" t="s">
        <v>1569</v>
      </c>
      <c r="K76" s="73">
        <v>1</v>
      </c>
      <c r="L76" s="53" t="s">
        <v>1230</v>
      </c>
      <c r="M76" s="53" t="s">
        <v>284</v>
      </c>
      <c r="N76" s="53" t="str">
        <f>IFERROR(VLOOKUP(TRIM(M76),Mapping!$A:$B,2,FALSE),"")</f>
        <v>Project_001</v>
      </c>
      <c r="O76" s="53" t="s">
        <v>1581</v>
      </c>
      <c r="P76" s="73" t="s">
        <v>1571</v>
      </c>
      <c r="Q76" s="73" t="s">
        <v>1572</v>
      </c>
      <c r="R76" s="73" t="s">
        <v>1573</v>
      </c>
      <c r="S76" s="73"/>
      <c r="T76" s="73"/>
      <c r="U76" s="73" t="s">
        <v>1574</v>
      </c>
      <c r="V76" s="73" t="s">
        <v>1575</v>
      </c>
      <c r="W76" s="73" t="s">
        <v>1576</v>
      </c>
      <c r="X76" s="73"/>
      <c r="Y76" s="73" t="s">
        <v>1577</v>
      </c>
    </row>
    <row r="77" spans="1:25" ht="45.75">
      <c r="A77" s="116">
        <v>76</v>
      </c>
      <c r="B77" s="73" t="s">
        <v>92</v>
      </c>
      <c r="C77" s="73" t="s">
        <v>1563</v>
      </c>
      <c r="D77" s="73" t="s">
        <v>91</v>
      </c>
      <c r="E77" s="73" t="s">
        <v>1564</v>
      </c>
      <c r="F77" s="73" t="s">
        <v>1565</v>
      </c>
      <c r="G77" s="73" t="s">
        <v>1566</v>
      </c>
      <c r="H77" s="53" t="s">
        <v>1567</v>
      </c>
      <c r="I77" s="53" t="s">
        <v>1568</v>
      </c>
      <c r="J77" s="73" t="s">
        <v>1569</v>
      </c>
      <c r="K77" s="73">
        <v>1</v>
      </c>
      <c r="L77" s="53" t="s">
        <v>1241</v>
      </c>
      <c r="M77" s="53" t="s">
        <v>373</v>
      </c>
      <c r="N77" s="53" t="str">
        <f>IFERROR(VLOOKUP(TRIM(M77),Mapping!$A:$B,2,FALSE),"")</f>
        <v>Project_016</v>
      </c>
      <c r="O77" s="53" t="s">
        <v>4</v>
      </c>
      <c r="P77" s="73" t="s">
        <v>1582</v>
      </c>
      <c r="Q77" s="73" t="s">
        <v>1572</v>
      </c>
      <c r="R77" s="73" t="s">
        <v>1573</v>
      </c>
      <c r="S77" s="73"/>
      <c r="T77" s="73"/>
      <c r="U77" s="73" t="s">
        <v>1574</v>
      </c>
      <c r="V77" s="73" t="s">
        <v>1575</v>
      </c>
      <c r="W77" s="73" t="s">
        <v>1576</v>
      </c>
      <c r="X77" s="73"/>
      <c r="Y77" s="73" t="s">
        <v>1577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1727-E947-4251-9FC6-D90C99B748C7}">
  <dimension ref="A1:Y93"/>
  <sheetViews>
    <sheetView workbookViewId="0">
      <selection activeCell="H7" sqref="H7"/>
    </sheetView>
  </sheetViews>
  <sheetFormatPr defaultRowHeight="15"/>
  <cols>
    <col min="1" max="1" width="9.140625" style="106"/>
    <col min="2" max="4" width="9.140625" style="3"/>
    <col min="5" max="5" width="16.28515625" style="3" customWidth="1"/>
    <col min="6" max="6" width="15.140625" style="3" customWidth="1"/>
    <col min="7" max="7" width="13.42578125" style="3" customWidth="1"/>
    <col min="8" max="8" width="13" style="3" customWidth="1"/>
    <col min="9" max="9" width="12.28515625" style="3" customWidth="1"/>
    <col min="10" max="10" width="11.28515625" style="3" customWidth="1"/>
    <col min="11" max="11" width="18.42578125" style="3" customWidth="1"/>
    <col min="12" max="12" width="17.42578125" style="3" customWidth="1"/>
    <col min="13" max="13" width="14.7109375" style="3" hidden="1" customWidth="1"/>
    <col min="14" max="14" width="14.7109375" style="3" customWidth="1"/>
    <col min="15" max="15" width="19.7109375" style="3" customWidth="1"/>
    <col min="16" max="16" width="17.5703125" style="3" customWidth="1"/>
    <col min="17" max="17" width="15.85546875" style="3" customWidth="1"/>
    <col min="18" max="18" width="24.85546875" style="3" customWidth="1"/>
    <col min="19" max="19" width="27.42578125" style="3" customWidth="1"/>
    <col min="20" max="20" width="14.7109375" style="3" customWidth="1"/>
    <col min="21" max="21" width="23" style="3" customWidth="1"/>
    <col min="22" max="23" width="16.28515625" style="3" customWidth="1"/>
    <col min="24" max="24" width="15.28515625" style="3" customWidth="1"/>
    <col min="25" max="16384" width="9.140625" style="3"/>
  </cols>
  <sheetData>
    <row r="1" spans="1:25" ht="25.5">
      <c r="A1" s="114" t="s">
        <v>1539</v>
      </c>
      <c r="B1" s="114" t="s">
        <v>1540</v>
      </c>
      <c r="C1" s="114" t="s">
        <v>1541</v>
      </c>
      <c r="D1" s="114" t="s">
        <v>1542</v>
      </c>
      <c r="E1" s="114" t="s">
        <v>1543</v>
      </c>
      <c r="F1" s="114" t="s">
        <v>1544</v>
      </c>
      <c r="G1" s="114" t="s">
        <v>1545</v>
      </c>
      <c r="H1" s="114" t="s">
        <v>1546</v>
      </c>
      <c r="I1" s="114" t="s">
        <v>1547</v>
      </c>
      <c r="J1" s="114" t="s">
        <v>1548</v>
      </c>
      <c r="K1" s="114" t="s">
        <v>1549</v>
      </c>
      <c r="L1" s="115" t="s">
        <v>1550</v>
      </c>
      <c r="M1" s="115" t="s">
        <v>1551</v>
      </c>
      <c r="N1" s="115" t="s">
        <v>1551</v>
      </c>
      <c r="O1" s="114" t="s">
        <v>1552</v>
      </c>
      <c r="P1" s="114" t="s">
        <v>1553</v>
      </c>
      <c r="Q1" s="114" t="s">
        <v>1554</v>
      </c>
      <c r="R1" s="114" t="s">
        <v>1555</v>
      </c>
      <c r="S1" s="114" t="s">
        <v>1556</v>
      </c>
      <c r="T1" s="114" t="s">
        <v>1557</v>
      </c>
      <c r="U1" s="114" t="s">
        <v>1558</v>
      </c>
      <c r="V1" s="114" t="s">
        <v>1559</v>
      </c>
      <c r="W1" s="114" t="s">
        <v>1560</v>
      </c>
      <c r="X1" s="114" t="s">
        <v>1561</v>
      </c>
      <c r="Y1" s="114" t="s">
        <v>1562</v>
      </c>
    </row>
    <row r="2" spans="1:25" ht="60.75">
      <c r="A2" s="116">
        <v>1</v>
      </c>
      <c r="B2" s="73" t="s">
        <v>92</v>
      </c>
      <c r="C2" s="73" t="s">
        <v>1563</v>
      </c>
      <c r="D2" s="73" t="s">
        <v>91</v>
      </c>
      <c r="E2" s="73" t="s">
        <v>1588</v>
      </c>
      <c r="F2" s="73" t="s">
        <v>1565</v>
      </c>
      <c r="G2" s="73" t="s">
        <v>1566</v>
      </c>
      <c r="H2" s="73" t="s">
        <v>1589</v>
      </c>
      <c r="I2" s="117" t="s">
        <v>1590</v>
      </c>
      <c r="J2" s="73" t="s">
        <v>1591</v>
      </c>
      <c r="K2" s="73">
        <v>1</v>
      </c>
      <c r="L2" s="53" t="s">
        <v>149</v>
      </c>
      <c r="M2" s="53" t="s">
        <v>339</v>
      </c>
      <c r="N2" s="53" t="str">
        <f>IFERROR(VLOOKUP(TRIM(M2),Mapping!$A:$B,2,FALSE),"")</f>
        <v>Project_012</v>
      </c>
      <c r="O2" s="53" t="s">
        <v>1581</v>
      </c>
      <c r="P2" s="73" t="s">
        <v>1571</v>
      </c>
      <c r="Q2" s="73" t="s">
        <v>1572</v>
      </c>
      <c r="R2" s="73" t="s">
        <v>1573</v>
      </c>
      <c r="S2" s="73"/>
      <c r="T2" s="73"/>
      <c r="U2" s="73" t="s">
        <v>1574</v>
      </c>
      <c r="V2" s="73" t="s">
        <v>1575</v>
      </c>
      <c r="W2" s="73" t="s">
        <v>1576</v>
      </c>
      <c r="X2" s="73"/>
      <c r="Y2" s="73" t="s">
        <v>1577</v>
      </c>
    </row>
    <row r="3" spans="1:25" ht="60.75">
      <c r="A3" s="116">
        <v>2</v>
      </c>
      <c r="B3" s="73" t="s">
        <v>92</v>
      </c>
      <c r="C3" s="73" t="s">
        <v>1563</v>
      </c>
      <c r="D3" s="73" t="s">
        <v>91</v>
      </c>
      <c r="E3" s="73" t="s">
        <v>1588</v>
      </c>
      <c r="F3" s="73" t="s">
        <v>1565</v>
      </c>
      <c r="G3" s="73" t="s">
        <v>1566</v>
      </c>
      <c r="H3" s="73" t="s">
        <v>1589</v>
      </c>
      <c r="I3" s="53" t="s">
        <v>1590</v>
      </c>
      <c r="J3" s="73" t="s">
        <v>1591</v>
      </c>
      <c r="K3" s="73">
        <v>1</v>
      </c>
      <c r="L3" s="53" t="s">
        <v>193</v>
      </c>
      <c r="M3" s="53" t="s">
        <v>382</v>
      </c>
      <c r="N3" s="53" t="str">
        <f>IFERROR(VLOOKUP(TRIM(M3),Mapping!$A:$B,2,FALSE),"")</f>
        <v>Project_019</v>
      </c>
      <c r="O3" s="53" t="s">
        <v>1581</v>
      </c>
      <c r="P3" s="73" t="s">
        <v>1571</v>
      </c>
      <c r="Q3" s="73" t="s">
        <v>1572</v>
      </c>
      <c r="R3" s="73" t="s">
        <v>1573</v>
      </c>
      <c r="S3" s="73"/>
      <c r="T3" s="73"/>
      <c r="U3" s="73" t="s">
        <v>1574</v>
      </c>
      <c r="V3" s="73" t="s">
        <v>1575</v>
      </c>
      <c r="W3" s="73" t="s">
        <v>1576</v>
      </c>
      <c r="X3" s="73"/>
      <c r="Y3" s="73" t="s">
        <v>1577</v>
      </c>
    </row>
    <row r="4" spans="1:25" ht="60.75">
      <c r="A4" s="116">
        <v>3</v>
      </c>
      <c r="B4" s="73" t="s">
        <v>92</v>
      </c>
      <c r="C4" s="73" t="s">
        <v>1563</v>
      </c>
      <c r="D4" s="73" t="s">
        <v>91</v>
      </c>
      <c r="E4" s="73" t="s">
        <v>1588</v>
      </c>
      <c r="F4" s="73" t="s">
        <v>1565</v>
      </c>
      <c r="G4" s="73" t="s">
        <v>1566</v>
      </c>
      <c r="H4" s="73" t="s">
        <v>1589</v>
      </c>
      <c r="I4" s="53" t="s">
        <v>1590</v>
      </c>
      <c r="J4" s="73" t="s">
        <v>1591</v>
      </c>
      <c r="K4" s="73">
        <v>1</v>
      </c>
      <c r="L4" s="53" t="s">
        <v>209</v>
      </c>
      <c r="M4" s="53" t="s">
        <v>341</v>
      </c>
      <c r="N4" s="53" t="str">
        <f>IFERROR(VLOOKUP(TRIM(M4),Mapping!$A:$B,2,FALSE),"")</f>
        <v>Project_013</v>
      </c>
      <c r="O4" s="53" t="s">
        <v>1592</v>
      </c>
      <c r="P4" s="73" t="s">
        <v>1571</v>
      </c>
      <c r="Q4" s="73" t="s">
        <v>1572</v>
      </c>
      <c r="R4" s="73" t="s">
        <v>1573</v>
      </c>
      <c r="S4" s="73"/>
      <c r="T4" s="73"/>
      <c r="U4" s="73" t="s">
        <v>1574</v>
      </c>
      <c r="V4" s="73" t="s">
        <v>1575</v>
      </c>
      <c r="W4" s="73" t="s">
        <v>1576</v>
      </c>
      <c r="X4" s="73"/>
      <c r="Y4" s="73" t="s">
        <v>1577</v>
      </c>
    </row>
    <row r="5" spans="1:25" ht="60.75">
      <c r="A5" s="116">
        <v>4</v>
      </c>
      <c r="B5" s="73" t="s">
        <v>92</v>
      </c>
      <c r="C5" s="73" t="s">
        <v>1563</v>
      </c>
      <c r="D5" s="73" t="s">
        <v>91</v>
      </c>
      <c r="E5" s="73" t="s">
        <v>1588</v>
      </c>
      <c r="F5" s="73" t="s">
        <v>1565</v>
      </c>
      <c r="G5" s="73" t="s">
        <v>1566</v>
      </c>
      <c r="H5" s="73" t="s">
        <v>1589</v>
      </c>
      <c r="I5" s="53" t="s">
        <v>1590</v>
      </c>
      <c r="J5" s="73" t="s">
        <v>1591</v>
      </c>
      <c r="K5" s="73">
        <v>1</v>
      </c>
      <c r="L5" s="53" t="s">
        <v>232</v>
      </c>
      <c r="M5" s="53" t="s">
        <v>305</v>
      </c>
      <c r="N5" s="53" t="str">
        <f>IFERROR(VLOOKUP(TRIM(M5),Mapping!$A:$B,2,FALSE),"")</f>
        <v>Project_005</v>
      </c>
      <c r="O5" s="53" t="s">
        <v>18</v>
      </c>
      <c r="P5" s="73" t="s">
        <v>1571</v>
      </c>
      <c r="Q5" s="73" t="s">
        <v>1572</v>
      </c>
      <c r="R5" s="73" t="s">
        <v>1573</v>
      </c>
      <c r="S5" s="73"/>
      <c r="T5" s="73"/>
      <c r="U5" s="73" t="s">
        <v>1574</v>
      </c>
      <c r="V5" s="73" t="s">
        <v>1575</v>
      </c>
      <c r="W5" s="73" t="s">
        <v>1576</v>
      </c>
      <c r="X5" s="73"/>
      <c r="Y5" s="73" t="s">
        <v>1577</v>
      </c>
    </row>
    <row r="6" spans="1:25" ht="60.75">
      <c r="A6" s="116">
        <v>5</v>
      </c>
      <c r="B6" s="73" t="s">
        <v>92</v>
      </c>
      <c r="C6" s="73" t="s">
        <v>1563</v>
      </c>
      <c r="D6" s="73" t="s">
        <v>91</v>
      </c>
      <c r="E6" s="73" t="s">
        <v>1588</v>
      </c>
      <c r="F6" s="73" t="s">
        <v>1565</v>
      </c>
      <c r="G6" s="73" t="s">
        <v>1566</v>
      </c>
      <c r="H6" s="73" t="s">
        <v>1589</v>
      </c>
      <c r="I6" s="53" t="s">
        <v>1590</v>
      </c>
      <c r="J6" s="73" t="s">
        <v>1591</v>
      </c>
      <c r="K6" s="73">
        <v>1</v>
      </c>
      <c r="L6" s="53" t="s">
        <v>248</v>
      </c>
      <c r="M6" s="53" t="s">
        <v>378</v>
      </c>
      <c r="N6" s="53" t="str">
        <f>IFERROR(VLOOKUP(TRIM(M6),Mapping!$A:$B,2,FALSE),"")</f>
        <v>Project_018</v>
      </c>
      <c r="O6" s="53" t="s">
        <v>1581</v>
      </c>
      <c r="P6" s="73" t="s">
        <v>1571</v>
      </c>
      <c r="Q6" s="73" t="s">
        <v>1572</v>
      </c>
      <c r="R6" s="73" t="s">
        <v>1573</v>
      </c>
      <c r="S6" s="73"/>
      <c r="T6" s="73"/>
      <c r="U6" s="73" t="s">
        <v>1574</v>
      </c>
      <c r="V6" s="73" t="s">
        <v>1575</v>
      </c>
      <c r="W6" s="73" t="s">
        <v>1576</v>
      </c>
      <c r="X6" s="73"/>
      <c r="Y6" s="73" t="s">
        <v>1577</v>
      </c>
    </row>
    <row r="7" spans="1:25" ht="60.75">
      <c r="A7" s="116">
        <v>6</v>
      </c>
      <c r="B7" s="73" t="s">
        <v>92</v>
      </c>
      <c r="C7" s="73" t="s">
        <v>1563</v>
      </c>
      <c r="D7" s="73" t="s">
        <v>91</v>
      </c>
      <c r="E7" s="73" t="s">
        <v>1588</v>
      </c>
      <c r="F7" s="73" t="s">
        <v>1565</v>
      </c>
      <c r="G7" s="73" t="s">
        <v>1566</v>
      </c>
      <c r="H7" s="73" t="s">
        <v>1589</v>
      </c>
      <c r="I7" s="53" t="s">
        <v>1590</v>
      </c>
      <c r="J7" s="73" t="s">
        <v>1591</v>
      </c>
      <c r="K7" s="73">
        <v>1</v>
      </c>
      <c r="L7" s="53" t="s">
        <v>461</v>
      </c>
      <c r="M7" s="53" t="s">
        <v>464</v>
      </c>
      <c r="N7" s="53" t="str">
        <f>IFERROR(VLOOKUP(TRIM(M7),Mapping!$A:$B,2,FALSE),"")</f>
        <v>Project_026</v>
      </c>
      <c r="O7" s="53" t="s">
        <v>1581</v>
      </c>
      <c r="P7" s="73" t="s">
        <v>1571</v>
      </c>
      <c r="Q7" s="73" t="s">
        <v>1572</v>
      </c>
      <c r="R7" s="73" t="s">
        <v>1573</v>
      </c>
      <c r="S7" s="73"/>
      <c r="T7" s="73"/>
      <c r="U7" s="73" t="s">
        <v>1574</v>
      </c>
      <c r="V7" s="73" t="s">
        <v>1575</v>
      </c>
      <c r="W7" s="73" t="s">
        <v>1576</v>
      </c>
      <c r="X7" s="73"/>
      <c r="Y7" s="73" t="s">
        <v>1577</v>
      </c>
    </row>
    <row r="8" spans="1:25" ht="60.75">
      <c r="A8" s="116">
        <v>7</v>
      </c>
      <c r="B8" s="73" t="s">
        <v>92</v>
      </c>
      <c r="C8" s="73" t="s">
        <v>1563</v>
      </c>
      <c r="D8" s="73" t="s">
        <v>91</v>
      </c>
      <c r="E8" s="73" t="s">
        <v>1588</v>
      </c>
      <c r="F8" s="73" t="s">
        <v>1565</v>
      </c>
      <c r="G8" s="73" t="s">
        <v>1566</v>
      </c>
      <c r="H8" s="73" t="s">
        <v>1589</v>
      </c>
      <c r="I8" s="53" t="s">
        <v>1590</v>
      </c>
      <c r="J8" s="73" t="s">
        <v>1591</v>
      </c>
      <c r="K8" s="73">
        <v>1</v>
      </c>
      <c r="L8" s="53" t="s">
        <v>479</v>
      </c>
      <c r="M8" s="53" t="s">
        <v>292</v>
      </c>
      <c r="N8" s="53" t="str">
        <f>IFERROR(VLOOKUP(TRIM(M8),Mapping!$A:$B,2,FALSE),"")</f>
        <v>Project_002</v>
      </c>
      <c r="O8" s="53" t="s">
        <v>18</v>
      </c>
      <c r="P8" s="73" t="s">
        <v>1571</v>
      </c>
      <c r="Q8" s="73" t="s">
        <v>1572</v>
      </c>
      <c r="R8" s="73" t="s">
        <v>1573</v>
      </c>
      <c r="S8" s="73"/>
      <c r="T8" s="73"/>
      <c r="U8" s="73" t="s">
        <v>1574</v>
      </c>
      <c r="V8" s="73" t="s">
        <v>1575</v>
      </c>
      <c r="W8" s="73" t="s">
        <v>1576</v>
      </c>
      <c r="X8" s="73"/>
      <c r="Y8" s="73" t="s">
        <v>1577</v>
      </c>
    </row>
    <row r="9" spans="1:25" ht="60.75">
      <c r="A9" s="116">
        <v>8</v>
      </c>
      <c r="B9" s="73" t="s">
        <v>92</v>
      </c>
      <c r="C9" s="73" t="s">
        <v>1563</v>
      </c>
      <c r="D9" s="73" t="s">
        <v>91</v>
      </c>
      <c r="E9" s="73" t="s">
        <v>1588</v>
      </c>
      <c r="F9" s="73" t="s">
        <v>1565</v>
      </c>
      <c r="G9" s="73" t="s">
        <v>1566</v>
      </c>
      <c r="H9" s="73" t="s">
        <v>1589</v>
      </c>
      <c r="I9" s="53" t="s">
        <v>1590</v>
      </c>
      <c r="J9" s="73" t="s">
        <v>1591</v>
      </c>
      <c r="K9" s="73">
        <v>1</v>
      </c>
      <c r="L9" s="53" t="s">
        <v>503</v>
      </c>
      <c r="M9" s="53" t="s">
        <v>323</v>
      </c>
      <c r="N9" s="53" t="str">
        <f>IFERROR(VLOOKUP(TRIM(M9),Mapping!$A:$B,2,FALSE),"")</f>
        <v>Project_009</v>
      </c>
      <c r="O9" s="53" t="s">
        <v>1581</v>
      </c>
      <c r="P9" s="73" t="s">
        <v>1571</v>
      </c>
      <c r="Q9" s="73" t="s">
        <v>1572</v>
      </c>
      <c r="R9" s="73" t="s">
        <v>1573</v>
      </c>
      <c r="S9" s="73"/>
      <c r="T9" s="73"/>
      <c r="U9" s="73" t="s">
        <v>1574</v>
      </c>
      <c r="V9" s="73" t="s">
        <v>1575</v>
      </c>
      <c r="W9" s="73" t="s">
        <v>1576</v>
      </c>
      <c r="X9" s="73"/>
      <c r="Y9" s="73" t="s">
        <v>1577</v>
      </c>
    </row>
    <row r="10" spans="1:25" ht="60.75">
      <c r="A10" s="116">
        <v>9</v>
      </c>
      <c r="B10" s="73" t="s">
        <v>92</v>
      </c>
      <c r="C10" s="73" t="s">
        <v>1563</v>
      </c>
      <c r="D10" s="73" t="s">
        <v>91</v>
      </c>
      <c r="E10" s="73" t="s">
        <v>1588</v>
      </c>
      <c r="F10" s="73" t="s">
        <v>1565</v>
      </c>
      <c r="G10" s="73" t="s">
        <v>1566</v>
      </c>
      <c r="H10" s="73" t="s">
        <v>1589</v>
      </c>
      <c r="I10" s="53" t="s">
        <v>1590</v>
      </c>
      <c r="J10" s="73" t="s">
        <v>1591</v>
      </c>
      <c r="K10" s="73">
        <v>1</v>
      </c>
      <c r="L10" s="53" t="s">
        <v>523</v>
      </c>
      <c r="M10" s="53" t="s">
        <v>468</v>
      </c>
      <c r="N10" s="53" t="str">
        <f>IFERROR(VLOOKUP(TRIM(M10),Mapping!$A:$B,2,FALSE),"")</f>
        <v>Project_027</v>
      </c>
      <c r="O10" s="53" t="s">
        <v>1592</v>
      </c>
      <c r="P10" s="73" t="s">
        <v>1571</v>
      </c>
      <c r="Q10" s="73" t="s">
        <v>1572</v>
      </c>
      <c r="R10" s="73" t="s">
        <v>1573</v>
      </c>
      <c r="S10" s="73"/>
      <c r="T10" s="73"/>
      <c r="U10" s="73" t="s">
        <v>1574</v>
      </c>
      <c r="V10" s="73" t="s">
        <v>1575</v>
      </c>
      <c r="W10" s="73" t="s">
        <v>1576</v>
      </c>
      <c r="X10" s="73"/>
      <c r="Y10" s="73" t="s">
        <v>1577</v>
      </c>
    </row>
    <row r="11" spans="1:25" ht="60.75">
      <c r="A11" s="116">
        <v>10</v>
      </c>
      <c r="B11" s="73" t="s">
        <v>92</v>
      </c>
      <c r="C11" s="73" t="s">
        <v>1563</v>
      </c>
      <c r="D11" s="73" t="s">
        <v>91</v>
      </c>
      <c r="E11" s="73" t="s">
        <v>1588</v>
      </c>
      <c r="F11" s="73" t="s">
        <v>1565</v>
      </c>
      <c r="G11" s="73" t="s">
        <v>1566</v>
      </c>
      <c r="H11" s="73" t="s">
        <v>1589</v>
      </c>
      <c r="I11" s="53" t="s">
        <v>1590</v>
      </c>
      <c r="J11" s="73" t="s">
        <v>1591</v>
      </c>
      <c r="K11" s="73">
        <v>1</v>
      </c>
      <c r="L11" s="53" t="s">
        <v>544</v>
      </c>
      <c r="M11" s="53" t="s">
        <v>546</v>
      </c>
      <c r="N11" s="53" t="str">
        <f>IFERROR(VLOOKUP(TRIM(M11),Mapping!$A:$B,2,FALSE),"")</f>
        <v>Project_032</v>
      </c>
      <c r="O11" s="53" t="s">
        <v>18</v>
      </c>
      <c r="P11" s="73" t="s">
        <v>1571</v>
      </c>
      <c r="Q11" s="73" t="s">
        <v>1572</v>
      </c>
      <c r="R11" s="73" t="s">
        <v>1573</v>
      </c>
      <c r="S11" s="73"/>
      <c r="T11" s="73"/>
      <c r="U11" s="73" t="s">
        <v>1574</v>
      </c>
      <c r="V11" s="73" t="s">
        <v>1575</v>
      </c>
      <c r="W11" s="73" t="s">
        <v>1576</v>
      </c>
      <c r="X11" s="73"/>
      <c r="Y11" s="73" t="s">
        <v>1577</v>
      </c>
    </row>
    <row r="12" spans="1:25" ht="60.75">
      <c r="A12" s="116">
        <v>11</v>
      </c>
      <c r="B12" s="73" t="s">
        <v>92</v>
      </c>
      <c r="C12" s="73" t="s">
        <v>1563</v>
      </c>
      <c r="D12" s="73" t="s">
        <v>91</v>
      </c>
      <c r="E12" s="73" t="s">
        <v>1588</v>
      </c>
      <c r="F12" s="73" t="s">
        <v>1565</v>
      </c>
      <c r="G12" s="73" t="s">
        <v>1566</v>
      </c>
      <c r="H12" s="73" t="s">
        <v>1589</v>
      </c>
      <c r="I12" s="53" t="s">
        <v>1590</v>
      </c>
      <c r="J12" s="73" t="s">
        <v>1591</v>
      </c>
      <c r="K12" s="73">
        <v>1</v>
      </c>
      <c r="L12" s="53" t="s">
        <v>561</v>
      </c>
      <c r="M12" s="53" t="s">
        <v>298</v>
      </c>
      <c r="N12" s="53" t="str">
        <f>IFERROR(VLOOKUP(TRIM(M12),Mapping!$A:$B,2,FALSE),"")</f>
        <v>Project_003</v>
      </c>
      <c r="O12" s="53" t="s">
        <v>26</v>
      </c>
      <c r="P12" s="73" t="s">
        <v>1571</v>
      </c>
      <c r="Q12" s="73" t="s">
        <v>1572</v>
      </c>
      <c r="R12" s="73" t="s">
        <v>1573</v>
      </c>
      <c r="S12" s="73"/>
      <c r="T12" s="73"/>
      <c r="U12" s="73" t="s">
        <v>1574</v>
      </c>
      <c r="V12" s="73" t="s">
        <v>1575</v>
      </c>
      <c r="W12" s="73" t="s">
        <v>1576</v>
      </c>
      <c r="X12" s="73"/>
      <c r="Y12" s="73" t="s">
        <v>1577</v>
      </c>
    </row>
    <row r="13" spans="1:25" ht="60.75">
      <c r="A13" s="116">
        <v>12</v>
      </c>
      <c r="B13" s="73" t="s">
        <v>92</v>
      </c>
      <c r="C13" s="73" t="s">
        <v>1563</v>
      </c>
      <c r="D13" s="73" t="s">
        <v>91</v>
      </c>
      <c r="E13" s="73" t="s">
        <v>1588</v>
      </c>
      <c r="F13" s="73" t="s">
        <v>1565</v>
      </c>
      <c r="G13" s="73" t="s">
        <v>1566</v>
      </c>
      <c r="H13" s="73" t="s">
        <v>1589</v>
      </c>
      <c r="I13" s="53" t="s">
        <v>1590</v>
      </c>
      <c r="J13" s="73" t="s">
        <v>1591</v>
      </c>
      <c r="K13" s="73">
        <v>1</v>
      </c>
      <c r="L13" s="53" t="s">
        <v>573</v>
      </c>
      <c r="M13" s="53" t="s">
        <v>575</v>
      </c>
      <c r="N13" s="53" t="str">
        <f>IFERROR(VLOOKUP(TRIM(M13),Mapping!$A:$B,2,FALSE),"")</f>
        <v>Project_033</v>
      </c>
      <c r="O13" s="53" t="s">
        <v>1592</v>
      </c>
      <c r="P13" s="73" t="s">
        <v>1571</v>
      </c>
      <c r="Q13" s="73" t="s">
        <v>1572</v>
      </c>
      <c r="R13" s="73" t="s">
        <v>1573</v>
      </c>
      <c r="S13" s="73"/>
      <c r="T13" s="73"/>
      <c r="U13" s="73" t="s">
        <v>1574</v>
      </c>
      <c r="V13" s="73" t="s">
        <v>1575</v>
      </c>
      <c r="W13" s="73" t="s">
        <v>1576</v>
      </c>
      <c r="X13" s="73"/>
      <c r="Y13" s="73" t="s">
        <v>1577</v>
      </c>
    </row>
    <row r="14" spans="1:25" ht="60.75">
      <c r="A14" s="116">
        <v>13</v>
      </c>
      <c r="B14" s="73" t="s">
        <v>92</v>
      </c>
      <c r="C14" s="73" t="s">
        <v>1563</v>
      </c>
      <c r="D14" s="73" t="s">
        <v>91</v>
      </c>
      <c r="E14" s="73" t="s">
        <v>1588</v>
      </c>
      <c r="F14" s="73" t="s">
        <v>1565</v>
      </c>
      <c r="G14" s="73" t="s">
        <v>1566</v>
      </c>
      <c r="H14" s="73" t="s">
        <v>1589</v>
      </c>
      <c r="I14" s="53" t="s">
        <v>1590</v>
      </c>
      <c r="J14" s="73" t="s">
        <v>1591</v>
      </c>
      <c r="K14" s="73">
        <v>1</v>
      </c>
      <c r="L14" s="53" t="s">
        <v>586</v>
      </c>
      <c r="M14" s="53" t="s">
        <v>387</v>
      </c>
      <c r="N14" s="53" t="str">
        <f>IFERROR(VLOOKUP(TRIM(M14),Mapping!$A:$B,2,FALSE),"")</f>
        <v>Project_020</v>
      </c>
      <c r="O14" s="53" t="s">
        <v>1581</v>
      </c>
      <c r="P14" s="73" t="s">
        <v>1571</v>
      </c>
      <c r="Q14" s="73" t="s">
        <v>1572</v>
      </c>
      <c r="R14" s="73" t="s">
        <v>1573</v>
      </c>
      <c r="S14" s="73"/>
      <c r="T14" s="73"/>
      <c r="U14" s="73" t="s">
        <v>1574</v>
      </c>
      <c r="V14" s="73" t="s">
        <v>1575</v>
      </c>
      <c r="W14" s="73" t="s">
        <v>1576</v>
      </c>
      <c r="X14" s="73"/>
      <c r="Y14" s="73" t="s">
        <v>1577</v>
      </c>
    </row>
    <row r="15" spans="1:25" ht="60.75">
      <c r="A15" s="116">
        <v>14</v>
      </c>
      <c r="B15" s="73" t="s">
        <v>92</v>
      </c>
      <c r="C15" s="73" t="s">
        <v>1563</v>
      </c>
      <c r="D15" s="73" t="s">
        <v>91</v>
      </c>
      <c r="E15" s="73" t="s">
        <v>1588</v>
      </c>
      <c r="F15" s="73" t="s">
        <v>1565</v>
      </c>
      <c r="G15" s="73" t="s">
        <v>1566</v>
      </c>
      <c r="H15" s="73" t="s">
        <v>1589</v>
      </c>
      <c r="I15" s="53" t="s">
        <v>1590</v>
      </c>
      <c r="J15" s="73" t="s">
        <v>1591</v>
      </c>
      <c r="K15" s="73">
        <v>1</v>
      </c>
      <c r="L15" s="53" t="s">
        <v>602</v>
      </c>
      <c r="M15" s="53" t="s">
        <v>305</v>
      </c>
      <c r="N15" s="53" t="str">
        <f>IFERROR(VLOOKUP(TRIM(M15),Mapping!$A:$B,2,FALSE),"")</f>
        <v>Project_005</v>
      </c>
      <c r="O15" s="53" t="s">
        <v>1578</v>
      </c>
      <c r="P15" s="73" t="s">
        <v>1571</v>
      </c>
      <c r="Q15" s="73" t="s">
        <v>1572</v>
      </c>
      <c r="R15" s="73" t="s">
        <v>1573</v>
      </c>
      <c r="S15" s="73"/>
      <c r="T15" s="73"/>
      <c r="U15" s="73" t="s">
        <v>1574</v>
      </c>
      <c r="V15" s="73" t="s">
        <v>1575</v>
      </c>
      <c r="W15" s="73" t="s">
        <v>1576</v>
      </c>
      <c r="X15" s="73"/>
      <c r="Y15" s="73" t="s">
        <v>1577</v>
      </c>
    </row>
    <row r="16" spans="1:25" ht="60.75">
      <c r="A16" s="116">
        <v>15</v>
      </c>
      <c r="B16" s="73" t="s">
        <v>92</v>
      </c>
      <c r="C16" s="73" t="s">
        <v>1563</v>
      </c>
      <c r="D16" s="73" t="s">
        <v>91</v>
      </c>
      <c r="E16" s="73" t="s">
        <v>1588</v>
      </c>
      <c r="F16" s="73" t="s">
        <v>1565</v>
      </c>
      <c r="G16" s="73" t="s">
        <v>1566</v>
      </c>
      <c r="H16" s="73" t="s">
        <v>1589</v>
      </c>
      <c r="I16" s="53" t="s">
        <v>1590</v>
      </c>
      <c r="J16" s="73" t="s">
        <v>1591</v>
      </c>
      <c r="K16" s="73">
        <v>1</v>
      </c>
      <c r="L16" s="53" t="s">
        <v>621</v>
      </c>
      <c r="M16" s="53" t="s">
        <v>387</v>
      </c>
      <c r="N16" s="53" t="str">
        <f>IFERROR(VLOOKUP(TRIM(M16),Mapping!$A:$B,2,FALSE),"")</f>
        <v>Project_020</v>
      </c>
      <c r="O16" s="53" t="s">
        <v>1581</v>
      </c>
      <c r="P16" s="73" t="s">
        <v>1571</v>
      </c>
      <c r="Q16" s="73" t="s">
        <v>1572</v>
      </c>
      <c r="R16" s="73" t="s">
        <v>1573</v>
      </c>
      <c r="S16" s="73"/>
      <c r="T16" s="73"/>
      <c r="U16" s="73" t="s">
        <v>1574</v>
      </c>
      <c r="V16" s="73" t="s">
        <v>1575</v>
      </c>
      <c r="W16" s="73" t="s">
        <v>1576</v>
      </c>
      <c r="X16" s="73"/>
      <c r="Y16" s="73" t="s">
        <v>1577</v>
      </c>
    </row>
    <row r="17" spans="1:25" ht="60.75">
      <c r="A17" s="116">
        <v>16</v>
      </c>
      <c r="B17" s="73" t="s">
        <v>92</v>
      </c>
      <c r="C17" s="73" t="s">
        <v>1563</v>
      </c>
      <c r="D17" s="73" t="s">
        <v>91</v>
      </c>
      <c r="E17" s="73" t="s">
        <v>1588</v>
      </c>
      <c r="F17" s="73" t="s">
        <v>1565</v>
      </c>
      <c r="G17" s="73" t="s">
        <v>1566</v>
      </c>
      <c r="H17" s="73" t="s">
        <v>1589</v>
      </c>
      <c r="I17" s="53" t="s">
        <v>1590</v>
      </c>
      <c r="J17" s="73" t="s">
        <v>1591</v>
      </c>
      <c r="K17" s="73">
        <v>1</v>
      </c>
      <c r="L17" s="53" t="s">
        <v>637</v>
      </c>
      <c r="M17" s="53" t="s">
        <v>434</v>
      </c>
      <c r="N17" s="53" t="str">
        <f>IFERROR(VLOOKUP(TRIM(M17),Mapping!$A:$B,2,FALSE),"")</f>
        <v>Project_024</v>
      </c>
      <c r="O17" s="53" t="s">
        <v>1592</v>
      </c>
      <c r="P17" s="73" t="s">
        <v>1571</v>
      </c>
      <c r="Q17" s="73" t="s">
        <v>1572</v>
      </c>
      <c r="R17" s="73" t="s">
        <v>1573</v>
      </c>
      <c r="S17" s="73"/>
      <c r="T17" s="73"/>
      <c r="U17" s="73" t="s">
        <v>1574</v>
      </c>
      <c r="V17" s="73" t="s">
        <v>1575</v>
      </c>
      <c r="W17" s="73" t="s">
        <v>1576</v>
      </c>
      <c r="X17" s="73"/>
      <c r="Y17" s="73" t="s">
        <v>1577</v>
      </c>
    </row>
    <row r="18" spans="1:25" ht="60.75">
      <c r="A18" s="116">
        <v>17</v>
      </c>
      <c r="B18" s="73" t="s">
        <v>92</v>
      </c>
      <c r="C18" s="73" t="s">
        <v>1563</v>
      </c>
      <c r="D18" s="73" t="s">
        <v>91</v>
      </c>
      <c r="E18" s="73" t="s">
        <v>1588</v>
      </c>
      <c r="F18" s="73" t="s">
        <v>1565</v>
      </c>
      <c r="G18" s="73" t="s">
        <v>1566</v>
      </c>
      <c r="H18" s="73" t="s">
        <v>1589</v>
      </c>
      <c r="I18" s="53" t="s">
        <v>1590</v>
      </c>
      <c r="J18" s="73" t="s">
        <v>1591</v>
      </c>
      <c r="K18" s="73">
        <v>1</v>
      </c>
      <c r="L18" s="53" t="s">
        <v>655</v>
      </c>
      <c r="M18" s="53" t="s">
        <v>341</v>
      </c>
      <c r="N18" s="53" t="str">
        <f>IFERROR(VLOOKUP(TRIM(M18),Mapping!$A:$B,2,FALSE),"")</f>
        <v>Project_013</v>
      </c>
      <c r="O18" s="53" t="s">
        <v>1592</v>
      </c>
      <c r="P18" s="73" t="s">
        <v>1582</v>
      </c>
      <c r="Q18" s="73" t="s">
        <v>1572</v>
      </c>
      <c r="R18" s="73" t="s">
        <v>1573</v>
      </c>
      <c r="S18" s="73"/>
      <c r="T18" s="73"/>
      <c r="U18" s="73" t="s">
        <v>1574</v>
      </c>
      <c r="V18" s="73" t="s">
        <v>1575</v>
      </c>
      <c r="W18" s="73" t="s">
        <v>1576</v>
      </c>
      <c r="X18" s="73"/>
      <c r="Y18" s="73" t="s">
        <v>1577</v>
      </c>
    </row>
    <row r="19" spans="1:25" ht="60.75">
      <c r="A19" s="116">
        <v>18</v>
      </c>
      <c r="B19" s="73" t="s">
        <v>92</v>
      </c>
      <c r="C19" s="73" t="s">
        <v>1563</v>
      </c>
      <c r="D19" s="73" t="s">
        <v>91</v>
      </c>
      <c r="E19" s="73" t="s">
        <v>1588</v>
      </c>
      <c r="F19" s="73" t="s">
        <v>1565</v>
      </c>
      <c r="G19" s="73" t="s">
        <v>1566</v>
      </c>
      <c r="H19" s="73" t="s">
        <v>1589</v>
      </c>
      <c r="I19" s="53" t="s">
        <v>1590</v>
      </c>
      <c r="J19" s="73" t="s">
        <v>1591</v>
      </c>
      <c r="K19" s="73">
        <v>1</v>
      </c>
      <c r="L19" s="53" t="s">
        <v>666</v>
      </c>
      <c r="M19" s="53" t="s">
        <v>668</v>
      </c>
      <c r="N19" s="53" t="str">
        <f>IFERROR(VLOOKUP(TRIM(M19),Mapping!$A:$B,2,FALSE),"")</f>
        <v>Project_037</v>
      </c>
      <c r="O19" s="53" t="s">
        <v>18</v>
      </c>
      <c r="P19" s="73" t="s">
        <v>1571</v>
      </c>
      <c r="Q19" s="73" t="s">
        <v>1572</v>
      </c>
      <c r="R19" s="73" t="s">
        <v>1573</v>
      </c>
      <c r="S19" s="73"/>
      <c r="T19" s="73"/>
      <c r="U19" s="73" t="s">
        <v>1574</v>
      </c>
      <c r="V19" s="73" t="s">
        <v>1575</v>
      </c>
      <c r="W19" s="73" t="s">
        <v>1576</v>
      </c>
      <c r="X19" s="73"/>
      <c r="Y19" s="73" t="s">
        <v>1577</v>
      </c>
    </row>
    <row r="20" spans="1:25" ht="60.75">
      <c r="A20" s="116">
        <v>19</v>
      </c>
      <c r="B20" s="73" t="s">
        <v>92</v>
      </c>
      <c r="C20" s="73" t="s">
        <v>1563</v>
      </c>
      <c r="D20" s="73" t="s">
        <v>91</v>
      </c>
      <c r="E20" s="73" t="s">
        <v>1588</v>
      </c>
      <c r="F20" s="73" t="s">
        <v>1565</v>
      </c>
      <c r="G20" s="73" t="s">
        <v>1566</v>
      </c>
      <c r="H20" s="73" t="s">
        <v>1589</v>
      </c>
      <c r="I20" s="53" t="s">
        <v>1590</v>
      </c>
      <c r="J20" s="73" t="s">
        <v>1591</v>
      </c>
      <c r="K20" s="73">
        <v>1</v>
      </c>
      <c r="L20" s="53" t="s">
        <v>684</v>
      </c>
      <c r="M20" s="53" t="s">
        <v>348</v>
      </c>
      <c r="N20" s="53" t="str">
        <f>IFERROR(VLOOKUP(TRIM(M20),Mapping!$A:$B,2,FALSE),"")</f>
        <v>Project_014</v>
      </c>
      <c r="O20" s="53" t="s">
        <v>1581</v>
      </c>
      <c r="P20" s="73" t="s">
        <v>1582</v>
      </c>
      <c r="Q20" s="73" t="s">
        <v>1572</v>
      </c>
      <c r="R20" s="73" t="s">
        <v>1573</v>
      </c>
      <c r="S20" s="73"/>
      <c r="T20" s="73"/>
      <c r="U20" s="73" t="s">
        <v>1574</v>
      </c>
      <c r="V20" s="73" t="s">
        <v>1575</v>
      </c>
      <c r="W20" s="73" t="s">
        <v>1576</v>
      </c>
      <c r="X20" s="73"/>
      <c r="Y20" s="73" t="s">
        <v>1577</v>
      </c>
    </row>
    <row r="21" spans="1:25" ht="60.75">
      <c r="A21" s="116">
        <v>20</v>
      </c>
      <c r="B21" s="73" t="s">
        <v>92</v>
      </c>
      <c r="C21" s="73" t="s">
        <v>1563</v>
      </c>
      <c r="D21" s="73" t="s">
        <v>91</v>
      </c>
      <c r="E21" s="73" t="s">
        <v>1588</v>
      </c>
      <c r="F21" s="73" t="s">
        <v>1565</v>
      </c>
      <c r="G21" s="73" t="s">
        <v>1566</v>
      </c>
      <c r="H21" s="73" t="s">
        <v>1589</v>
      </c>
      <c r="I21" s="53" t="s">
        <v>1590</v>
      </c>
      <c r="J21" s="73" t="s">
        <v>1591</v>
      </c>
      <c r="K21" s="73">
        <v>1</v>
      </c>
      <c r="L21" s="53" t="s">
        <v>699</v>
      </c>
      <c r="M21" s="53" t="s">
        <v>298</v>
      </c>
      <c r="N21" s="53" t="str">
        <f>IFERROR(VLOOKUP(TRIM(M21),Mapping!$A:$B,2,FALSE),"")</f>
        <v>Project_003</v>
      </c>
      <c r="O21" s="53" t="s">
        <v>1581</v>
      </c>
      <c r="P21" s="73" t="s">
        <v>1571</v>
      </c>
      <c r="Q21" s="73" t="s">
        <v>1572</v>
      </c>
      <c r="R21" s="73" t="s">
        <v>1573</v>
      </c>
      <c r="S21" s="73"/>
      <c r="T21" s="73"/>
      <c r="U21" s="73" t="s">
        <v>1574</v>
      </c>
      <c r="V21" s="73" t="s">
        <v>1575</v>
      </c>
      <c r="W21" s="73" t="s">
        <v>1576</v>
      </c>
      <c r="X21" s="73"/>
      <c r="Y21" s="73" t="s">
        <v>1577</v>
      </c>
    </row>
    <row r="22" spans="1:25" ht="60.75">
      <c r="A22" s="116">
        <v>21</v>
      </c>
      <c r="B22" s="73" t="s">
        <v>92</v>
      </c>
      <c r="C22" s="73" t="s">
        <v>1563</v>
      </c>
      <c r="D22" s="73" t="s">
        <v>91</v>
      </c>
      <c r="E22" s="73" t="s">
        <v>1588</v>
      </c>
      <c r="F22" s="73" t="s">
        <v>1565</v>
      </c>
      <c r="G22" s="73" t="s">
        <v>1566</v>
      </c>
      <c r="H22" s="73" t="s">
        <v>1589</v>
      </c>
      <c r="I22" s="53" t="s">
        <v>1590</v>
      </c>
      <c r="J22" s="73" t="s">
        <v>1591</v>
      </c>
      <c r="K22" s="73">
        <v>1</v>
      </c>
      <c r="L22" s="53" t="s">
        <v>713</v>
      </c>
      <c r="M22" s="53" t="s">
        <v>305</v>
      </c>
      <c r="N22" s="53" t="str">
        <f>IFERROR(VLOOKUP(TRIM(M22),Mapping!$A:$B,2,FALSE),"")</f>
        <v>Project_005</v>
      </c>
      <c r="O22" s="53" t="s">
        <v>1581</v>
      </c>
      <c r="P22" s="73" t="s">
        <v>1571</v>
      </c>
      <c r="Q22" s="73" t="s">
        <v>1572</v>
      </c>
      <c r="R22" s="73" t="s">
        <v>1573</v>
      </c>
      <c r="S22" s="73"/>
      <c r="T22" s="73"/>
      <c r="U22" s="73" t="s">
        <v>1574</v>
      </c>
      <c r="V22" s="73" t="s">
        <v>1575</v>
      </c>
      <c r="W22" s="73" t="s">
        <v>1576</v>
      </c>
      <c r="X22" s="73"/>
      <c r="Y22" s="73" t="s">
        <v>1577</v>
      </c>
    </row>
    <row r="23" spans="1:25" ht="60.75">
      <c r="A23" s="116">
        <v>22</v>
      </c>
      <c r="B23" s="73" t="s">
        <v>92</v>
      </c>
      <c r="C23" s="73" t="s">
        <v>1563</v>
      </c>
      <c r="D23" s="73" t="s">
        <v>91</v>
      </c>
      <c r="E23" s="73" t="s">
        <v>1588</v>
      </c>
      <c r="F23" s="73" t="s">
        <v>1565</v>
      </c>
      <c r="G23" s="73" t="s">
        <v>1566</v>
      </c>
      <c r="H23" s="73" t="s">
        <v>1589</v>
      </c>
      <c r="I23" s="53" t="s">
        <v>1590</v>
      </c>
      <c r="J23" s="73" t="s">
        <v>1591</v>
      </c>
      <c r="K23" s="73">
        <v>1</v>
      </c>
      <c r="L23" s="53" t="s">
        <v>724</v>
      </c>
      <c r="M23" s="53" t="s">
        <v>387</v>
      </c>
      <c r="N23" s="53" t="str">
        <f>IFERROR(VLOOKUP(TRIM(M23),Mapping!$A:$B,2,FALSE),"")</f>
        <v>Project_020</v>
      </c>
      <c r="O23" s="53" t="s">
        <v>1578</v>
      </c>
      <c r="P23" s="73" t="s">
        <v>1571</v>
      </c>
      <c r="Q23" s="73" t="s">
        <v>1572</v>
      </c>
      <c r="R23" s="73" t="s">
        <v>1573</v>
      </c>
      <c r="S23" s="73"/>
      <c r="T23" s="73"/>
      <c r="U23" s="73" t="s">
        <v>1574</v>
      </c>
      <c r="V23" s="73" t="s">
        <v>1575</v>
      </c>
      <c r="W23" s="73" t="s">
        <v>1576</v>
      </c>
      <c r="X23" s="73"/>
      <c r="Y23" s="73" t="s">
        <v>1577</v>
      </c>
    </row>
    <row r="24" spans="1:25" ht="60.75">
      <c r="A24" s="116">
        <v>23</v>
      </c>
      <c r="B24" s="73" t="s">
        <v>92</v>
      </c>
      <c r="C24" s="73" t="s">
        <v>1563</v>
      </c>
      <c r="D24" s="73" t="s">
        <v>91</v>
      </c>
      <c r="E24" s="73" t="s">
        <v>1588</v>
      </c>
      <c r="F24" s="73" t="s">
        <v>1565</v>
      </c>
      <c r="G24" s="73" t="s">
        <v>1566</v>
      </c>
      <c r="H24" s="73" t="s">
        <v>1589</v>
      </c>
      <c r="I24" s="53" t="s">
        <v>1590</v>
      </c>
      <c r="J24" s="73" t="s">
        <v>1591</v>
      </c>
      <c r="K24" s="73">
        <v>1</v>
      </c>
      <c r="L24" s="53" t="s">
        <v>731</v>
      </c>
      <c r="M24" s="53" t="s">
        <v>301</v>
      </c>
      <c r="N24" s="53" t="str">
        <f>IFERROR(VLOOKUP(TRIM(M24),Mapping!$A:$B,2,FALSE),"")</f>
        <v>Project_004</v>
      </c>
      <c r="O24" s="53" t="s">
        <v>1592</v>
      </c>
      <c r="P24" s="73" t="s">
        <v>1571</v>
      </c>
      <c r="Q24" s="73" t="s">
        <v>1572</v>
      </c>
      <c r="R24" s="73" t="s">
        <v>1573</v>
      </c>
      <c r="S24" s="73"/>
      <c r="T24" s="73"/>
      <c r="U24" s="73" t="s">
        <v>1574</v>
      </c>
      <c r="V24" s="73" t="s">
        <v>1575</v>
      </c>
      <c r="W24" s="73" t="s">
        <v>1576</v>
      </c>
      <c r="X24" s="73"/>
      <c r="Y24" s="73" t="s">
        <v>1577</v>
      </c>
    </row>
    <row r="25" spans="1:25" ht="60.75">
      <c r="A25" s="116">
        <v>24</v>
      </c>
      <c r="B25" s="73" t="s">
        <v>92</v>
      </c>
      <c r="C25" s="73" t="s">
        <v>1563</v>
      </c>
      <c r="D25" s="73" t="s">
        <v>91</v>
      </c>
      <c r="E25" s="73" t="s">
        <v>1588</v>
      </c>
      <c r="F25" s="73" t="s">
        <v>1565</v>
      </c>
      <c r="G25" s="73" t="s">
        <v>1566</v>
      </c>
      <c r="H25" s="73" t="s">
        <v>1589</v>
      </c>
      <c r="I25" s="53" t="s">
        <v>1590</v>
      </c>
      <c r="J25" s="73" t="s">
        <v>1591</v>
      </c>
      <c r="K25" s="73">
        <v>1</v>
      </c>
      <c r="L25" s="53" t="s">
        <v>748</v>
      </c>
      <c r="M25" s="53" t="s">
        <v>323</v>
      </c>
      <c r="N25" s="53" t="str">
        <f>IFERROR(VLOOKUP(TRIM(M25),Mapping!$A:$B,2,FALSE),"")</f>
        <v>Project_009</v>
      </c>
      <c r="O25" s="53" t="s">
        <v>18</v>
      </c>
      <c r="P25" s="73" t="s">
        <v>1571</v>
      </c>
      <c r="Q25" s="73" t="s">
        <v>1572</v>
      </c>
      <c r="R25" s="73" t="s">
        <v>1573</v>
      </c>
      <c r="S25" s="73"/>
      <c r="T25" s="73"/>
      <c r="U25" s="73" t="s">
        <v>1574</v>
      </c>
      <c r="V25" s="73" t="s">
        <v>1575</v>
      </c>
      <c r="W25" s="73" t="s">
        <v>1576</v>
      </c>
      <c r="X25" s="73"/>
      <c r="Y25" s="73" t="s">
        <v>1577</v>
      </c>
    </row>
    <row r="26" spans="1:25" ht="60.75">
      <c r="A26" s="116">
        <v>25</v>
      </c>
      <c r="B26" s="73" t="s">
        <v>92</v>
      </c>
      <c r="C26" s="73" t="s">
        <v>1563</v>
      </c>
      <c r="D26" s="73" t="s">
        <v>91</v>
      </c>
      <c r="E26" s="73" t="s">
        <v>1588</v>
      </c>
      <c r="F26" s="73" t="s">
        <v>1565</v>
      </c>
      <c r="G26" s="73" t="s">
        <v>1566</v>
      </c>
      <c r="H26" s="73" t="s">
        <v>1589</v>
      </c>
      <c r="I26" s="53" t="s">
        <v>1590</v>
      </c>
      <c r="J26" s="73" t="s">
        <v>1591</v>
      </c>
      <c r="K26" s="73">
        <v>1</v>
      </c>
      <c r="L26" s="53" t="s">
        <v>762</v>
      </c>
      <c r="M26" s="53" t="s">
        <v>763</v>
      </c>
      <c r="N26" s="53" t="str">
        <f>IFERROR(VLOOKUP(TRIM(M26),Mapping!$A:$B,2,FALSE),"")</f>
        <v>Project_040</v>
      </c>
      <c r="O26" s="53" t="s">
        <v>1592</v>
      </c>
      <c r="P26" s="73" t="s">
        <v>1571</v>
      </c>
      <c r="Q26" s="73" t="s">
        <v>1572</v>
      </c>
      <c r="R26" s="73" t="s">
        <v>1573</v>
      </c>
      <c r="S26" s="73"/>
      <c r="T26" s="73"/>
      <c r="U26" s="73" t="s">
        <v>1574</v>
      </c>
      <c r="V26" s="73" t="s">
        <v>1575</v>
      </c>
      <c r="W26" s="73" t="s">
        <v>1576</v>
      </c>
      <c r="X26" s="73"/>
      <c r="Y26" s="73" t="s">
        <v>1577</v>
      </c>
    </row>
    <row r="27" spans="1:25" ht="60.75">
      <c r="A27" s="116">
        <v>26</v>
      </c>
      <c r="B27" s="73" t="s">
        <v>92</v>
      </c>
      <c r="C27" s="73" t="s">
        <v>1563</v>
      </c>
      <c r="D27" s="73" t="s">
        <v>91</v>
      </c>
      <c r="E27" s="73" t="s">
        <v>1588</v>
      </c>
      <c r="F27" s="73" t="s">
        <v>1565</v>
      </c>
      <c r="G27" s="73" t="s">
        <v>1566</v>
      </c>
      <c r="H27" s="73" t="s">
        <v>1589</v>
      </c>
      <c r="I27" s="53" t="s">
        <v>1590</v>
      </c>
      <c r="J27" s="73" t="s">
        <v>1591</v>
      </c>
      <c r="K27" s="73">
        <v>1</v>
      </c>
      <c r="L27" s="53" t="s">
        <v>776</v>
      </c>
      <c r="M27" s="53" t="s">
        <v>354</v>
      </c>
      <c r="N27" s="53" t="str">
        <f>IFERROR(VLOOKUP(TRIM(M27),Mapping!$A:$B,2,FALSE),"")</f>
        <v>Project_015</v>
      </c>
      <c r="O27" s="53" t="s">
        <v>26</v>
      </c>
      <c r="P27" s="73" t="s">
        <v>1582</v>
      </c>
      <c r="Q27" s="73" t="s">
        <v>1572</v>
      </c>
      <c r="R27" s="73" t="s">
        <v>1573</v>
      </c>
      <c r="S27" s="73"/>
      <c r="T27" s="73"/>
      <c r="U27" s="73" t="s">
        <v>1574</v>
      </c>
      <c r="V27" s="73" t="s">
        <v>1575</v>
      </c>
      <c r="W27" s="73" t="s">
        <v>1576</v>
      </c>
      <c r="X27" s="73"/>
      <c r="Y27" s="73" t="s">
        <v>1577</v>
      </c>
    </row>
    <row r="28" spans="1:25" ht="60.75">
      <c r="A28" s="116">
        <v>27</v>
      </c>
      <c r="B28" s="73" t="s">
        <v>92</v>
      </c>
      <c r="C28" s="73" t="s">
        <v>1563</v>
      </c>
      <c r="D28" s="73" t="s">
        <v>91</v>
      </c>
      <c r="E28" s="73" t="s">
        <v>1588</v>
      </c>
      <c r="F28" s="73" t="s">
        <v>1565</v>
      </c>
      <c r="G28" s="73" t="s">
        <v>1566</v>
      </c>
      <c r="H28" s="73" t="s">
        <v>1589</v>
      </c>
      <c r="I28" s="53" t="s">
        <v>1590</v>
      </c>
      <c r="J28" s="73" t="s">
        <v>1591</v>
      </c>
      <c r="K28" s="73">
        <v>1</v>
      </c>
      <c r="L28" s="53" t="s">
        <v>796</v>
      </c>
      <c r="M28" s="53" t="s">
        <v>387</v>
      </c>
      <c r="N28" s="53" t="str">
        <f>IFERROR(VLOOKUP(TRIM(M28),Mapping!$A:$B,2,FALSE),"")</f>
        <v>Project_020</v>
      </c>
      <c r="O28" s="53" t="s">
        <v>1581</v>
      </c>
      <c r="P28" s="73" t="s">
        <v>1583</v>
      </c>
      <c r="Q28" s="73" t="s">
        <v>1572</v>
      </c>
      <c r="R28" s="73" t="s">
        <v>1573</v>
      </c>
      <c r="S28" s="73"/>
      <c r="T28" s="73"/>
      <c r="U28" s="73" t="s">
        <v>1574</v>
      </c>
      <c r="V28" s="73" t="s">
        <v>1575</v>
      </c>
      <c r="W28" s="73" t="s">
        <v>1576</v>
      </c>
      <c r="X28" s="73"/>
      <c r="Y28" s="73" t="s">
        <v>1577</v>
      </c>
    </row>
    <row r="29" spans="1:25" ht="60.75">
      <c r="A29" s="116">
        <v>28</v>
      </c>
      <c r="B29" s="73" t="s">
        <v>92</v>
      </c>
      <c r="C29" s="73" t="s">
        <v>1563</v>
      </c>
      <c r="D29" s="73" t="s">
        <v>91</v>
      </c>
      <c r="E29" s="73" t="s">
        <v>1588</v>
      </c>
      <c r="F29" s="73" t="s">
        <v>1565</v>
      </c>
      <c r="G29" s="73" t="s">
        <v>1566</v>
      </c>
      <c r="H29" s="73" t="s">
        <v>1589</v>
      </c>
      <c r="I29" s="53" t="s">
        <v>1590</v>
      </c>
      <c r="J29" s="73" t="s">
        <v>1591</v>
      </c>
      <c r="K29" s="73">
        <v>1</v>
      </c>
      <c r="L29" s="53" t="s">
        <v>808</v>
      </c>
      <c r="M29" s="53" t="s">
        <v>348</v>
      </c>
      <c r="N29" s="53" t="str">
        <f>IFERROR(VLOOKUP(TRIM(M29),Mapping!$A:$B,2,FALSE),"")</f>
        <v>Project_014</v>
      </c>
      <c r="O29" s="53" t="s">
        <v>4</v>
      </c>
      <c r="P29" s="73" t="s">
        <v>1582</v>
      </c>
      <c r="Q29" s="73" t="s">
        <v>1572</v>
      </c>
      <c r="R29" s="73" t="s">
        <v>1573</v>
      </c>
      <c r="S29" s="73"/>
      <c r="T29" s="73"/>
      <c r="U29" s="73" t="s">
        <v>1574</v>
      </c>
      <c r="V29" s="73" t="s">
        <v>1575</v>
      </c>
      <c r="W29" s="73" t="s">
        <v>1576</v>
      </c>
      <c r="X29" s="73"/>
      <c r="Y29" s="73" t="s">
        <v>1577</v>
      </c>
    </row>
    <row r="30" spans="1:25" ht="60.75">
      <c r="A30" s="116">
        <v>29</v>
      </c>
      <c r="B30" s="73" t="s">
        <v>92</v>
      </c>
      <c r="C30" s="73" t="s">
        <v>1563</v>
      </c>
      <c r="D30" s="73" t="s">
        <v>91</v>
      </c>
      <c r="E30" s="73" t="s">
        <v>1588</v>
      </c>
      <c r="F30" s="73" t="s">
        <v>1565</v>
      </c>
      <c r="G30" s="73" t="s">
        <v>1566</v>
      </c>
      <c r="H30" s="73" t="s">
        <v>1589</v>
      </c>
      <c r="I30" s="53" t="s">
        <v>1590</v>
      </c>
      <c r="J30" s="73" t="s">
        <v>1591</v>
      </c>
      <c r="K30" s="73">
        <v>1</v>
      </c>
      <c r="L30" s="53" t="s">
        <v>828</v>
      </c>
      <c r="M30" s="53" t="s">
        <v>373</v>
      </c>
      <c r="N30" s="53" t="str">
        <f>IFERROR(VLOOKUP(TRIM(M30),Mapping!$A:$B,2,FALSE),"")</f>
        <v>Project_016</v>
      </c>
      <c r="O30" s="53" t="s">
        <v>1581</v>
      </c>
      <c r="P30" s="73" t="s">
        <v>1571</v>
      </c>
      <c r="Q30" s="73" t="s">
        <v>1572</v>
      </c>
      <c r="R30" s="73" t="s">
        <v>1573</v>
      </c>
      <c r="S30" s="73"/>
      <c r="T30" s="73"/>
      <c r="U30" s="73" t="s">
        <v>1574</v>
      </c>
      <c r="V30" s="73" t="s">
        <v>1575</v>
      </c>
      <c r="W30" s="73" t="s">
        <v>1576</v>
      </c>
      <c r="X30" s="73"/>
      <c r="Y30" s="73" t="s">
        <v>1577</v>
      </c>
    </row>
    <row r="31" spans="1:25" ht="60.75">
      <c r="A31" s="116">
        <v>30</v>
      </c>
      <c r="B31" s="73" t="s">
        <v>92</v>
      </c>
      <c r="C31" s="73" t="s">
        <v>1563</v>
      </c>
      <c r="D31" s="73" t="s">
        <v>91</v>
      </c>
      <c r="E31" s="73" t="s">
        <v>1588</v>
      </c>
      <c r="F31" s="73" t="s">
        <v>1565</v>
      </c>
      <c r="G31" s="73" t="s">
        <v>1566</v>
      </c>
      <c r="H31" s="73" t="s">
        <v>1589</v>
      </c>
      <c r="I31" s="53" t="s">
        <v>1590</v>
      </c>
      <c r="J31" s="73" t="s">
        <v>1591</v>
      </c>
      <c r="K31" s="73">
        <v>1</v>
      </c>
      <c r="L31" s="53" t="s">
        <v>837</v>
      </c>
      <c r="M31" s="53" t="s">
        <v>387</v>
      </c>
      <c r="N31" s="53" t="str">
        <f>IFERROR(VLOOKUP(TRIM(M31),Mapping!$A:$B,2,FALSE),"")</f>
        <v>Project_020</v>
      </c>
      <c r="O31" s="53" t="s">
        <v>936</v>
      </c>
      <c r="P31" s="73" t="s">
        <v>1571</v>
      </c>
      <c r="Q31" s="73" t="s">
        <v>1572</v>
      </c>
      <c r="R31" s="73" t="s">
        <v>1573</v>
      </c>
      <c r="S31" s="73"/>
      <c r="T31" s="73"/>
      <c r="U31" s="73" t="s">
        <v>1574</v>
      </c>
      <c r="V31" s="73" t="s">
        <v>1575</v>
      </c>
      <c r="W31" s="73" t="s">
        <v>1576</v>
      </c>
      <c r="X31" s="73"/>
      <c r="Y31" s="73" t="s">
        <v>1577</v>
      </c>
    </row>
    <row r="32" spans="1:25" ht="60.75">
      <c r="A32" s="116">
        <v>31</v>
      </c>
      <c r="B32" s="73" t="s">
        <v>92</v>
      </c>
      <c r="C32" s="73" t="s">
        <v>1563</v>
      </c>
      <c r="D32" s="73" t="s">
        <v>91</v>
      </c>
      <c r="E32" s="73" t="s">
        <v>1588</v>
      </c>
      <c r="F32" s="73" t="s">
        <v>1565</v>
      </c>
      <c r="G32" s="73" t="s">
        <v>1566</v>
      </c>
      <c r="H32" s="73" t="s">
        <v>1589</v>
      </c>
      <c r="I32" s="53" t="s">
        <v>1590</v>
      </c>
      <c r="J32" s="73" t="s">
        <v>1591</v>
      </c>
      <c r="K32" s="73">
        <v>1</v>
      </c>
      <c r="L32" s="53" t="s">
        <v>849</v>
      </c>
      <c r="M32" s="53" t="s">
        <v>339</v>
      </c>
      <c r="N32" s="53" t="str">
        <f>IFERROR(VLOOKUP(TRIM(M32),Mapping!$A:$B,2,FALSE),"")</f>
        <v>Project_012</v>
      </c>
      <c r="O32" s="53" t="s">
        <v>1581</v>
      </c>
      <c r="P32" s="73" t="s">
        <v>1584</v>
      </c>
      <c r="Q32" s="73" t="s">
        <v>1572</v>
      </c>
      <c r="R32" s="73" t="s">
        <v>1573</v>
      </c>
      <c r="S32" s="73"/>
      <c r="T32" s="73"/>
      <c r="U32" s="73" t="s">
        <v>1574</v>
      </c>
      <c r="V32" s="73" t="s">
        <v>1575</v>
      </c>
      <c r="W32" s="73" t="s">
        <v>1576</v>
      </c>
      <c r="X32" s="73"/>
      <c r="Y32" s="73" t="s">
        <v>1577</v>
      </c>
    </row>
    <row r="33" spans="1:25" ht="60.75">
      <c r="A33" s="116">
        <v>32</v>
      </c>
      <c r="B33" s="73" t="s">
        <v>92</v>
      </c>
      <c r="C33" s="73" t="s">
        <v>1563</v>
      </c>
      <c r="D33" s="73" t="s">
        <v>91</v>
      </c>
      <c r="E33" s="73" t="s">
        <v>1588</v>
      </c>
      <c r="F33" s="73" t="s">
        <v>1565</v>
      </c>
      <c r="G33" s="73" t="s">
        <v>1566</v>
      </c>
      <c r="H33" s="73" t="s">
        <v>1589</v>
      </c>
      <c r="I33" s="53" t="s">
        <v>1590</v>
      </c>
      <c r="J33" s="73" t="s">
        <v>1591</v>
      </c>
      <c r="K33" s="73">
        <v>1</v>
      </c>
      <c r="L33" s="53" t="s">
        <v>862</v>
      </c>
      <c r="M33" s="53" t="s">
        <v>392</v>
      </c>
      <c r="N33" s="53" t="str">
        <f>IFERROR(VLOOKUP(TRIM(M33),Mapping!$A:$B,2,FALSE),"")</f>
        <v>Project_021</v>
      </c>
      <c r="O33" s="53" t="s">
        <v>1592</v>
      </c>
      <c r="P33" s="73" t="s">
        <v>1571</v>
      </c>
      <c r="Q33" s="73" t="s">
        <v>1572</v>
      </c>
      <c r="R33" s="73" t="s">
        <v>1573</v>
      </c>
      <c r="S33" s="73"/>
      <c r="T33" s="73"/>
      <c r="U33" s="73" t="s">
        <v>1574</v>
      </c>
      <c r="V33" s="73" t="s">
        <v>1575</v>
      </c>
      <c r="W33" s="73" t="s">
        <v>1576</v>
      </c>
      <c r="X33" s="73"/>
      <c r="Y33" s="73" t="s">
        <v>1577</v>
      </c>
    </row>
    <row r="34" spans="1:25" ht="60.75">
      <c r="A34" s="116">
        <v>33</v>
      </c>
      <c r="B34" s="73" t="s">
        <v>92</v>
      </c>
      <c r="C34" s="73" t="s">
        <v>1563</v>
      </c>
      <c r="D34" s="73" t="s">
        <v>91</v>
      </c>
      <c r="E34" s="73" t="s">
        <v>1588</v>
      </c>
      <c r="F34" s="73" t="s">
        <v>1565</v>
      </c>
      <c r="G34" s="73" t="s">
        <v>1566</v>
      </c>
      <c r="H34" s="73" t="s">
        <v>1589</v>
      </c>
      <c r="I34" s="53" t="s">
        <v>1590</v>
      </c>
      <c r="J34" s="73" t="s">
        <v>1591</v>
      </c>
      <c r="K34" s="73">
        <v>1</v>
      </c>
      <c r="L34" s="53" t="s">
        <v>877</v>
      </c>
      <c r="M34" s="53" t="s">
        <v>298</v>
      </c>
      <c r="N34" s="53" t="str">
        <f>IFERROR(VLOOKUP(TRIM(M34),Mapping!$A:$B,2,FALSE),"")</f>
        <v>Project_003</v>
      </c>
      <c r="O34" s="53" t="s">
        <v>1581</v>
      </c>
      <c r="P34" s="73" t="s">
        <v>1585</v>
      </c>
      <c r="Q34" s="73" t="s">
        <v>1572</v>
      </c>
      <c r="R34" s="73" t="s">
        <v>1573</v>
      </c>
      <c r="S34" s="73"/>
      <c r="T34" s="73"/>
      <c r="U34" s="73" t="s">
        <v>1574</v>
      </c>
      <c r="V34" s="73" t="s">
        <v>1575</v>
      </c>
      <c r="W34" s="73" t="s">
        <v>1576</v>
      </c>
      <c r="X34" s="73"/>
      <c r="Y34" s="73" t="s">
        <v>1577</v>
      </c>
    </row>
    <row r="35" spans="1:25" ht="60.75">
      <c r="A35" s="116">
        <v>34</v>
      </c>
      <c r="B35" s="73" t="s">
        <v>92</v>
      </c>
      <c r="C35" s="73" t="s">
        <v>1563</v>
      </c>
      <c r="D35" s="73" t="s">
        <v>91</v>
      </c>
      <c r="E35" s="73" t="s">
        <v>1588</v>
      </c>
      <c r="F35" s="73" t="s">
        <v>1565</v>
      </c>
      <c r="G35" s="73" t="s">
        <v>1566</v>
      </c>
      <c r="H35" s="73" t="s">
        <v>1589</v>
      </c>
      <c r="I35" s="53" t="s">
        <v>1590</v>
      </c>
      <c r="J35" s="73" t="s">
        <v>1591</v>
      </c>
      <c r="K35" s="73">
        <v>1</v>
      </c>
      <c r="L35" s="53" t="s">
        <v>885</v>
      </c>
      <c r="M35" s="53" t="s">
        <v>373</v>
      </c>
      <c r="N35" s="53" t="str">
        <f>IFERROR(VLOOKUP(TRIM(M35),Mapping!$A:$B,2,FALSE),"")</f>
        <v>Project_016</v>
      </c>
      <c r="O35" s="53" t="s">
        <v>1579</v>
      </c>
      <c r="P35" s="73" t="s">
        <v>1571</v>
      </c>
      <c r="Q35" s="73" t="s">
        <v>1572</v>
      </c>
      <c r="R35" s="73" t="s">
        <v>1573</v>
      </c>
      <c r="S35" s="73"/>
      <c r="T35" s="73"/>
      <c r="U35" s="73" t="s">
        <v>1574</v>
      </c>
      <c r="V35" s="73" t="s">
        <v>1575</v>
      </c>
      <c r="W35" s="73" t="s">
        <v>1576</v>
      </c>
      <c r="X35" s="73"/>
      <c r="Y35" s="73" t="s">
        <v>1577</v>
      </c>
    </row>
    <row r="36" spans="1:25" ht="60.75">
      <c r="A36" s="116">
        <v>35</v>
      </c>
      <c r="B36" s="73" t="s">
        <v>92</v>
      </c>
      <c r="C36" s="73" t="s">
        <v>1563</v>
      </c>
      <c r="D36" s="73" t="s">
        <v>91</v>
      </c>
      <c r="E36" s="73" t="s">
        <v>1588</v>
      </c>
      <c r="F36" s="73" t="s">
        <v>1565</v>
      </c>
      <c r="G36" s="73" t="s">
        <v>1566</v>
      </c>
      <c r="H36" s="73" t="s">
        <v>1589</v>
      </c>
      <c r="I36" s="53" t="s">
        <v>1590</v>
      </c>
      <c r="J36" s="73" t="s">
        <v>1591</v>
      </c>
      <c r="K36" s="73">
        <v>1</v>
      </c>
      <c r="L36" s="53" t="s">
        <v>903</v>
      </c>
      <c r="M36" s="53" t="s">
        <v>298</v>
      </c>
      <c r="N36" s="53" t="str">
        <f>IFERROR(VLOOKUP(TRIM(M36),Mapping!$A:$B,2,FALSE),"")</f>
        <v>Project_003</v>
      </c>
      <c r="O36" s="53" t="s">
        <v>18</v>
      </c>
      <c r="P36" s="73" t="s">
        <v>1582</v>
      </c>
      <c r="Q36" s="73" t="s">
        <v>1572</v>
      </c>
      <c r="R36" s="73" t="s">
        <v>1573</v>
      </c>
      <c r="S36" s="73"/>
      <c r="T36" s="73"/>
      <c r="U36" s="73" t="s">
        <v>1574</v>
      </c>
      <c r="V36" s="73" t="s">
        <v>1575</v>
      </c>
      <c r="W36" s="73" t="s">
        <v>1576</v>
      </c>
      <c r="X36" s="73"/>
      <c r="Y36" s="73" t="s">
        <v>1577</v>
      </c>
    </row>
    <row r="37" spans="1:25" ht="60.75">
      <c r="A37" s="116">
        <v>36</v>
      </c>
      <c r="B37" s="73" t="s">
        <v>92</v>
      </c>
      <c r="C37" s="73" t="s">
        <v>1563</v>
      </c>
      <c r="D37" s="73" t="s">
        <v>91</v>
      </c>
      <c r="E37" s="73" t="s">
        <v>1588</v>
      </c>
      <c r="F37" s="73" t="s">
        <v>1565</v>
      </c>
      <c r="G37" s="73" t="s">
        <v>1566</v>
      </c>
      <c r="H37" s="73" t="s">
        <v>1589</v>
      </c>
      <c r="I37" s="53" t="s">
        <v>1590</v>
      </c>
      <c r="J37" s="73" t="s">
        <v>1591</v>
      </c>
      <c r="K37" s="73">
        <v>1</v>
      </c>
      <c r="L37" s="53" t="s">
        <v>912</v>
      </c>
      <c r="M37" s="53" t="s">
        <v>501</v>
      </c>
      <c r="N37" s="53" t="str">
        <f>IFERROR(VLOOKUP(TRIM(M37),Mapping!$A:$B,2,FALSE),"")</f>
        <v>Project_029</v>
      </c>
      <c r="O37" s="53" t="s">
        <v>18</v>
      </c>
      <c r="P37" s="73" t="s">
        <v>1571</v>
      </c>
      <c r="Q37" s="73" t="s">
        <v>1572</v>
      </c>
      <c r="R37" s="73" t="s">
        <v>1573</v>
      </c>
      <c r="S37" s="73"/>
      <c r="T37" s="73"/>
      <c r="U37" s="73" t="s">
        <v>1574</v>
      </c>
      <c r="V37" s="73" t="s">
        <v>1575</v>
      </c>
      <c r="W37" s="73" t="s">
        <v>1576</v>
      </c>
      <c r="X37" s="73"/>
      <c r="Y37" s="73" t="s">
        <v>1577</v>
      </c>
    </row>
    <row r="38" spans="1:25" ht="60.75">
      <c r="A38" s="116">
        <v>37</v>
      </c>
      <c r="B38" s="73" t="s">
        <v>92</v>
      </c>
      <c r="C38" s="73" t="s">
        <v>1563</v>
      </c>
      <c r="D38" s="73" t="s">
        <v>91</v>
      </c>
      <c r="E38" s="73" t="s">
        <v>1588</v>
      </c>
      <c r="F38" s="73" t="s">
        <v>1565</v>
      </c>
      <c r="G38" s="73" t="s">
        <v>1566</v>
      </c>
      <c r="H38" s="73" t="s">
        <v>1589</v>
      </c>
      <c r="I38" s="53" t="s">
        <v>1590</v>
      </c>
      <c r="J38" s="73" t="s">
        <v>1591</v>
      </c>
      <c r="K38" s="73">
        <v>1</v>
      </c>
      <c r="L38" s="53" t="s">
        <v>932</v>
      </c>
      <c r="M38" s="53" t="s">
        <v>373</v>
      </c>
      <c r="N38" s="53" t="str">
        <f>IFERROR(VLOOKUP(TRIM(M38),Mapping!$A:$B,2,FALSE),"")</f>
        <v>Project_016</v>
      </c>
      <c r="O38" s="53" t="s">
        <v>18</v>
      </c>
      <c r="P38" s="73" t="s">
        <v>1571</v>
      </c>
      <c r="Q38" s="73" t="s">
        <v>1572</v>
      </c>
      <c r="R38" s="73" t="s">
        <v>1573</v>
      </c>
      <c r="S38" s="73"/>
      <c r="T38" s="73"/>
      <c r="U38" s="73" t="s">
        <v>1574</v>
      </c>
      <c r="V38" s="73" t="s">
        <v>1575</v>
      </c>
      <c r="W38" s="73" t="s">
        <v>1576</v>
      </c>
      <c r="X38" s="73"/>
      <c r="Y38" s="73" t="s">
        <v>1577</v>
      </c>
    </row>
    <row r="39" spans="1:25" ht="60.75">
      <c r="A39" s="116">
        <v>38</v>
      </c>
      <c r="B39" s="73" t="s">
        <v>92</v>
      </c>
      <c r="C39" s="73" t="s">
        <v>1563</v>
      </c>
      <c r="D39" s="73" t="s">
        <v>91</v>
      </c>
      <c r="E39" s="73" t="s">
        <v>1588</v>
      </c>
      <c r="F39" s="73" t="s">
        <v>1565</v>
      </c>
      <c r="G39" s="73" t="s">
        <v>1566</v>
      </c>
      <c r="H39" s="73" t="s">
        <v>1589</v>
      </c>
      <c r="I39" s="53" t="s">
        <v>1590</v>
      </c>
      <c r="J39" s="73" t="s">
        <v>1591</v>
      </c>
      <c r="K39" s="73">
        <v>1</v>
      </c>
      <c r="L39" s="53" t="s">
        <v>945</v>
      </c>
      <c r="M39" s="53" t="s">
        <v>387</v>
      </c>
      <c r="N39" s="53" t="str">
        <f>IFERROR(VLOOKUP(TRIM(M39),Mapping!$A:$B,2,FALSE),"")</f>
        <v>Project_020</v>
      </c>
      <c r="O39" s="53" t="s">
        <v>18</v>
      </c>
      <c r="P39" s="73" t="s">
        <v>1585</v>
      </c>
      <c r="Q39" s="73" t="s">
        <v>1572</v>
      </c>
      <c r="R39" s="73" t="s">
        <v>1573</v>
      </c>
      <c r="S39" s="73"/>
      <c r="T39" s="73"/>
      <c r="U39" s="73" t="s">
        <v>1574</v>
      </c>
      <c r="V39" s="73" t="s">
        <v>1575</v>
      </c>
      <c r="W39" s="73" t="s">
        <v>1576</v>
      </c>
      <c r="X39" s="73"/>
      <c r="Y39" s="73" t="s">
        <v>1577</v>
      </c>
    </row>
    <row r="40" spans="1:25" ht="60.75">
      <c r="A40" s="116">
        <v>39</v>
      </c>
      <c r="B40" s="73" t="s">
        <v>92</v>
      </c>
      <c r="C40" s="73" t="s">
        <v>1563</v>
      </c>
      <c r="D40" s="73" t="s">
        <v>91</v>
      </c>
      <c r="E40" s="73" t="s">
        <v>1588</v>
      </c>
      <c r="F40" s="73" t="s">
        <v>1565</v>
      </c>
      <c r="G40" s="73" t="s">
        <v>1566</v>
      </c>
      <c r="H40" s="73" t="s">
        <v>1589</v>
      </c>
      <c r="I40" s="53" t="s">
        <v>1590</v>
      </c>
      <c r="J40" s="73" t="s">
        <v>1591</v>
      </c>
      <c r="K40" s="73">
        <v>1</v>
      </c>
      <c r="L40" s="53" t="s">
        <v>959</v>
      </c>
      <c r="M40" s="53" t="s">
        <v>339</v>
      </c>
      <c r="N40" s="53" t="str">
        <f>IFERROR(VLOOKUP(TRIM(M40),Mapping!$A:$B,2,FALSE),"")</f>
        <v>Project_012</v>
      </c>
      <c r="O40" s="53" t="s">
        <v>1581</v>
      </c>
      <c r="P40" s="73" t="s">
        <v>1584</v>
      </c>
      <c r="Q40" s="73" t="s">
        <v>1572</v>
      </c>
      <c r="R40" s="73" t="s">
        <v>1573</v>
      </c>
      <c r="S40" s="73"/>
      <c r="T40" s="73"/>
      <c r="U40" s="73" t="s">
        <v>1574</v>
      </c>
      <c r="V40" s="73" t="s">
        <v>1575</v>
      </c>
      <c r="W40" s="73" t="s">
        <v>1576</v>
      </c>
      <c r="X40" s="73"/>
      <c r="Y40" s="73" t="s">
        <v>1577</v>
      </c>
    </row>
    <row r="41" spans="1:25" ht="60.75">
      <c r="A41" s="116">
        <v>40</v>
      </c>
      <c r="B41" s="73" t="s">
        <v>92</v>
      </c>
      <c r="C41" s="73" t="s">
        <v>1563</v>
      </c>
      <c r="D41" s="73" t="s">
        <v>91</v>
      </c>
      <c r="E41" s="73" t="s">
        <v>1588</v>
      </c>
      <c r="F41" s="73" t="s">
        <v>1565</v>
      </c>
      <c r="G41" s="73" t="s">
        <v>1566</v>
      </c>
      <c r="H41" s="73" t="s">
        <v>1589</v>
      </c>
      <c r="I41" s="53" t="s">
        <v>1590</v>
      </c>
      <c r="J41" s="73" t="s">
        <v>1591</v>
      </c>
      <c r="K41" s="73">
        <v>1</v>
      </c>
      <c r="L41" s="53" t="s">
        <v>973</v>
      </c>
      <c r="M41" s="53" t="s">
        <v>468</v>
      </c>
      <c r="N41" s="53" t="str">
        <f>IFERROR(VLOOKUP(TRIM(M41),Mapping!$A:$B,2,FALSE),"")</f>
        <v>Project_027</v>
      </c>
      <c r="O41" s="53" t="s">
        <v>18</v>
      </c>
      <c r="P41" s="73" t="s">
        <v>1571</v>
      </c>
      <c r="Q41" s="73" t="s">
        <v>1572</v>
      </c>
      <c r="R41" s="73" t="s">
        <v>1573</v>
      </c>
      <c r="S41" s="73"/>
      <c r="T41" s="73"/>
      <c r="U41" s="73" t="s">
        <v>1574</v>
      </c>
      <c r="V41" s="73" t="s">
        <v>1575</v>
      </c>
      <c r="W41" s="73" t="s">
        <v>1576</v>
      </c>
      <c r="X41" s="73"/>
      <c r="Y41" s="73" t="s">
        <v>1577</v>
      </c>
    </row>
    <row r="42" spans="1:25" ht="60.75">
      <c r="A42" s="116">
        <v>41</v>
      </c>
      <c r="B42" s="73" t="s">
        <v>92</v>
      </c>
      <c r="C42" s="73" t="s">
        <v>1563</v>
      </c>
      <c r="D42" s="73" t="s">
        <v>91</v>
      </c>
      <c r="E42" s="73" t="s">
        <v>1588</v>
      </c>
      <c r="F42" s="73" t="s">
        <v>1565</v>
      </c>
      <c r="G42" s="73" t="s">
        <v>1566</v>
      </c>
      <c r="H42" s="73" t="s">
        <v>1589</v>
      </c>
      <c r="I42" s="53" t="s">
        <v>1590</v>
      </c>
      <c r="J42" s="73" t="s">
        <v>1591</v>
      </c>
      <c r="K42" s="73">
        <v>1</v>
      </c>
      <c r="L42" s="53" t="s">
        <v>984</v>
      </c>
      <c r="M42" s="53" t="s">
        <v>341</v>
      </c>
      <c r="N42" s="53" t="str">
        <f>IFERROR(VLOOKUP(TRIM(M42),Mapping!$A:$B,2,FALSE),"")</f>
        <v>Project_013</v>
      </c>
      <c r="O42" s="53" t="s">
        <v>4</v>
      </c>
      <c r="P42" s="73" t="s">
        <v>1571</v>
      </c>
      <c r="Q42" s="73" t="s">
        <v>1572</v>
      </c>
      <c r="R42" s="73" t="s">
        <v>1573</v>
      </c>
      <c r="S42" s="73"/>
      <c r="T42" s="73"/>
      <c r="U42" s="73" t="s">
        <v>1574</v>
      </c>
      <c r="V42" s="73" t="s">
        <v>1575</v>
      </c>
      <c r="W42" s="73" t="s">
        <v>1576</v>
      </c>
      <c r="X42" s="73"/>
      <c r="Y42" s="73" t="s">
        <v>1577</v>
      </c>
    </row>
    <row r="43" spans="1:25" ht="60.75">
      <c r="A43" s="116">
        <v>42</v>
      </c>
      <c r="B43" s="73" t="s">
        <v>92</v>
      </c>
      <c r="C43" s="73" t="s">
        <v>1563</v>
      </c>
      <c r="D43" s="73" t="s">
        <v>91</v>
      </c>
      <c r="E43" s="73" t="s">
        <v>1588</v>
      </c>
      <c r="F43" s="73" t="s">
        <v>1565</v>
      </c>
      <c r="G43" s="73" t="s">
        <v>1566</v>
      </c>
      <c r="H43" s="73" t="s">
        <v>1589</v>
      </c>
      <c r="I43" s="53" t="s">
        <v>1590</v>
      </c>
      <c r="J43" s="73" t="s">
        <v>1591</v>
      </c>
      <c r="K43" s="73">
        <v>1</v>
      </c>
      <c r="L43" s="53" t="s">
        <v>994</v>
      </c>
      <c r="M43" s="53" t="s">
        <v>305</v>
      </c>
      <c r="N43" s="53" t="str">
        <f>IFERROR(VLOOKUP(TRIM(M43),Mapping!$A:$B,2,FALSE),"")</f>
        <v>Project_005</v>
      </c>
      <c r="O43" s="53" t="s">
        <v>18</v>
      </c>
      <c r="P43" s="73" t="s">
        <v>1582</v>
      </c>
      <c r="Q43" s="73" t="s">
        <v>1572</v>
      </c>
      <c r="R43" s="73" t="s">
        <v>1573</v>
      </c>
      <c r="S43" s="73"/>
      <c r="T43" s="73"/>
      <c r="U43" s="73" t="s">
        <v>1574</v>
      </c>
      <c r="V43" s="73" t="s">
        <v>1575</v>
      </c>
      <c r="W43" s="73" t="s">
        <v>1576</v>
      </c>
      <c r="X43" s="73"/>
      <c r="Y43" s="73" t="s">
        <v>1577</v>
      </c>
    </row>
    <row r="44" spans="1:25" ht="60.75">
      <c r="A44" s="116">
        <v>43</v>
      </c>
      <c r="B44" s="73" t="s">
        <v>92</v>
      </c>
      <c r="C44" s="73" t="s">
        <v>1563</v>
      </c>
      <c r="D44" s="73" t="s">
        <v>91</v>
      </c>
      <c r="E44" s="73" t="s">
        <v>1588</v>
      </c>
      <c r="F44" s="73" t="s">
        <v>1565</v>
      </c>
      <c r="G44" s="73" t="s">
        <v>1566</v>
      </c>
      <c r="H44" s="73" t="s">
        <v>1589</v>
      </c>
      <c r="I44" s="53" t="s">
        <v>1590</v>
      </c>
      <c r="J44" s="73" t="s">
        <v>1591</v>
      </c>
      <c r="K44" s="73">
        <v>1</v>
      </c>
      <c r="L44" s="53" t="s">
        <v>1002</v>
      </c>
      <c r="M44" s="53" t="s">
        <v>301</v>
      </c>
      <c r="N44" s="53" t="str">
        <f>IFERROR(VLOOKUP(TRIM(M44),Mapping!$A:$B,2,FALSE),"")</f>
        <v>Project_004</v>
      </c>
      <c r="O44" s="53" t="s">
        <v>18</v>
      </c>
      <c r="P44" s="73" t="s">
        <v>1571</v>
      </c>
      <c r="Q44" s="73" t="s">
        <v>1572</v>
      </c>
      <c r="R44" s="73" t="s">
        <v>1573</v>
      </c>
      <c r="S44" s="73"/>
      <c r="T44" s="73"/>
      <c r="U44" s="73" t="s">
        <v>1574</v>
      </c>
      <c r="V44" s="73" t="s">
        <v>1575</v>
      </c>
      <c r="W44" s="73" t="s">
        <v>1576</v>
      </c>
      <c r="X44" s="73"/>
      <c r="Y44" s="73" t="s">
        <v>1577</v>
      </c>
    </row>
    <row r="45" spans="1:25" ht="60.75">
      <c r="A45" s="116">
        <v>44</v>
      </c>
      <c r="B45" s="73" t="s">
        <v>92</v>
      </c>
      <c r="C45" s="73" t="s">
        <v>1563</v>
      </c>
      <c r="D45" s="73" t="s">
        <v>91</v>
      </c>
      <c r="E45" s="73" t="s">
        <v>1588</v>
      </c>
      <c r="F45" s="73" t="s">
        <v>1565</v>
      </c>
      <c r="G45" s="73" t="s">
        <v>1566</v>
      </c>
      <c r="H45" s="73" t="s">
        <v>1589</v>
      </c>
      <c r="I45" s="53" t="s">
        <v>1590</v>
      </c>
      <c r="J45" s="73" t="s">
        <v>1591</v>
      </c>
      <c r="K45" s="73">
        <v>1</v>
      </c>
      <c r="L45" s="53" t="s">
        <v>1015</v>
      </c>
      <c r="M45" s="53" t="s">
        <v>468</v>
      </c>
      <c r="N45" s="53" t="str">
        <f>IFERROR(VLOOKUP(TRIM(M45),Mapping!$A:$B,2,FALSE),"")</f>
        <v>Project_027</v>
      </c>
      <c r="O45" s="53" t="s">
        <v>4</v>
      </c>
      <c r="P45" s="73" t="s">
        <v>1571</v>
      </c>
      <c r="Q45" s="73" t="s">
        <v>1572</v>
      </c>
      <c r="R45" s="73" t="s">
        <v>1573</v>
      </c>
      <c r="S45" s="73"/>
      <c r="T45" s="73"/>
      <c r="U45" s="73" t="s">
        <v>1574</v>
      </c>
      <c r="V45" s="73" t="s">
        <v>1575</v>
      </c>
      <c r="W45" s="73" t="s">
        <v>1576</v>
      </c>
      <c r="X45" s="73"/>
      <c r="Y45" s="73" t="s">
        <v>1577</v>
      </c>
    </row>
    <row r="46" spans="1:25" ht="60.75">
      <c r="A46" s="116">
        <v>45</v>
      </c>
      <c r="B46" s="73" t="s">
        <v>92</v>
      </c>
      <c r="C46" s="73" t="s">
        <v>1563</v>
      </c>
      <c r="D46" s="73" t="s">
        <v>91</v>
      </c>
      <c r="E46" s="73" t="s">
        <v>1588</v>
      </c>
      <c r="F46" s="73" t="s">
        <v>1565</v>
      </c>
      <c r="G46" s="73" t="s">
        <v>1566</v>
      </c>
      <c r="H46" s="73" t="s">
        <v>1589</v>
      </c>
      <c r="I46" s="53" t="s">
        <v>1590</v>
      </c>
      <c r="J46" s="73" t="s">
        <v>1591</v>
      </c>
      <c r="K46" s="73">
        <v>1</v>
      </c>
      <c r="L46" s="53" t="s">
        <v>1025</v>
      </c>
      <c r="M46" s="53" t="s">
        <v>301</v>
      </c>
      <c r="N46" s="53" t="str">
        <f>IFERROR(VLOOKUP(TRIM(M46),Mapping!$A:$B,2,FALSE),"")</f>
        <v>Project_004</v>
      </c>
      <c r="O46" s="53" t="s">
        <v>1592</v>
      </c>
      <c r="P46" s="73" t="s">
        <v>1571</v>
      </c>
      <c r="Q46" s="73" t="s">
        <v>1572</v>
      </c>
      <c r="R46" s="73" t="s">
        <v>1573</v>
      </c>
      <c r="S46" s="73"/>
      <c r="T46" s="73"/>
      <c r="U46" s="73" t="s">
        <v>1574</v>
      </c>
      <c r="V46" s="73" t="s">
        <v>1575</v>
      </c>
      <c r="W46" s="73" t="s">
        <v>1576</v>
      </c>
      <c r="X46" s="73"/>
      <c r="Y46" s="73" t="s">
        <v>1577</v>
      </c>
    </row>
    <row r="47" spans="1:25" ht="60.75">
      <c r="A47" s="116">
        <v>46</v>
      </c>
      <c r="B47" s="73" t="s">
        <v>92</v>
      </c>
      <c r="C47" s="73" t="s">
        <v>1563</v>
      </c>
      <c r="D47" s="73" t="s">
        <v>91</v>
      </c>
      <c r="E47" s="73" t="s">
        <v>1588</v>
      </c>
      <c r="F47" s="73" t="s">
        <v>1565</v>
      </c>
      <c r="G47" s="73" t="s">
        <v>1566</v>
      </c>
      <c r="H47" s="73" t="s">
        <v>1589</v>
      </c>
      <c r="I47" s="53" t="s">
        <v>1590</v>
      </c>
      <c r="J47" s="73" t="s">
        <v>1591</v>
      </c>
      <c r="K47" s="73">
        <v>1</v>
      </c>
      <c r="L47" s="53" t="s">
        <v>1039</v>
      </c>
      <c r="M47" s="53" t="s">
        <v>413</v>
      </c>
      <c r="N47" s="53" t="str">
        <f>IFERROR(VLOOKUP(TRIM(M47),Mapping!$A:$B,2,FALSE),"")</f>
        <v>Project_023</v>
      </c>
      <c r="O47" s="53" t="s">
        <v>4</v>
      </c>
      <c r="P47" s="73" t="s">
        <v>1571</v>
      </c>
      <c r="Q47" s="73" t="s">
        <v>1572</v>
      </c>
      <c r="R47" s="73" t="s">
        <v>1573</v>
      </c>
      <c r="S47" s="73"/>
      <c r="T47" s="73"/>
      <c r="U47" s="73" t="s">
        <v>1574</v>
      </c>
      <c r="V47" s="73" t="s">
        <v>1575</v>
      </c>
      <c r="W47" s="73" t="s">
        <v>1576</v>
      </c>
      <c r="X47" s="73"/>
      <c r="Y47" s="73" t="s">
        <v>1577</v>
      </c>
    </row>
    <row r="48" spans="1:25" ht="60.75">
      <c r="A48" s="116">
        <v>47</v>
      </c>
      <c r="B48" s="73" t="s">
        <v>92</v>
      </c>
      <c r="C48" s="73" t="s">
        <v>1563</v>
      </c>
      <c r="D48" s="73" t="s">
        <v>91</v>
      </c>
      <c r="E48" s="73" t="s">
        <v>1588</v>
      </c>
      <c r="F48" s="73" t="s">
        <v>1565</v>
      </c>
      <c r="G48" s="73" t="s">
        <v>1566</v>
      </c>
      <c r="H48" s="73" t="s">
        <v>1589</v>
      </c>
      <c r="I48" s="53" t="s">
        <v>1590</v>
      </c>
      <c r="J48" s="73" t="s">
        <v>1591</v>
      </c>
      <c r="K48" s="73">
        <v>1</v>
      </c>
      <c r="L48" s="53" t="s">
        <v>1049</v>
      </c>
      <c r="M48" s="53" t="s">
        <v>348</v>
      </c>
      <c r="N48" s="53" t="str">
        <f>IFERROR(VLOOKUP(TRIM(M48),Mapping!$A:$B,2,FALSE),"")</f>
        <v>Project_014</v>
      </c>
      <c r="O48" s="53" t="s">
        <v>4</v>
      </c>
      <c r="P48" s="73" t="s">
        <v>1571</v>
      </c>
      <c r="Q48" s="73" t="s">
        <v>1572</v>
      </c>
      <c r="R48" s="73" t="s">
        <v>1573</v>
      </c>
      <c r="S48" s="73"/>
      <c r="T48" s="73"/>
      <c r="U48" s="73" t="s">
        <v>1574</v>
      </c>
      <c r="V48" s="73" t="s">
        <v>1575</v>
      </c>
      <c r="W48" s="73" t="s">
        <v>1576</v>
      </c>
      <c r="X48" s="73"/>
      <c r="Y48" s="73" t="s">
        <v>1577</v>
      </c>
    </row>
    <row r="49" spans="1:25" ht="60.75">
      <c r="A49" s="116">
        <v>48</v>
      </c>
      <c r="B49" s="73" t="s">
        <v>92</v>
      </c>
      <c r="C49" s="73" t="s">
        <v>1563</v>
      </c>
      <c r="D49" s="73" t="s">
        <v>91</v>
      </c>
      <c r="E49" s="73" t="s">
        <v>1588</v>
      </c>
      <c r="F49" s="73" t="s">
        <v>1565</v>
      </c>
      <c r="G49" s="73" t="s">
        <v>1566</v>
      </c>
      <c r="H49" s="73" t="s">
        <v>1589</v>
      </c>
      <c r="I49" s="53" t="s">
        <v>1590</v>
      </c>
      <c r="J49" s="73" t="s">
        <v>1591</v>
      </c>
      <c r="K49" s="73">
        <v>1</v>
      </c>
      <c r="L49" s="53" t="s">
        <v>1059</v>
      </c>
      <c r="M49" s="53" t="s">
        <v>348</v>
      </c>
      <c r="N49" s="53" t="str">
        <f>IFERROR(VLOOKUP(TRIM(M49),Mapping!$A:$B,2,FALSE),"")</f>
        <v>Project_014</v>
      </c>
      <c r="O49" s="53" t="s">
        <v>1581</v>
      </c>
      <c r="P49" s="73" t="s">
        <v>1571</v>
      </c>
      <c r="Q49" s="73" t="s">
        <v>1572</v>
      </c>
      <c r="R49" s="73" t="s">
        <v>1573</v>
      </c>
      <c r="S49" s="73"/>
      <c r="T49" s="73"/>
      <c r="U49" s="73" t="s">
        <v>1574</v>
      </c>
      <c r="V49" s="73" t="s">
        <v>1575</v>
      </c>
      <c r="W49" s="73" t="s">
        <v>1576</v>
      </c>
      <c r="X49" s="73"/>
      <c r="Y49" s="73" t="s">
        <v>1577</v>
      </c>
    </row>
    <row r="50" spans="1:25" ht="60.75">
      <c r="A50" s="116">
        <v>49</v>
      </c>
      <c r="B50" s="73" t="s">
        <v>92</v>
      </c>
      <c r="C50" s="73" t="s">
        <v>1563</v>
      </c>
      <c r="D50" s="73" t="s">
        <v>91</v>
      </c>
      <c r="E50" s="73" t="s">
        <v>1588</v>
      </c>
      <c r="F50" s="73" t="s">
        <v>1565</v>
      </c>
      <c r="G50" s="73" t="s">
        <v>1566</v>
      </c>
      <c r="H50" s="73" t="s">
        <v>1589</v>
      </c>
      <c r="I50" s="53" t="s">
        <v>1590</v>
      </c>
      <c r="J50" s="73" t="s">
        <v>1591</v>
      </c>
      <c r="K50" s="73">
        <v>1</v>
      </c>
      <c r="L50" s="53" t="s">
        <v>1068</v>
      </c>
      <c r="M50" s="53" t="s">
        <v>305</v>
      </c>
      <c r="N50" s="53" t="str">
        <f>IFERROR(VLOOKUP(TRIM(M50),Mapping!$A:$B,2,FALSE),"")</f>
        <v>Project_005</v>
      </c>
      <c r="O50" s="53" t="s">
        <v>1593</v>
      </c>
      <c r="P50" s="73" t="s">
        <v>1571</v>
      </c>
      <c r="Q50" s="73" t="s">
        <v>1572</v>
      </c>
      <c r="R50" s="73" t="s">
        <v>1573</v>
      </c>
      <c r="S50" s="73"/>
      <c r="T50" s="73"/>
      <c r="U50" s="73" t="s">
        <v>1574</v>
      </c>
      <c r="V50" s="73" t="s">
        <v>1575</v>
      </c>
      <c r="W50" s="73" t="s">
        <v>1576</v>
      </c>
      <c r="X50" s="73"/>
      <c r="Y50" s="73" t="s">
        <v>1577</v>
      </c>
    </row>
    <row r="51" spans="1:25" ht="60.75">
      <c r="A51" s="116">
        <v>50</v>
      </c>
      <c r="B51" s="73" t="s">
        <v>92</v>
      </c>
      <c r="C51" s="73" t="s">
        <v>1563</v>
      </c>
      <c r="D51" s="73" t="s">
        <v>91</v>
      </c>
      <c r="E51" s="73" t="s">
        <v>1588</v>
      </c>
      <c r="F51" s="73" t="s">
        <v>1565</v>
      </c>
      <c r="G51" s="73" t="s">
        <v>1566</v>
      </c>
      <c r="H51" s="73" t="s">
        <v>1589</v>
      </c>
      <c r="I51" s="53" t="s">
        <v>1590</v>
      </c>
      <c r="J51" s="73" t="s">
        <v>1591</v>
      </c>
      <c r="K51" s="73">
        <v>1</v>
      </c>
      <c r="L51" s="53" t="s">
        <v>1079</v>
      </c>
      <c r="M51" s="53" t="s">
        <v>315</v>
      </c>
      <c r="N51" s="53" t="str">
        <f>IFERROR(VLOOKUP(TRIM(M51),Mapping!$A:$B,2,FALSE),"")</f>
        <v>Project_007</v>
      </c>
      <c r="O51" s="53" t="s">
        <v>784</v>
      </c>
      <c r="P51" s="73" t="s">
        <v>1585</v>
      </c>
      <c r="Q51" s="73" t="s">
        <v>1572</v>
      </c>
      <c r="R51" s="73" t="s">
        <v>1573</v>
      </c>
      <c r="S51" s="73"/>
      <c r="T51" s="73"/>
      <c r="U51" s="73" t="s">
        <v>1574</v>
      </c>
      <c r="V51" s="73" t="s">
        <v>1575</v>
      </c>
      <c r="W51" s="73" t="s">
        <v>1576</v>
      </c>
      <c r="X51" s="73"/>
      <c r="Y51" s="73" t="s">
        <v>1577</v>
      </c>
    </row>
    <row r="52" spans="1:25" ht="60.75">
      <c r="A52" s="116">
        <v>51</v>
      </c>
      <c r="B52" s="73" t="s">
        <v>92</v>
      </c>
      <c r="C52" s="73" t="s">
        <v>1563</v>
      </c>
      <c r="D52" s="73" t="s">
        <v>91</v>
      </c>
      <c r="E52" s="73" t="s">
        <v>1588</v>
      </c>
      <c r="F52" s="73" t="s">
        <v>1565</v>
      </c>
      <c r="G52" s="73" t="s">
        <v>1566</v>
      </c>
      <c r="H52" s="73" t="s">
        <v>1589</v>
      </c>
      <c r="I52" s="53" t="s">
        <v>1590</v>
      </c>
      <c r="J52" s="73" t="s">
        <v>1591</v>
      </c>
      <c r="K52" s="73">
        <v>1</v>
      </c>
      <c r="L52" s="53" t="s">
        <v>1094</v>
      </c>
      <c r="M52" s="53" t="s">
        <v>771</v>
      </c>
      <c r="N52" s="53" t="str">
        <f>IFERROR(VLOOKUP(TRIM(M52),Mapping!$A:$B,2,FALSE),"")</f>
        <v>Project_041</v>
      </c>
      <c r="O52" s="53" t="s">
        <v>696</v>
      </c>
      <c r="P52" s="73" t="s">
        <v>1585</v>
      </c>
      <c r="Q52" s="73" t="s">
        <v>1572</v>
      </c>
      <c r="R52" s="73" t="s">
        <v>1573</v>
      </c>
      <c r="S52" s="73"/>
      <c r="T52" s="73"/>
      <c r="U52" s="73" t="s">
        <v>1574</v>
      </c>
      <c r="V52" s="73" t="s">
        <v>1575</v>
      </c>
      <c r="W52" s="73" t="s">
        <v>1576</v>
      </c>
      <c r="X52" s="73"/>
      <c r="Y52" s="73" t="s">
        <v>1577</v>
      </c>
    </row>
    <row r="53" spans="1:25" ht="60.75">
      <c r="A53" s="116">
        <v>52</v>
      </c>
      <c r="B53" s="73" t="s">
        <v>92</v>
      </c>
      <c r="C53" s="73" t="s">
        <v>1563</v>
      </c>
      <c r="D53" s="73" t="s">
        <v>91</v>
      </c>
      <c r="E53" s="73" t="s">
        <v>1588</v>
      </c>
      <c r="F53" s="73" t="s">
        <v>1565</v>
      </c>
      <c r="G53" s="73" t="s">
        <v>1566</v>
      </c>
      <c r="H53" s="73" t="s">
        <v>1589</v>
      </c>
      <c r="I53" s="53" t="s">
        <v>1590</v>
      </c>
      <c r="J53" s="73" t="s">
        <v>1591</v>
      </c>
      <c r="K53" s="73">
        <v>1</v>
      </c>
      <c r="L53" s="53" t="s">
        <v>1104</v>
      </c>
      <c r="M53" s="53" t="s">
        <v>341</v>
      </c>
      <c r="N53" s="53" t="str">
        <f>IFERROR(VLOOKUP(TRIM(M53),Mapping!$A:$B,2,FALSE),"")</f>
        <v>Project_013</v>
      </c>
      <c r="O53" s="53" t="s">
        <v>4</v>
      </c>
      <c r="P53" s="73" t="s">
        <v>1571</v>
      </c>
      <c r="Q53" s="73" t="s">
        <v>1572</v>
      </c>
      <c r="R53" s="73" t="s">
        <v>1573</v>
      </c>
      <c r="S53" s="73"/>
      <c r="T53" s="73"/>
      <c r="U53" s="73" t="s">
        <v>1574</v>
      </c>
      <c r="V53" s="73" t="s">
        <v>1575</v>
      </c>
      <c r="W53" s="73" t="s">
        <v>1576</v>
      </c>
      <c r="X53" s="73"/>
      <c r="Y53" s="73" t="s">
        <v>1577</v>
      </c>
    </row>
    <row r="54" spans="1:25" ht="60.75">
      <c r="A54" s="116">
        <v>53</v>
      </c>
      <c r="B54" s="73" t="s">
        <v>92</v>
      </c>
      <c r="C54" s="73" t="s">
        <v>1563</v>
      </c>
      <c r="D54" s="73" t="s">
        <v>91</v>
      </c>
      <c r="E54" s="73" t="s">
        <v>1588</v>
      </c>
      <c r="F54" s="73" t="s">
        <v>1565</v>
      </c>
      <c r="G54" s="73" t="s">
        <v>1566</v>
      </c>
      <c r="H54" s="73" t="s">
        <v>1589</v>
      </c>
      <c r="I54" s="53" t="s">
        <v>1590</v>
      </c>
      <c r="J54" s="73" t="s">
        <v>1591</v>
      </c>
      <c r="K54" s="73">
        <v>1</v>
      </c>
      <c r="L54" s="53" t="s">
        <v>1114</v>
      </c>
      <c r="M54" s="53" t="s">
        <v>575</v>
      </c>
      <c r="N54" s="53" t="str">
        <f>IFERROR(VLOOKUP(TRIM(M54),Mapping!$A:$B,2,FALSE),"")</f>
        <v>Project_033</v>
      </c>
      <c r="O54" s="53" t="s">
        <v>1581</v>
      </c>
      <c r="P54" s="73" t="s">
        <v>1571</v>
      </c>
      <c r="Q54" s="73" t="s">
        <v>1572</v>
      </c>
      <c r="R54" s="73" t="s">
        <v>1573</v>
      </c>
      <c r="S54" s="73"/>
      <c r="T54" s="73"/>
      <c r="U54" s="73" t="s">
        <v>1574</v>
      </c>
      <c r="V54" s="73" t="s">
        <v>1575</v>
      </c>
      <c r="W54" s="73" t="s">
        <v>1576</v>
      </c>
      <c r="X54" s="73"/>
      <c r="Y54" s="73" t="s">
        <v>1577</v>
      </c>
    </row>
    <row r="55" spans="1:25" ht="60.75">
      <c r="A55" s="116">
        <v>54</v>
      </c>
      <c r="B55" s="73" t="s">
        <v>92</v>
      </c>
      <c r="C55" s="73" t="s">
        <v>1563</v>
      </c>
      <c r="D55" s="73" t="s">
        <v>91</v>
      </c>
      <c r="E55" s="73" t="s">
        <v>1588</v>
      </c>
      <c r="F55" s="73" t="s">
        <v>1565</v>
      </c>
      <c r="G55" s="73" t="s">
        <v>1566</v>
      </c>
      <c r="H55" s="73" t="s">
        <v>1589</v>
      </c>
      <c r="I55" s="53" t="s">
        <v>1590</v>
      </c>
      <c r="J55" s="73" t="s">
        <v>1591</v>
      </c>
      <c r="K55" s="73">
        <v>1</v>
      </c>
      <c r="L55" s="53" t="s">
        <v>1128</v>
      </c>
      <c r="M55" s="53" t="s">
        <v>298</v>
      </c>
      <c r="N55" s="53" t="str">
        <f>IFERROR(VLOOKUP(TRIM(M55),Mapping!$A:$B,2,FALSE),"")</f>
        <v>Project_003</v>
      </c>
      <c r="O55" s="53" t="s">
        <v>1581</v>
      </c>
      <c r="P55" s="73" t="s">
        <v>1585</v>
      </c>
      <c r="Q55" s="73" t="s">
        <v>1572</v>
      </c>
      <c r="R55" s="73" t="s">
        <v>1573</v>
      </c>
      <c r="S55" s="73"/>
      <c r="T55" s="73"/>
      <c r="U55" s="73" t="s">
        <v>1574</v>
      </c>
      <c r="V55" s="73" t="s">
        <v>1575</v>
      </c>
      <c r="W55" s="73" t="s">
        <v>1576</v>
      </c>
      <c r="X55" s="73"/>
      <c r="Y55" s="73" t="s">
        <v>1577</v>
      </c>
    </row>
    <row r="56" spans="1:25" ht="60.75">
      <c r="A56" s="116">
        <v>55</v>
      </c>
      <c r="B56" s="73" t="s">
        <v>92</v>
      </c>
      <c r="C56" s="73" t="s">
        <v>1563</v>
      </c>
      <c r="D56" s="73" t="s">
        <v>91</v>
      </c>
      <c r="E56" s="73" t="s">
        <v>1588</v>
      </c>
      <c r="F56" s="73" t="s">
        <v>1565</v>
      </c>
      <c r="G56" s="73" t="s">
        <v>1566</v>
      </c>
      <c r="H56" s="73" t="s">
        <v>1589</v>
      </c>
      <c r="I56" s="53" t="s">
        <v>1590</v>
      </c>
      <c r="J56" s="73" t="s">
        <v>1591</v>
      </c>
      <c r="K56" s="73">
        <v>1</v>
      </c>
      <c r="L56" s="53" t="s">
        <v>1137</v>
      </c>
      <c r="M56" s="53" t="s">
        <v>301</v>
      </c>
      <c r="N56" s="53" t="str">
        <f>IFERROR(VLOOKUP(TRIM(M56),Mapping!$A:$B,2,FALSE),"")</f>
        <v>Project_004</v>
      </c>
      <c r="O56" s="53" t="s">
        <v>18</v>
      </c>
      <c r="P56" s="73" t="s">
        <v>1571</v>
      </c>
      <c r="Q56" s="73" t="s">
        <v>1572</v>
      </c>
      <c r="R56" s="73" t="s">
        <v>1573</v>
      </c>
      <c r="S56" s="73"/>
      <c r="T56" s="73"/>
      <c r="U56" s="73" t="s">
        <v>1574</v>
      </c>
      <c r="V56" s="73" t="s">
        <v>1575</v>
      </c>
      <c r="W56" s="73" t="s">
        <v>1576</v>
      </c>
      <c r="X56" s="73"/>
      <c r="Y56" s="73" t="s">
        <v>1577</v>
      </c>
    </row>
    <row r="57" spans="1:25" ht="60.75">
      <c r="A57" s="116">
        <v>56</v>
      </c>
      <c r="B57" s="73" t="s">
        <v>92</v>
      </c>
      <c r="C57" s="73" t="s">
        <v>1563</v>
      </c>
      <c r="D57" s="73" t="s">
        <v>91</v>
      </c>
      <c r="E57" s="73" t="s">
        <v>1588</v>
      </c>
      <c r="F57" s="73" t="s">
        <v>1565</v>
      </c>
      <c r="G57" s="73" t="s">
        <v>1566</v>
      </c>
      <c r="H57" s="73" t="s">
        <v>1589</v>
      </c>
      <c r="I57" s="53" t="s">
        <v>1590</v>
      </c>
      <c r="J57" s="73" t="s">
        <v>1591</v>
      </c>
      <c r="K57" s="73">
        <v>1</v>
      </c>
      <c r="L57" s="53" t="s">
        <v>1153</v>
      </c>
      <c r="M57" s="53" t="s">
        <v>301</v>
      </c>
      <c r="N57" s="53" t="str">
        <f>IFERROR(VLOOKUP(TRIM(M57),Mapping!$A:$B,2,FALSE),"")</f>
        <v>Project_004</v>
      </c>
      <c r="O57" s="53" t="s">
        <v>1581</v>
      </c>
      <c r="P57" s="73" t="s">
        <v>1571</v>
      </c>
      <c r="Q57" s="73" t="s">
        <v>1572</v>
      </c>
      <c r="R57" s="73" t="s">
        <v>1573</v>
      </c>
      <c r="S57" s="73"/>
      <c r="T57" s="73"/>
      <c r="U57" s="73" t="s">
        <v>1574</v>
      </c>
      <c r="V57" s="73" t="s">
        <v>1575</v>
      </c>
      <c r="W57" s="73" t="s">
        <v>1576</v>
      </c>
      <c r="X57" s="73"/>
      <c r="Y57" s="73" t="s">
        <v>1577</v>
      </c>
    </row>
    <row r="58" spans="1:25" ht="60.75">
      <c r="A58" s="116">
        <v>57</v>
      </c>
      <c r="B58" s="73" t="s">
        <v>92</v>
      </c>
      <c r="C58" s="73" t="s">
        <v>1563</v>
      </c>
      <c r="D58" s="73" t="s">
        <v>91</v>
      </c>
      <c r="E58" s="73" t="s">
        <v>1588</v>
      </c>
      <c r="F58" s="73" t="s">
        <v>1565</v>
      </c>
      <c r="G58" s="73" t="s">
        <v>1566</v>
      </c>
      <c r="H58" s="73" t="s">
        <v>1589</v>
      </c>
      <c r="I58" s="53" t="s">
        <v>1590</v>
      </c>
      <c r="J58" s="73" t="s">
        <v>1591</v>
      </c>
      <c r="K58" s="73">
        <v>1</v>
      </c>
      <c r="L58" s="53" t="s">
        <v>1164</v>
      </c>
      <c r="M58" s="53" t="s">
        <v>348</v>
      </c>
      <c r="N58" s="53" t="str">
        <f>IFERROR(VLOOKUP(TRIM(M58),Mapping!$A:$B,2,FALSE),"")</f>
        <v>Project_014</v>
      </c>
      <c r="O58" s="53" t="s">
        <v>1581</v>
      </c>
      <c r="P58" s="73" t="s">
        <v>1571</v>
      </c>
      <c r="Q58" s="73" t="s">
        <v>1572</v>
      </c>
      <c r="R58" s="73" t="s">
        <v>1573</v>
      </c>
      <c r="S58" s="73"/>
      <c r="T58" s="73"/>
      <c r="U58" s="73" t="s">
        <v>1574</v>
      </c>
      <c r="V58" s="73" t="s">
        <v>1575</v>
      </c>
      <c r="W58" s="73" t="s">
        <v>1576</v>
      </c>
      <c r="X58" s="73"/>
      <c r="Y58" s="73" t="s">
        <v>1577</v>
      </c>
    </row>
    <row r="59" spans="1:25" ht="60.75">
      <c r="A59" s="116">
        <v>58</v>
      </c>
      <c r="B59" s="73" t="s">
        <v>92</v>
      </c>
      <c r="C59" s="73" t="s">
        <v>1563</v>
      </c>
      <c r="D59" s="73" t="s">
        <v>91</v>
      </c>
      <c r="E59" s="73" t="s">
        <v>1588</v>
      </c>
      <c r="F59" s="73" t="s">
        <v>1565</v>
      </c>
      <c r="G59" s="73" t="s">
        <v>1566</v>
      </c>
      <c r="H59" s="73" t="s">
        <v>1589</v>
      </c>
      <c r="I59" s="53" t="s">
        <v>1590</v>
      </c>
      <c r="J59" s="73" t="s">
        <v>1591</v>
      </c>
      <c r="K59" s="73">
        <v>1</v>
      </c>
      <c r="L59" s="53" t="s">
        <v>1179</v>
      </c>
      <c r="M59" s="53" t="s">
        <v>305</v>
      </c>
      <c r="N59" s="53" t="str">
        <f>IFERROR(VLOOKUP(TRIM(M59),Mapping!$A:$B,2,FALSE),"")</f>
        <v>Project_005</v>
      </c>
      <c r="O59" s="53" t="s">
        <v>1581</v>
      </c>
      <c r="P59" s="73" t="s">
        <v>1571</v>
      </c>
      <c r="Q59" s="73" t="s">
        <v>1572</v>
      </c>
      <c r="R59" s="73" t="s">
        <v>1573</v>
      </c>
      <c r="S59" s="73"/>
      <c r="T59" s="73"/>
      <c r="U59" s="73" t="s">
        <v>1574</v>
      </c>
      <c r="V59" s="73" t="s">
        <v>1575</v>
      </c>
      <c r="W59" s="73" t="s">
        <v>1576</v>
      </c>
      <c r="X59" s="73"/>
      <c r="Y59" s="73" t="s">
        <v>1577</v>
      </c>
    </row>
    <row r="60" spans="1:25" ht="60.75">
      <c r="A60" s="116">
        <v>59</v>
      </c>
      <c r="B60" s="73" t="s">
        <v>92</v>
      </c>
      <c r="C60" s="73" t="s">
        <v>1563</v>
      </c>
      <c r="D60" s="73" t="s">
        <v>91</v>
      </c>
      <c r="E60" s="73" t="s">
        <v>1588</v>
      </c>
      <c r="F60" s="73" t="s">
        <v>1565</v>
      </c>
      <c r="G60" s="73" t="s">
        <v>1566</v>
      </c>
      <c r="H60" s="73" t="s">
        <v>1589</v>
      </c>
      <c r="I60" s="53" t="s">
        <v>1590</v>
      </c>
      <c r="J60" s="73" t="s">
        <v>1591</v>
      </c>
      <c r="K60" s="73">
        <v>1</v>
      </c>
      <c r="L60" s="53" t="s">
        <v>1195</v>
      </c>
      <c r="M60" s="53" t="s">
        <v>305</v>
      </c>
      <c r="N60" s="53" t="str">
        <f>IFERROR(VLOOKUP(TRIM(M60),Mapping!$A:$B,2,FALSE),"")</f>
        <v>Project_005</v>
      </c>
      <c r="O60" s="53" t="s">
        <v>14</v>
      </c>
      <c r="P60" s="73" t="s">
        <v>1571</v>
      </c>
      <c r="Q60" s="73" t="s">
        <v>1572</v>
      </c>
      <c r="R60" s="73" t="s">
        <v>1573</v>
      </c>
      <c r="S60" s="73"/>
      <c r="T60" s="73"/>
      <c r="U60" s="73" t="s">
        <v>1574</v>
      </c>
      <c r="V60" s="73" t="s">
        <v>1575</v>
      </c>
      <c r="W60" s="73" t="s">
        <v>1576</v>
      </c>
      <c r="X60" s="73"/>
      <c r="Y60" s="73" t="s">
        <v>1577</v>
      </c>
    </row>
    <row r="61" spans="1:25" ht="60.75">
      <c r="A61" s="116">
        <v>60</v>
      </c>
      <c r="B61" s="73" t="s">
        <v>92</v>
      </c>
      <c r="C61" s="73" t="s">
        <v>1563</v>
      </c>
      <c r="D61" s="73" t="s">
        <v>91</v>
      </c>
      <c r="E61" s="73" t="s">
        <v>1588</v>
      </c>
      <c r="F61" s="73" t="s">
        <v>1565</v>
      </c>
      <c r="G61" s="73" t="s">
        <v>1566</v>
      </c>
      <c r="H61" s="73" t="s">
        <v>1589</v>
      </c>
      <c r="I61" s="53" t="s">
        <v>1590</v>
      </c>
      <c r="J61" s="73" t="s">
        <v>1591</v>
      </c>
      <c r="K61" s="73">
        <v>1</v>
      </c>
      <c r="L61" s="53" t="s">
        <v>1208</v>
      </c>
      <c r="M61" s="53" t="s">
        <v>387</v>
      </c>
      <c r="N61" s="53" t="str">
        <f>IFERROR(VLOOKUP(TRIM(M61),Mapping!$A:$B,2,FALSE),"")</f>
        <v>Project_020</v>
      </c>
      <c r="O61" s="53" t="s">
        <v>1592</v>
      </c>
      <c r="P61" s="73" t="s">
        <v>1571</v>
      </c>
      <c r="Q61" s="73" t="s">
        <v>1572</v>
      </c>
      <c r="R61" s="73" t="s">
        <v>1573</v>
      </c>
      <c r="S61" s="73"/>
      <c r="T61" s="73"/>
      <c r="U61" s="73" t="s">
        <v>1574</v>
      </c>
      <c r="V61" s="73" t="s">
        <v>1575</v>
      </c>
      <c r="W61" s="73" t="s">
        <v>1576</v>
      </c>
      <c r="X61" s="73"/>
      <c r="Y61" s="73" t="s">
        <v>1577</v>
      </c>
    </row>
    <row r="62" spans="1:25" ht="60.75">
      <c r="A62" s="116">
        <v>61</v>
      </c>
      <c r="B62" s="73" t="s">
        <v>92</v>
      </c>
      <c r="C62" s="73" t="s">
        <v>1563</v>
      </c>
      <c r="D62" s="73" t="s">
        <v>91</v>
      </c>
      <c r="E62" s="73" t="s">
        <v>1588</v>
      </c>
      <c r="F62" s="73" t="s">
        <v>1565</v>
      </c>
      <c r="G62" s="73" t="s">
        <v>1566</v>
      </c>
      <c r="H62" s="73" t="s">
        <v>1589</v>
      </c>
      <c r="I62" s="53" t="s">
        <v>1590</v>
      </c>
      <c r="J62" s="73" t="s">
        <v>1591</v>
      </c>
      <c r="K62" s="73">
        <v>1</v>
      </c>
      <c r="L62" s="53" t="s">
        <v>1226</v>
      </c>
      <c r="M62" s="53" t="s">
        <v>771</v>
      </c>
      <c r="N62" s="53" t="str">
        <f>IFERROR(VLOOKUP(TRIM(M62),Mapping!$A:$B,2,FALSE),"")</f>
        <v>Project_041</v>
      </c>
      <c r="O62" s="53" t="s">
        <v>4</v>
      </c>
      <c r="P62" s="73" t="s">
        <v>1571</v>
      </c>
      <c r="Q62" s="73" t="s">
        <v>1572</v>
      </c>
      <c r="R62" s="73" t="s">
        <v>1573</v>
      </c>
      <c r="S62" s="73"/>
      <c r="T62" s="73"/>
      <c r="U62" s="73" t="s">
        <v>1574</v>
      </c>
      <c r="V62" s="73" t="s">
        <v>1575</v>
      </c>
      <c r="W62" s="73" t="s">
        <v>1576</v>
      </c>
      <c r="X62" s="73"/>
      <c r="Y62" s="73" t="s">
        <v>1577</v>
      </c>
    </row>
    <row r="63" spans="1:25" ht="60.75">
      <c r="A63" s="116">
        <v>62</v>
      </c>
      <c r="B63" s="73" t="s">
        <v>92</v>
      </c>
      <c r="C63" s="73" t="s">
        <v>1563</v>
      </c>
      <c r="D63" s="73" t="s">
        <v>91</v>
      </c>
      <c r="E63" s="73" t="s">
        <v>1588</v>
      </c>
      <c r="F63" s="73" t="s">
        <v>1565</v>
      </c>
      <c r="G63" s="73" t="s">
        <v>1566</v>
      </c>
      <c r="H63" s="73" t="s">
        <v>1589</v>
      </c>
      <c r="I63" s="53" t="s">
        <v>1590</v>
      </c>
      <c r="J63" s="73" t="s">
        <v>1591</v>
      </c>
      <c r="K63" s="73">
        <v>1</v>
      </c>
      <c r="L63" s="53" t="s">
        <v>1236</v>
      </c>
      <c r="M63" s="53" t="s">
        <v>392</v>
      </c>
      <c r="N63" s="53" t="str">
        <f>IFERROR(VLOOKUP(TRIM(M63),Mapping!$A:$B,2,FALSE),"")</f>
        <v>Project_021</v>
      </c>
      <c r="O63" s="53" t="s">
        <v>1581</v>
      </c>
      <c r="P63" s="73" t="s">
        <v>1571</v>
      </c>
      <c r="Q63" s="73" t="s">
        <v>1572</v>
      </c>
      <c r="R63" s="73" t="s">
        <v>1573</v>
      </c>
      <c r="S63" s="73"/>
      <c r="T63" s="73"/>
      <c r="U63" s="73" t="s">
        <v>1574</v>
      </c>
      <c r="V63" s="73" t="s">
        <v>1575</v>
      </c>
      <c r="W63" s="73" t="s">
        <v>1576</v>
      </c>
      <c r="X63" s="73"/>
      <c r="Y63" s="73" t="s">
        <v>1577</v>
      </c>
    </row>
    <row r="64" spans="1:25" ht="60.75">
      <c r="A64" s="116">
        <v>63</v>
      </c>
      <c r="B64" s="73" t="s">
        <v>92</v>
      </c>
      <c r="C64" s="73" t="s">
        <v>1563</v>
      </c>
      <c r="D64" s="73" t="s">
        <v>91</v>
      </c>
      <c r="E64" s="73" t="s">
        <v>1588</v>
      </c>
      <c r="F64" s="73" t="s">
        <v>1565</v>
      </c>
      <c r="G64" s="73" t="s">
        <v>1566</v>
      </c>
      <c r="H64" s="73" t="s">
        <v>1589</v>
      </c>
      <c r="I64" s="53" t="s">
        <v>1590</v>
      </c>
      <c r="J64" s="73" t="s">
        <v>1591</v>
      </c>
      <c r="K64" s="73">
        <v>1</v>
      </c>
      <c r="L64" s="53" t="s">
        <v>1249</v>
      </c>
      <c r="M64" s="53" t="s">
        <v>323</v>
      </c>
      <c r="N64" s="53" t="str">
        <f>IFERROR(VLOOKUP(TRIM(M64),Mapping!$A:$B,2,FALSE),"")</f>
        <v>Project_009</v>
      </c>
      <c r="O64" s="53" t="s">
        <v>18</v>
      </c>
      <c r="P64" s="73" t="s">
        <v>1582</v>
      </c>
      <c r="Q64" s="73" t="s">
        <v>1572</v>
      </c>
      <c r="R64" s="73" t="s">
        <v>1573</v>
      </c>
      <c r="S64" s="73"/>
      <c r="T64" s="73"/>
      <c r="U64" s="73" t="s">
        <v>1574</v>
      </c>
      <c r="V64" s="73" t="s">
        <v>1575</v>
      </c>
      <c r="W64" s="73" t="s">
        <v>1576</v>
      </c>
      <c r="X64" s="73"/>
      <c r="Y64" s="73" t="s">
        <v>1577</v>
      </c>
    </row>
    <row r="65" spans="1:25" ht="60.75">
      <c r="A65" s="116">
        <v>64</v>
      </c>
      <c r="B65" s="73" t="s">
        <v>92</v>
      </c>
      <c r="C65" s="73" t="s">
        <v>1563</v>
      </c>
      <c r="D65" s="73" t="s">
        <v>91</v>
      </c>
      <c r="E65" s="73" t="s">
        <v>1588</v>
      </c>
      <c r="F65" s="73" t="s">
        <v>1565</v>
      </c>
      <c r="G65" s="73" t="s">
        <v>1566</v>
      </c>
      <c r="H65" s="73" t="s">
        <v>1589</v>
      </c>
      <c r="I65" s="53" t="s">
        <v>1590</v>
      </c>
      <c r="J65" s="73" t="s">
        <v>1591</v>
      </c>
      <c r="K65" s="73">
        <v>1</v>
      </c>
      <c r="L65" s="53" t="s">
        <v>1266</v>
      </c>
      <c r="M65" s="53" t="s">
        <v>387</v>
      </c>
      <c r="N65" s="53" t="str">
        <f>IFERROR(VLOOKUP(TRIM(M65),Mapping!$A:$B,2,FALSE),"")</f>
        <v>Project_020</v>
      </c>
      <c r="O65" s="53" t="s">
        <v>4</v>
      </c>
      <c r="P65" s="73" t="s">
        <v>1584</v>
      </c>
      <c r="Q65" s="73" t="s">
        <v>1572</v>
      </c>
      <c r="R65" s="73" t="s">
        <v>1573</v>
      </c>
      <c r="S65" s="73"/>
      <c r="T65" s="73"/>
      <c r="U65" s="73" t="s">
        <v>1574</v>
      </c>
      <c r="V65" s="73" t="s">
        <v>1575</v>
      </c>
      <c r="W65" s="73" t="s">
        <v>1576</v>
      </c>
      <c r="X65" s="73"/>
      <c r="Y65" s="73" t="s">
        <v>1577</v>
      </c>
    </row>
    <row r="66" spans="1:25" ht="60.75">
      <c r="A66" s="116">
        <v>65</v>
      </c>
      <c r="B66" s="73" t="s">
        <v>92</v>
      </c>
      <c r="C66" s="73" t="s">
        <v>1563</v>
      </c>
      <c r="D66" s="73" t="s">
        <v>91</v>
      </c>
      <c r="E66" s="73" t="s">
        <v>1588</v>
      </c>
      <c r="F66" s="73" t="s">
        <v>1565</v>
      </c>
      <c r="G66" s="73" t="s">
        <v>1566</v>
      </c>
      <c r="H66" s="73" t="s">
        <v>1589</v>
      </c>
      <c r="I66" s="53" t="s">
        <v>1590</v>
      </c>
      <c r="J66" s="73" t="s">
        <v>1591</v>
      </c>
      <c r="K66" s="73">
        <v>1</v>
      </c>
      <c r="L66" s="53" t="s">
        <v>1281</v>
      </c>
      <c r="M66" s="53" t="s">
        <v>318</v>
      </c>
      <c r="N66" s="53" t="str">
        <f>IFERROR(VLOOKUP(TRIM(M66),Mapping!$A:$B,2,FALSE),"")</f>
        <v>Project_008</v>
      </c>
      <c r="O66" s="53" t="s">
        <v>1578</v>
      </c>
      <c r="P66" s="73" t="s">
        <v>1571</v>
      </c>
      <c r="Q66" s="73" t="s">
        <v>1572</v>
      </c>
      <c r="R66" s="73" t="s">
        <v>1573</v>
      </c>
      <c r="S66" s="73"/>
      <c r="T66" s="73"/>
      <c r="U66" s="73" t="s">
        <v>1574</v>
      </c>
      <c r="V66" s="73" t="s">
        <v>1575</v>
      </c>
      <c r="W66" s="73" t="s">
        <v>1576</v>
      </c>
      <c r="X66" s="73"/>
      <c r="Y66" s="73" t="s">
        <v>1577</v>
      </c>
    </row>
    <row r="67" spans="1:25" ht="60.75">
      <c r="A67" s="116">
        <v>66</v>
      </c>
      <c r="B67" s="73" t="s">
        <v>92</v>
      </c>
      <c r="C67" s="73" t="s">
        <v>1563</v>
      </c>
      <c r="D67" s="73" t="s">
        <v>91</v>
      </c>
      <c r="E67" s="73" t="s">
        <v>1588</v>
      </c>
      <c r="F67" s="73" t="s">
        <v>1565</v>
      </c>
      <c r="G67" s="73" t="s">
        <v>1566</v>
      </c>
      <c r="H67" s="73" t="s">
        <v>1589</v>
      </c>
      <c r="I67" s="53" t="s">
        <v>1590</v>
      </c>
      <c r="J67" s="73" t="s">
        <v>1591</v>
      </c>
      <c r="K67" s="73">
        <v>1</v>
      </c>
      <c r="L67" s="53" t="s">
        <v>1294</v>
      </c>
      <c r="M67" s="53" t="s">
        <v>298</v>
      </c>
      <c r="N67" s="53" t="str">
        <f>IFERROR(VLOOKUP(TRIM(M67),Mapping!$A:$B,2,FALSE),"")</f>
        <v>Project_003</v>
      </c>
      <c r="O67" s="53" t="s">
        <v>4</v>
      </c>
      <c r="P67" s="73" t="s">
        <v>1571</v>
      </c>
      <c r="Q67" s="73" t="s">
        <v>1572</v>
      </c>
      <c r="R67" s="73" t="s">
        <v>1573</v>
      </c>
      <c r="S67" s="73"/>
      <c r="T67" s="73"/>
      <c r="U67" s="73" t="s">
        <v>1574</v>
      </c>
      <c r="V67" s="73" t="s">
        <v>1575</v>
      </c>
      <c r="W67" s="73" t="s">
        <v>1576</v>
      </c>
      <c r="X67" s="73"/>
      <c r="Y67" s="73" t="s">
        <v>1577</v>
      </c>
    </row>
    <row r="68" spans="1:25" ht="60.75">
      <c r="A68" s="116">
        <v>67</v>
      </c>
      <c r="B68" s="73" t="s">
        <v>92</v>
      </c>
      <c r="C68" s="73" t="s">
        <v>1563</v>
      </c>
      <c r="D68" s="73" t="s">
        <v>91</v>
      </c>
      <c r="E68" s="73" t="s">
        <v>1588</v>
      </c>
      <c r="F68" s="73" t="s">
        <v>1565</v>
      </c>
      <c r="G68" s="73" t="s">
        <v>1566</v>
      </c>
      <c r="H68" s="73" t="s">
        <v>1589</v>
      </c>
      <c r="I68" s="53" t="s">
        <v>1590</v>
      </c>
      <c r="J68" s="73" t="s">
        <v>1591</v>
      </c>
      <c r="K68" s="73">
        <v>1</v>
      </c>
      <c r="L68" s="53" t="s">
        <v>1304</v>
      </c>
      <c r="M68" s="53" t="s">
        <v>323</v>
      </c>
      <c r="N68" s="53" t="str">
        <f>IFERROR(VLOOKUP(TRIM(M68),Mapping!$A:$B,2,FALSE),"")</f>
        <v>Project_009</v>
      </c>
      <c r="O68" s="53" t="s">
        <v>1581</v>
      </c>
      <c r="P68" s="73" t="s">
        <v>1571</v>
      </c>
      <c r="Q68" s="73" t="s">
        <v>1572</v>
      </c>
      <c r="R68" s="73" t="s">
        <v>1573</v>
      </c>
      <c r="S68" s="73"/>
      <c r="T68" s="73"/>
      <c r="U68" s="73" t="s">
        <v>1574</v>
      </c>
      <c r="V68" s="73" t="s">
        <v>1575</v>
      </c>
      <c r="W68" s="73" t="s">
        <v>1576</v>
      </c>
      <c r="X68" s="73"/>
      <c r="Y68" s="73" t="s">
        <v>1577</v>
      </c>
    </row>
    <row r="69" spans="1:25" ht="60.75">
      <c r="A69" s="116">
        <v>68</v>
      </c>
      <c r="B69" s="73" t="s">
        <v>92</v>
      </c>
      <c r="C69" s="73" t="s">
        <v>1563</v>
      </c>
      <c r="D69" s="73" t="s">
        <v>91</v>
      </c>
      <c r="E69" s="73" t="s">
        <v>1588</v>
      </c>
      <c r="F69" s="73" t="s">
        <v>1565</v>
      </c>
      <c r="G69" s="73" t="s">
        <v>1566</v>
      </c>
      <c r="H69" s="73" t="s">
        <v>1589</v>
      </c>
      <c r="I69" s="53" t="s">
        <v>1590</v>
      </c>
      <c r="J69" s="73" t="s">
        <v>1591</v>
      </c>
      <c r="K69" s="73">
        <v>1</v>
      </c>
      <c r="L69" s="53" t="s">
        <v>1317</v>
      </c>
      <c r="M69" s="53" t="s">
        <v>348</v>
      </c>
      <c r="N69" s="53" t="str">
        <f>IFERROR(VLOOKUP(TRIM(M69),Mapping!$A:$B,2,FALSE),"")</f>
        <v>Project_014</v>
      </c>
      <c r="O69" s="53" t="s">
        <v>18</v>
      </c>
      <c r="P69" s="73" t="s">
        <v>1571</v>
      </c>
      <c r="Q69" s="73" t="s">
        <v>1572</v>
      </c>
      <c r="R69" s="73" t="s">
        <v>1573</v>
      </c>
      <c r="S69" s="73"/>
      <c r="T69" s="73"/>
      <c r="U69" s="73" t="s">
        <v>1574</v>
      </c>
      <c r="V69" s="73" t="s">
        <v>1575</v>
      </c>
      <c r="W69" s="73" t="s">
        <v>1576</v>
      </c>
      <c r="X69" s="73"/>
      <c r="Y69" s="73" t="s">
        <v>1577</v>
      </c>
    </row>
    <row r="70" spans="1:25" ht="60.75">
      <c r="A70" s="116">
        <v>69</v>
      </c>
      <c r="B70" s="73" t="s">
        <v>92</v>
      </c>
      <c r="C70" s="73" t="s">
        <v>1563</v>
      </c>
      <c r="D70" s="73" t="s">
        <v>91</v>
      </c>
      <c r="E70" s="73" t="s">
        <v>1588</v>
      </c>
      <c r="F70" s="73" t="s">
        <v>1565</v>
      </c>
      <c r="G70" s="73" t="s">
        <v>1566</v>
      </c>
      <c r="H70" s="73" t="s">
        <v>1589</v>
      </c>
      <c r="I70" s="53" t="s">
        <v>1590</v>
      </c>
      <c r="J70" s="73" t="s">
        <v>1591</v>
      </c>
      <c r="K70" s="73">
        <v>1</v>
      </c>
      <c r="L70" s="53" t="s">
        <v>1329</v>
      </c>
      <c r="M70" s="53" t="s">
        <v>373</v>
      </c>
      <c r="N70" s="53" t="str">
        <f>IFERROR(VLOOKUP(TRIM(M70),Mapping!$A:$B,2,FALSE),"")</f>
        <v>Project_016</v>
      </c>
      <c r="O70" s="53" t="s">
        <v>4</v>
      </c>
      <c r="P70" s="73" t="s">
        <v>1571</v>
      </c>
      <c r="Q70" s="73" t="s">
        <v>1572</v>
      </c>
      <c r="R70" s="73" t="s">
        <v>1573</v>
      </c>
      <c r="S70" s="73"/>
      <c r="T70" s="73"/>
      <c r="U70" s="73" t="s">
        <v>1574</v>
      </c>
      <c r="V70" s="73" t="s">
        <v>1575</v>
      </c>
      <c r="W70" s="73" t="s">
        <v>1576</v>
      </c>
      <c r="X70" s="73"/>
      <c r="Y70" s="73" t="s">
        <v>1577</v>
      </c>
    </row>
    <row r="71" spans="1:25" ht="60.75">
      <c r="A71" s="116">
        <v>70</v>
      </c>
      <c r="B71" s="73" t="s">
        <v>92</v>
      </c>
      <c r="C71" s="73" t="s">
        <v>1563</v>
      </c>
      <c r="D71" s="73" t="s">
        <v>91</v>
      </c>
      <c r="E71" s="73" t="s">
        <v>1588</v>
      </c>
      <c r="F71" s="73" t="s">
        <v>1565</v>
      </c>
      <c r="G71" s="73" t="s">
        <v>1566</v>
      </c>
      <c r="H71" s="73" t="s">
        <v>1589</v>
      </c>
      <c r="I71" s="53" t="s">
        <v>1590</v>
      </c>
      <c r="J71" s="73" t="s">
        <v>1591</v>
      </c>
      <c r="K71" s="73">
        <v>1</v>
      </c>
      <c r="L71" s="53" t="s">
        <v>1344</v>
      </c>
      <c r="M71" s="53" t="s">
        <v>339</v>
      </c>
      <c r="N71" s="53" t="str">
        <f>IFERROR(VLOOKUP(TRIM(M71),Mapping!$A:$B,2,FALSE),"")</f>
        <v>Project_012</v>
      </c>
      <c r="O71" s="53" t="s">
        <v>18</v>
      </c>
      <c r="P71" s="73" t="s">
        <v>1571</v>
      </c>
      <c r="Q71" s="73" t="s">
        <v>1572</v>
      </c>
      <c r="R71" s="73" t="s">
        <v>1573</v>
      </c>
      <c r="S71" s="73"/>
      <c r="T71" s="73"/>
      <c r="U71" s="73" t="s">
        <v>1574</v>
      </c>
      <c r="V71" s="73" t="s">
        <v>1575</v>
      </c>
      <c r="W71" s="73" t="s">
        <v>1576</v>
      </c>
      <c r="X71" s="73"/>
      <c r="Y71" s="73" t="s">
        <v>1577</v>
      </c>
    </row>
    <row r="72" spans="1:25" ht="60.75">
      <c r="A72" s="116">
        <v>71</v>
      </c>
      <c r="B72" s="73" t="s">
        <v>92</v>
      </c>
      <c r="C72" s="73" t="s">
        <v>1563</v>
      </c>
      <c r="D72" s="73" t="s">
        <v>91</v>
      </c>
      <c r="E72" s="73" t="s">
        <v>1588</v>
      </c>
      <c r="F72" s="73" t="s">
        <v>1565</v>
      </c>
      <c r="G72" s="73" t="s">
        <v>1566</v>
      </c>
      <c r="H72" s="73" t="s">
        <v>1589</v>
      </c>
      <c r="I72" s="53" t="s">
        <v>1590</v>
      </c>
      <c r="J72" s="73" t="s">
        <v>1591</v>
      </c>
      <c r="K72" s="73">
        <v>1</v>
      </c>
      <c r="L72" s="53" t="s">
        <v>1360</v>
      </c>
      <c r="M72" s="53" t="s">
        <v>354</v>
      </c>
      <c r="N72" s="53" t="str">
        <f>IFERROR(VLOOKUP(TRIM(M72),Mapping!$A:$B,2,FALSE),"")</f>
        <v>Project_015</v>
      </c>
      <c r="O72" s="53" t="s">
        <v>784</v>
      </c>
      <c r="P72" s="73" t="s">
        <v>1571</v>
      </c>
      <c r="Q72" s="73" t="s">
        <v>1572</v>
      </c>
      <c r="R72" s="73" t="s">
        <v>1573</v>
      </c>
      <c r="S72" s="73"/>
      <c r="T72" s="73"/>
      <c r="U72" s="73" t="s">
        <v>1574</v>
      </c>
      <c r="V72" s="73" t="s">
        <v>1575</v>
      </c>
      <c r="W72" s="73" t="s">
        <v>1576</v>
      </c>
      <c r="X72" s="73"/>
      <c r="Y72" s="73" t="s">
        <v>1577</v>
      </c>
    </row>
    <row r="73" spans="1:25" ht="60.75">
      <c r="A73" s="116">
        <v>72</v>
      </c>
      <c r="B73" s="73" t="s">
        <v>92</v>
      </c>
      <c r="C73" s="73" t="s">
        <v>1563</v>
      </c>
      <c r="D73" s="73" t="s">
        <v>91</v>
      </c>
      <c r="E73" s="73" t="s">
        <v>1588</v>
      </c>
      <c r="F73" s="73" t="s">
        <v>1565</v>
      </c>
      <c r="G73" s="73" t="s">
        <v>1566</v>
      </c>
      <c r="H73" s="73" t="s">
        <v>1589</v>
      </c>
      <c r="I73" s="53" t="s">
        <v>1590</v>
      </c>
      <c r="J73" s="73" t="s">
        <v>1591</v>
      </c>
      <c r="K73" s="73">
        <v>1</v>
      </c>
      <c r="L73" s="53" t="s">
        <v>1374</v>
      </c>
      <c r="M73" s="53" t="s">
        <v>315</v>
      </c>
      <c r="N73" s="53" t="str">
        <f>IFERROR(VLOOKUP(TRIM(M73),Mapping!$A:$B,2,FALSE),"")</f>
        <v>Project_007</v>
      </c>
      <c r="O73" s="53" t="s">
        <v>1592</v>
      </c>
      <c r="P73" s="73" t="s">
        <v>1571</v>
      </c>
      <c r="Q73" s="73" t="s">
        <v>1572</v>
      </c>
      <c r="R73" s="73" t="s">
        <v>1573</v>
      </c>
      <c r="S73" s="73"/>
      <c r="T73" s="73"/>
      <c r="U73" s="73" t="s">
        <v>1574</v>
      </c>
      <c r="V73" s="73" t="s">
        <v>1575</v>
      </c>
      <c r="W73" s="73" t="s">
        <v>1576</v>
      </c>
      <c r="X73" s="73"/>
      <c r="Y73" s="73" t="s">
        <v>1577</v>
      </c>
    </row>
    <row r="74" spans="1:25" ht="60.75">
      <c r="A74" s="116">
        <v>73</v>
      </c>
      <c r="B74" s="73" t="s">
        <v>92</v>
      </c>
      <c r="C74" s="73" t="s">
        <v>1563</v>
      </c>
      <c r="D74" s="73" t="s">
        <v>91</v>
      </c>
      <c r="E74" s="73" t="s">
        <v>1588</v>
      </c>
      <c r="F74" s="73" t="s">
        <v>1565</v>
      </c>
      <c r="G74" s="73" t="s">
        <v>1566</v>
      </c>
      <c r="H74" s="73" t="s">
        <v>1589</v>
      </c>
      <c r="I74" s="53" t="s">
        <v>1590</v>
      </c>
      <c r="J74" s="73" t="s">
        <v>1591</v>
      </c>
      <c r="K74" s="73">
        <v>1</v>
      </c>
      <c r="L74" s="53" t="s">
        <v>1389</v>
      </c>
      <c r="M74" s="53" t="s">
        <v>387</v>
      </c>
      <c r="N74" s="53" t="str">
        <f>IFERROR(VLOOKUP(TRIM(M74),Mapping!$A:$B,2,FALSE),"")</f>
        <v>Project_020</v>
      </c>
      <c r="O74" s="53" t="s">
        <v>1581</v>
      </c>
      <c r="P74" s="73" t="s">
        <v>1582</v>
      </c>
      <c r="Q74" s="73" t="s">
        <v>1572</v>
      </c>
      <c r="R74" s="73" t="s">
        <v>1573</v>
      </c>
      <c r="S74" s="73"/>
      <c r="T74" s="73"/>
      <c r="U74" s="73" t="s">
        <v>1574</v>
      </c>
      <c r="V74" s="73" t="s">
        <v>1575</v>
      </c>
      <c r="W74" s="73" t="s">
        <v>1576</v>
      </c>
      <c r="X74" s="73"/>
      <c r="Y74" s="73" t="s">
        <v>1577</v>
      </c>
    </row>
    <row r="75" spans="1:25" ht="60.75">
      <c r="A75" s="116">
        <v>74</v>
      </c>
      <c r="B75" s="73" t="s">
        <v>92</v>
      </c>
      <c r="C75" s="73" t="s">
        <v>1563</v>
      </c>
      <c r="D75" s="73" t="s">
        <v>91</v>
      </c>
      <c r="E75" s="73" t="s">
        <v>1588</v>
      </c>
      <c r="F75" s="73" t="s">
        <v>1565</v>
      </c>
      <c r="G75" s="73" t="s">
        <v>1566</v>
      </c>
      <c r="H75" s="73" t="s">
        <v>1589</v>
      </c>
      <c r="I75" s="53" t="s">
        <v>1590</v>
      </c>
      <c r="J75" s="73" t="s">
        <v>1591</v>
      </c>
      <c r="K75" s="73">
        <v>1</v>
      </c>
      <c r="L75" s="53" t="s">
        <v>1399</v>
      </c>
      <c r="M75" s="53" t="s">
        <v>1401</v>
      </c>
      <c r="N75" s="53" t="str">
        <f>IFERROR(VLOOKUP(TRIM(M75),Mapping!$A:$B,2,FALSE),"")</f>
        <v>Project_051</v>
      </c>
      <c r="O75" s="53" t="s">
        <v>1581</v>
      </c>
      <c r="P75" s="73" t="s">
        <v>1571</v>
      </c>
      <c r="Q75" s="73" t="s">
        <v>1572</v>
      </c>
      <c r="R75" s="73" t="s">
        <v>1573</v>
      </c>
      <c r="S75" s="73"/>
      <c r="T75" s="73"/>
      <c r="U75" s="73" t="s">
        <v>1574</v>
      </c>
      <c r="V75" s="73" t="s">
        <v>1575</v>
      </c>
      <c r="W75" s="73" t="s">
        <v>1576</v>
      </c>
      <c r="X75" s="73"/>
      <c r="Y75" s="73" t="s">
        <v>1577</v>
      </c>
    </row>
    <row r="76" spans="1:25" ht="60.75">
      <c r="A76" s="116">
        <v>75</v>
      </c>
      <c r="B76" s="73" t="s">
        <v>92</v>
      </c>
      <c r="C76" s="73" t="s">
        <v>1563</v>
      </c>
      <c r="D76" s="73" t="s">
        <v>91</v>
      </c>
      <c r="E76" s="73" t="s">
        <v>1588</v>
      </c>
      <c r="F76" s="73" t="s">
        <v>1565</v>
      </c>
      <c r="G76" s="73" t="s">
        <v>1566</v>
      </c>
      <c r="H76" s="73" t="s">
        <v>1589</v>
      </c>
      <c r="I76" s="53" t="s">
        <v>1590</v>
      </c>
      <c r="J76" s="73" t="s">
        <v>1591</v>
      </c>
      <c r="K76" s="73">
        <v>1</v>
      </c>
      <c r="L76" s="53" t="s">
        <v>1409</v>
      </c>
      <c r="M76" s="53" t="s">
        <v>348</v>
      </c>
      <c r="N76" s="53" t="str">
        <f>IFERROR(VLOOKUP(TRIM(M76),Mapping!$A:$B,2,FALSE),"")</f>
        <v>Project_014</v>
      </c>
      <c r="O76" s="53" t="s">
        <v>4</v>
      </c>
      <c r="P76" s="73" t="s">
        <v>1571</v>
      </c>
      <c r="Q76" s="73" t="s">
        <v>1572</v>
      </c>
      <c r="R76" s="73" t="s">
        <v>1573</v>
      </c>
      <c r="S76" s="73"/>
      <c r="T76" s="73"/>
      <c r="U76" s="73" t="s">
        <v>1574</v>
      </c>
      <c r="V76" s="73" t="s">
        <v>1575</v>
      </c>
      <c r="W76" s="73" t="s">
        <v>1576</v>
      </c>
      <c r="X76" s="73"/>
      <c r="Y76" s="73" t="s">
        <v>1577</v>
      </c>
    </row>
    <row r="77" spans="1:25" ht="60.75">
      <c r="A77" s="116">
        <v>76</v>
      </c>
      <c r="B77" s="73" t="s">
        <v>92</v>
      </c>
      <c r="C77" s="73" t="s">
        <v>1563</v>
      </c>
      <c r="D77" s="73" t="s">
        <v>91</v>
      </c>
      <c r="E77" s="73" t="s">
        <v>1588</v>
      </c>
      <c r="F77" s="73" t="s">
        <v>1565</v>
      </c>
      <c r="G77" s="73" t="s">
        <v>1566</v>
      </c>
      <c r="H77" s="73" t="s">
        <v>1589</v>
      </c>
      <c r="I77" s="53" t="s">
        <v>1590</v>
      </c>
      <c r="J77" s="73" t="s">
        <v>1591</v>
      </c>
      <c r="K77" s="73">
        <v>1</v>
      </c>
      <c r="L77" s="53" t="s">
        <v>1424</v>
      </c>
      <c r="M77" s="53" t="s">
        <v>327</v>
      </c>
      <c r="N77" s="53" t="str">
        <f>IFERROR(VLOOKUP(TRIM(M77),Mapping!$A:$B,2,FALSE),"")</f>
        <v>Project_010</v>
      </c>
      <c r="O77" s="53" t="s">
        <v>18</v>
      </c>
      <c r="P77" s="73" t="s">
        <v>1582</v>
      </c>
      <c r="Q77" s="73" t="s">
        <v>1572</v>
      </c>
      <c r="R77" s="73" t="s">
        <v>1573</v>
      </c>
      <c r="S77" s="73"/>
      <c r="T77" s="73"/>
      <c r="U77" s="73" t="s">
        <v>1574</v>
      </c>
      <c r="V77" s="73" t="s">
        <v>1575</v>
      </c>
      <c r="W77" s="73" t="s">
        <v>1576</v>
      </c>
      <c r="X77" s="73"/>
      <c r="Y77" s="73" t="s">
        <v>1577</v>
      </c>
    </row>
    <row r="78" spans="1:25" ht="60.75">
      <c r="A78" s="116">
        <v>77</v>
      </c>
      <c r="B78" s="73" t="s">
        <v>92</v>
      </c>
      <c r="C78" s="73" t="s">
        <v>1563</v>
      </c>
      <c r="D78" s="73" t="s">
        <v>91</v>
      </c>
      <c r="E78" s="73" t="s">
        <v>1588</v>
      </c>
      <c r="F78" s="73" t="s">
        <v>1565</v>
      </c>
      <c r="G78" s="73" t="s">
        <v>1566</v>
      </c>
      <c r="H78" s="73" t="s">
        <v>1589</v>
      </c>
      <c r="I78" s="53" t="s">
        <v>1590</v>
      </c>
      <c r="J78" s="73" t="s">
        <v>1591</v>
      </c>
      <c r="K78" s="73">
        <v>1</v>
      </c>
      <c r="L78" s="53" t="s">
        <v>1434</v>
      </c>
      <c r="M78" s="53" t="s">
        <v>284</v>
      </c>
      <c r="N78" s="53" t="str">
        <f>IFERROR(VLOOKUP(TRIM(M78),Mapping!$A:$B,2,FALSE),"")</f>
        <v>Project_001</v>
      </c>
      <c r="O78" s="53" t="s">
        <v>1581</v>
      </c>
      <c r="P78" s="73" t="s">
        <v>1571</v>
      </c>
      <c r="Q78" s="73" t="s">
        <v>1572</v>
      </c>
      <c r="R78" s="73" t="s">
        <v>1573</v>
      </c>
      <c r="S78" s="73"/>
      <c r="T78" s="73"/>
      <c r="U78" s="73" t="s">
        <v>1574</v>
      </c>
      <c r="V78" s="73" t="s">
        <v>1575</v>
      </c>
      <c r="W78" s="73" t="s">
        <v>1576</v>
      </c>
      <c r="X78" s="73"/>
      <c r="Y78" s="73" t="s">
        <v>1577</v>
      </c>
    </row>
    <row r="79" spans="1:25" ht="60.75">
      <c r="A79" s="116">
        <v>78</v>
      </c>
      <c r="B79" s="73" t="s">
        <v>92</v>
      </c>
      <c r="C79" s="73" t="s">
        <v>1563</v>
      </c>
      <c r="D79" s="73" t="s">
        <v>91</v>
      </c>
      <c r="E79" s="73" t="s">
        <v>1588</v>
      </c>
      <c r="F79" s="73" t="s">
        <v>1565</v>
      </c>
      <c r="G79" s="73" t="s">
        <v>1566</v>
      </c>
      <c r="H79" s="73" t="s">
        <v>1589</v>
      </c>
      <c r="I79" s="53" t="s">
        <v>1590</v>
      </c>
      <c r="J79" s="73" t="s">
        <v>1591</v>
      </c>
      <c r="K79" s="73">
        <v>1</v>
      </c>
      <c r="L79" s="53" t="s">
        <v>1448</v>
      </c>
      <c r="M79" s="53" t="s">
        <v>305</v>
      </c>
      <c r="N79" s="53" t="str">
        <f>IFERROR(VLOOKUP(TRIM(M79),Mapping!$A:$B,2,FALSE),"")</f>
        <v>Project_005</v>
      </c>
      <c r="O79" s="53" t="s">
        <v>1592</v>
      </c>
      <c r="P79" s="73" t="s">
        <v>1571</v>
      </c>
      <c r="Q79" s="73" t="s">
        <v>1572</v>
      </c>
      <c r="R79" s="73" t="s">
        <v>1573</v>
      </c>
      <c r="S79" s="73"/>
      <c r="T79" s="73"/>
      <c r="U79" s="73" t="s">
        <v>1574</v>
      </c>
      <c r="V79" s="73" t="s">
        <v>1575</v>
      </c>
      <c r="W79" s="73" t="s">
        <v>1576</v>
      </c>
      <c r="X79" s="73"/>
      <c r="Y79" s="73" t="s">
        <v>1577</v>
      </c>
    </row>
    <row r="80" spans="1:25" ht="60.75">
      <c r="A80" s="116">
        <v>79</v>
      </c>
      <c r="B80" s="73" t="s">
        <v>92</v>
      </c>
      <c r="C80" s="73" t="s">
        <v>1563</v>
      </c>
      <c r="D80" s="73" t="s">
        <v>91</v>
      </c>
      <c r="E80" s="73" t="s">
        <v>1588</v>
      </c>
      <c r="F80" s="73" t="s">
        <v>1565</v>
      </c>
      <c r="G80" s="73" t="s">
        <v>1566</v>
      </c>
      <c r="H80" s="73" t="s">
        <v>1589</v>
      </c>
      <c r="I80" s="53" t="s">
        <v>1590</v>
      </c>
      <c r="J80" s="73" t="s">
        <v>1591</v>
      </c>
      <c r="K80" s="73">
        <v>1</v>
      </c>
      <c r="L80" s="53" t="s">
        <v>1462</v>
      </c>
      <c r="M80" s="53" t="s">
        <v>285</v>
      </c>
      <c r="N80" s="53" t="str">
        <f>IFERROR(VLOOKUP(TRIM(M80),Mapping!$A:$B,2,FALSE),"")</f>
        <v>Project_017</v>
      </c>
      <c r="O80" s="53" t="s">
        <v>1581</v>
      </c>
      <c r="P80" s="73" t="s">
        <v>1571</v>
      </c>
      <c r="Q80" s="73" t="s">
        <v>1572</v>
      </c>
      <c r="R80" s="73" t="s">
        <v>1573</v>
      </c>
      <c r="S80" s="73"/>
      <c r="T80" s="73"/>
      <c r="U80" s="73" t="s">
        <v>1574</v>
      </c>
      <c r="V80" s="73" t="s">
        <v>1575</v>
      </c>
      <c r="W80" s="73" t="s">
        <v>1576</v>
      </c>
      <c r="X80" s="73"/>
      <c r="Y80" s="73" t="s">
        <v>1577</v>
      </c>
    </row>
    <row r="81" spans="1:25" ht="60.75">
      <c r="A81" s="116">
        <v>80</v>
      </c>
      <c r="B81" s="73" t="s">
        <v>92</v>
      </c>
      <c r="C81" s="73" t="s">
        <v>1563</v>
      </c>
      <c r="D81" s="73" t="s">
        <v>91</v>
      </c>
      <c r="E81" s="73" t="s">
        <v>1588</v>
      </c>
      <c r="F81" s="73" t="s">
        <v>1565</v>
      </c>
      <c r="G81" s="73" t="s">
        <v>1566</v>
      </c>
      <c r="H81" s="73" t="s">
        <v>1589</v>
      </c>
      <c r="I81" s="53" t="s">
        <v>1590</v>
      </c>
      <c r="J81" s="73" t="s">
        <v>1591</v>
      </c>
      <c r="K81" s="73">
        <v>1</v>
      </c>
      <c r="L81" s="53" t="s">
        <v>1475</v>
      </c>
      <c r="M81" s="53" t="s">
        <v>1473</v>
      </c>
      <c r="N81" s="53" t="str">
        <f>IFERROR(VLOOKUP(TRIM(M81),Mapping!$A:$B,2,FALSE),"")</f>
        <v>Project_052</v>
      </c>
      <c r="O81" s="53" t="s">
        <v>1578</v>
      </c>
      <c r="P81" s="73" t="s">
        <v>1584</v>
      </c>
      <c r="Q81" s="73" t="s">
        <v>1572</v>
      </c>
      <c r="R81" s="73" t="s">
        <v>1573</v>
      </c>
      <c r="S81" s="73"/>
      <c r="T81" s="73"/>
      <c r="U81" s="73" t="s">
        <v>1574</v>
      </c>
      <c r="V81" s="73" t="s">
        <v>1575</v>
      </c>
      <c r="W81" s="73" t="s">
        <v>1576</v>
      </c>
      <c r="X81" s="73"/>
      <c r="Y81" s="73" t="s">
        <v>1577</v>
      </c>
    </row>
    <row r="82" spans="1:25" ht="60.75">
      <c r="A82" s="116">
        <v>81</v>
      </c>
      <c r="B82" s="73" t="s">
        <v>92</v>
      </c>
      <c r="C82" s="73" t="s">
        <v>1563</v>
      </c>
      <c r="D82" s="73" t="s">
        <v>91</v>
      </c>
      <c r="E82" s="73" t="s">
        <v>1588</v>
      </c>
      <c r="F82" s="73" t="s">
        <v>1565</v>
      </c>
      <c r="G82" s="73" t="s">
        <v>1566</v>
      </c>
      <c r="H82" s="73" t="s">
        <v>1589</v>
      </c>
      <c r="I82" s="53" t="s">
        <v>1590</v>
      </c>
      <c r="J82" s="73" t="s">
        <v>1591</v>
      </c>
      <c r="K82" s="73">
        <v>1</v>
      </c>
      <c r="L82" s="53" t="s">
        <v>115</v>
      </c>
      <c r="M82" s="53" t="s">
        <v>309</v>
      </c>
      <c r="N82" s="53" t="str">
        <f>IFERROR(VLOOKUP(TRIM(M82),Mapping!$A:$B,2,FALSE),"")</f>
        <v>Project_006</v>
      </c>
      <c r="O82" s="53" t="s">
        <v>936</v>
      </c>
      <c r="P82" s="73" t="s">
        <v>1571</v>
      </c>
      <c r="Q82" s="73" t="s">
        <v>1572</v>
      </c>
      <c r="R82" s="73" t="s">
        <v>1573</v>
      </c>
      <c r="S82" s="73"/>
      <c r="T82" s="73"/>
      <c r="U82" s="73" t="s">
        <v>1574</v>
      </c>
      <c r="V82" s="73" t="s">
        <v>1575</v>
      </c>
      <c r="W82" s="73" t="s">
        <v>1576</v>
      </c>
      <c r="X82" s="73"/>
      <c r="Y82" s="73" t="s">
        <v>1577</v>
      </c>
    </row>
    <row r="83" spans="1:25" ht="60.75">
      <c r="A83" s="116">
        <v>82</v>
      </c>
      <c r="B83" s="73" t="s">
        <v>92</v>
      </c>
      <c r="C83" s="73" t="s">
        <v>1563</v>
      </c>
      <c r="D83" s="73" t="s">
        <v>91</v>
      </c>
      <c r="E83" s="73" t="s">
        <v>1588</v>
      </c>
      <c r="F83" s="73" t="s">
        <v>1565</v>
      </c>
      <c r="G83" s="73" t="s">
        <v>1566</v>
      </c>
      <c r="H83" s="73" t="s">
        <v>1589</v>
      </c>
      <c r="I83" s="53" t="s">
        <v>1590</v>
      </c>
      <c r="J83" s="73" t="s">
        <v>1591</v>
      </c>
      <c r="K83" s="73">
        <v>1</v>
      </c>
      <c r="L83" s="53" t="s">
        <v>164</v>
      </c>
      <c r="M83" s="53" t="s">
        <v>354</v>
      </c>
      <c r="N83" s="53" t="str">
        <f>IFERROR(VLOOKUP(TRIM(M83),Mapping!$A:$B,2,FALSE),"")</f>
        <v>Project_015</v>
      </c>
      <c r="O83" s="53" t="s">
        <v>14</v>
      </c>
      <c r="P83" s="73" t="s">
        <v>1571</v>
      </c>
      <c r="Q83" s="73" t="s">
        <v>1572</v>
      </c>
      <c r="R83" s="73" t="s">
        <v>1573</v>
      </c>
      <c r="S83" s="73"/>
      <c r="T83" s="73"/>
      <c r="U83" s="73" t="s">
        <v>1574</v>
      </c>
      <c r="V83" s="73" t="s">
        <v>1575</v>
      </c>
      <c r="W83" s="73" t="s">
        <v>1576</v>
      </c>
      <c r="X83" s="73"/>
      <c r="Y83" s="73" t="s">
        <v>1577</v>
      </c>
    </row>
    <row r="84" spans="1:25" ht="60.75">
      <c r="A84" s="116">
        <v>83</v>
      </c>
      <c r="B84" s="73" t="s">
        <v>92</v>
      </c>
      <c r="C84" s="73" t="s">
        <v>1563</v>
      </c>
      <c r="D84" s="73" t="s">
        <v>91</v>
      </c>
      <c r="E84" s="73" t="s">
        <v>1588</v>
      </c>
      <c r="F84" s="73" t="s">
        <v>1565</v>
      </c>
      <c r="G84" s="73" t="s">
        <v>1566</v>
      </c>
      <c r="H84" s="73" t="s">
        <v>1589</v>
      </c>
      <c r="I84" s="53" t="s">
        <v>1590</v>
      </c>
      <c r="J84" s="73" t="s">
        <v>1591</v>
      </c>
      <c r="K84" s="73">
        <v>1</v>
      </c>
      <c r="L84" s="53" t="s">
        <v>181</v>
      </c>
      <c r="M84" s="53" t="s">
        <v>373</v>
      </c>
      <c r="N84" s="53" t="str">
        <f>IFERROR(VLOOKUP(TRIM(M84),Mapping!$A:$B,2,FALSE),"")</f>
        <v>Project_016</v>
      </c>
      <c r="O84" s="53" t="s">
        <v>1581</v>
      </c>
      <c r="P84" s="73" t="s">
        <v>1571</v>
      </c>
      <c r="Q84" s="73" t="s">
        <v>1572</v>
      </c>
      <c r="R84" s="73" t="s">
        <v>1573</v>
      </c>
      <c r="S84" s="73"/>
      <c r="T84" s="73"/>
      <c r="U84" s="73" t="s">
        <v>1574</v>
      </c>
      <c r="V84" s="73" t="s">
        <v>1575</v>
      </c>
      <c r="W84" s="73" t="s">
        <v>1576</v>
      </c>
      <c r="X84" s="73"/>
      <c r="Y84" s="73" t="s">
        <v>1577</v>
      </c>
    </row>
    <row r="85" spans="1:25" ht="60.75">
      <c r="A85" s="116">
        <v>84</v>
      </c>
      <c r="B85" s="73" t="s">
        <v>92</v>
      </c>
      <c r="C85" s="73" t="s">
        <v>1563</v>
      </c>
      <c r="D85" s="73" t="s">
        <v>91</v>
      </c>
      <c r="E85" s="73" t="s">
        <v>1588</v>
      </c>
      <c r="F85" s="73" t="s">
        <v>1565</v>
      </c>
      <c r="G85" s="73" t="s">
        <v>1566</v>
      </c>
      <c r="H85" s="73" t="s">
        <v>1589</v>
      </c>
      <c r="I85" s="53" t="s">
        <v>1590</v>
      </c>
      <c r="J85" s="73" t="s">
        <v>1591</v>
      </c>
      <c r="K85" s="73">
        <v>1</v>
      </c>
      <c r="L85" s="53" t="s">
        <v>215</v>
      </c>
      <c r="M85" s="53" t="s">
        <v>373</v>
      </c>
      <c r="N85" s="53" t="str">
        <f>IFERROR(VLOOKUP(TRIM(M85),Mapping!$A:$B,2,FALSE),"")</f>
        <v>Project_016</v>
      </c>
      <c r="O85" s="53" t="s">
        <v>4</v>
      </c>
      <c r="P85" s="73" t="s">
        <v>1571</v>
      </c>
      <c r="Q85" s="73" t="s">
        <v>1572</v>
      </c>
      <c r="R85" s="73" t="s">
        <v>1573</v>
      </c>
      <c r="S85" s="73"/>
      <c r="T85" s="73"/>
      <c r="U85" s="73" t="s">
        <v>1574</v>
      </c>
      <c r="V85" s="73" t="s">
        <v>1575</v>
      </c>
      <c r="W85" s="73" t="s">
        <v>1576</v>
      </c>
      <c r="X85" s="73"/>
      <c r="Y85" s="73" t="s">
        <v>1577</v>
      </c>
    </row>
    <row r="86" spans="1:25" ht="60.75">
      <c r="A86" s="116">
        <v>85</v>
      </c>
      <c r="B86" s="73" t="s">
        <v>92</v>
      </c>
      <c r="C86" s="73" t="s">
        <v>1563</v>
      </c>
      <c r="D86" s="73" t="s">
        <v>91</v>
      </c>
      <c r="E86" s="73" t="s">
        <v>1588</v>
      </c>
      <c r="F86" s="73" t="s">
        <v>1565</v>
      </c>
      <c r="G86" s="73" t="s">
        <v>1566</v>
      </c>
      <c r="H86" s="73" t="s">
        <v>1589</v>
      </c>
      <c r="I86" s="53" t="s">
        <v>1590</v>
      </c>
      <c r="J86" s="73" t="s">
        <v>1591</v>
      </c>
      <c r="K86" s="73">
        <v>1</v>
      </c>
      <c r="L86" s="53" t="s">
        <v>243</v>
      </c>
      <c r="M86" s="53" t="s">
        <v>341</v>
      </c>
      <c r="N86" s="53" t="str">
        <f>IFERROR(VLOOKUP(TRIM(M86),Mapping!$A:$B,2,FALSE),"")</f>
        <v>Project_013</v>
      </c>
      <c r="O86" s="53" t="s">
        <v>1581</v>
      </c>
      <c r="P86" s="73" t="s">
        <v>1571</v>
      </c>
      <c r="Q86" s="73" t="s">
        <v>1572</v>
      </c>
      <c r="R86" s="73" t="s">
        <v>1573</v>
      </c>
      <c r="S86" s="73"/>
      <c r="T86" s="73"/>
      <c r="U86" s="73" t="s">
        <v>1574</v>
      </c>
      <c r="V86" s="73" t="s">
        <v>1575</v>
      </c>
      <c r="W86" s="73" t="s">
        <v>1576</v>
      </c>
      <c r="X86" s="73"/>
      <c r="Y86" s="73" t="s">
        <v>1577</v>
      </c>
    </row>
    <row r="87" spans="1:25" ht="60.75">
      <c r="A87" s="116">
        <v>86</v>
      </c>
      <c r="B87" s="73" t="s">
        <v>92</v>
      </c>
      <c r="C87" s="73" t="s">
        <v>1563</v>
      </c>
      <c r="D87" s="73" t="s">
        <v>91</v>
      </c>
      <c r="E87" s="73" t="s">
        <v>1588</v>
      </c>
      <c r="F87" s="73" t="s">
        <v>1565</v>
      </c>
      <c r="G87" s="73" t="s">
        <v>1566</v>
      </c>
      <c r="H87" s="73" t="s">
        <v>1589</v>
      </c>
      <c r="I87" s="53" t="s">
        <v>1590</v>
      </c>
      <c r="J87" s="73" t="s">
        <v>1591</v>
      </c>
      <c r="K87" s="73">
        <v>1</v>
      </c>
      <c r="L87" s="53" t="s">
        <v>476</v>
      </c>
      <c r="M87" s="53" t="s">
        <v>387</v>
      </c>
      <c r="N87" s="53" t="str">
        <f>IFERROR(VLOOKUP(TRIM(M87),Mapping!$A:$B,2,FALSE),"")</f>
        <v>Project_020</v>
      </c>
      <c r="O87" s="53" t="s">
        <v>1581</v>
      </c>
      <c r="P87" s="73" t="s">
        <v>1571</v>
      </c>
      <c r="Q87" s="73" t="s">
        <v>1572</v>
      </c>
      <c r="R87" s="73" t="s">
        <v>1573</v>
      </c>
      <c r="S87" s="73"/>
      <c r="T87" s="73"/>
      <c r="U87" s="73" t="s">
        <v>1574</v>
      </c>
      <c r="V87" s="73" t="s">
        <v>1575</v>
      </c>
      <c r="W87" s="73" t="s">
        <v>1576</v>
      </c>
      <c r="X87" s="73"/>
      <c r="Y87" s="73" t="s">
        <v>1577</v>
      </c>
    </row>
    <row r="88" spans="1:25" ht="60.75">
      <c r="A88" s="116">
        <v>87</v>
      </c>
      <c r="B88" s="73" t="s">
        <v>92</v>
      </c>
      <c r="C88" s="73" t="s">
        <v>1563</v>
      </c>
      <c r="D88" s="73" t="s">
        <v>91</v>
      </c>
      <c r="E88" s="73" t="s">
        <v>1588</v>
      </c>
      <c r="F88" s="73" t="s">
        <v>1565</v>
      </c>
      <c r="G88" s="73" t="s">
        <v>1566</v>
      </c>
      <c r="H88" s="73" t="s">
        <v>1589</v>
      </c>
      <c r="I88" s="53" t="s">
        <v>1590</v>
      </c>
      <c r="J88" s="73" t="s">
        <v>1591</v>
      </c>
      <c r="K88" s="73">
        <v>1</v>
      </c>
      <c r="L88" s="53" t="s">
        <v>517</v>
      </c>
      <c r="M88" s="53" t="s">
        <v>298</v>
      </c>
      <c r="N88" s="53" t="str">
        <f>IFERROR(VLOOKUP(TRIM(M88),Mapping!$A:$B,2,FALSE),"")</f>
        <v>Project_003</v>
      </c>
      <c r="O88" s="53" t="s">
        <v>1579</v>
      </c>
      <c r="P88" s="73" t="s">
        <v>1571</v>
      </c>
      <c r="Q88" s="73" t="s">
        <v>1572</v>
      </c>
      <c r="R88" s="73" t="s">
        <v>1573</v>
      </c>
      <c r="S88" s="73"/>
      <c r="T88" s="73"/>
      <c r="U88" s="73" t="s">
        <v>1574</v>
      </c>
      <c r="V88" s="73" t="s">
        <v>1575</v>
      </c>
      <c r="W88" s="73" t="s">
        <v>1576</v>
      </c>
      <c r="X88" s="73"/>
      <c r="Y88" s="73" t="s">
        <v>1577</v>
      </c>
    </row>
    <row r="89" spans="1:25" ht="60.75">
      <c r="A89" s="116">
        <v>88</v>
      </c>
      <c r="B89" s="73" t="s">
        <v>92</v>
      </c>
      <c r="C89" s="73" t="s">
        <v>1563</v>
      </c>
      <c r="D89" s="73" t="s">
        <v>91</v>
      </c>
      <c r="E89" s="73" t="s">
        <v>1588</v>
      </c>
      <c r="F89" s="73" t="s">
        <v>1565</v>
      </c>
      <c r="G89" s="73" t="s">
        <v>1566</v>
      </c>
      <c r="H89" s="73" t="s">
        <v>1589</v>
      </c>
      <c r="I89" s="53" t="s">
        <v>1590</v>
      </c>
      <c r="J89" s="73" t="s">
        <v>1591</v>
      </c>
      <c r="K89" s="73">
        <v>1</v>
      </c>
      <c r="L89" s="53" t="s">
        <v>553</v>
      </c>
      <c r="M89" s="53" t="s">
        <v>387</v>
      </c>
      <c r="N89" s="53" t="str">
        <f>IFERROR(VLOOKUP(TRIM(M89),Mapping!$A:$B,2,FALSE),"")</f>
        <v>Project_020</v>
      </c>
      <c r="O89" s="53" t="s">
        <v>18</v>
      </c>
      <c r="P89" s="73" t="s">
        <v>1582</v>
      </c>
      <c r="Q89" s="73" t="s">
        <v>1572</v>
      </c>
      <c r="R89" s="73" t="s">
        <v>1573</v>
      </c>
      <c r="S89" s="73"/>
      <c r="T89" s="73"/>
      <c r="U89" s="73" t="s">
        <v>1574</v>
      </c>
      <c r="V89" s="73" t="s">
        <v>1575</v>
      </c>
      <c r="W89" s="73" t="s">
        <v>1576</v>
      </c>
      <c r="X89" s="73"/>
      <c r="Y89" s="73" t="s">
        <v>1577</v>
      </c>
    </row>
    <row r="90" spans="1:25" ht="60.75">
      <c r="A90" s="116">
        <v>89</v>
      </c>
      <c r="B90" s="73" t="s">
        <v>92</v>
      </c>
      <c r="C90" s="73" t="s">
        <v>1563</v>
      </c>
      <c r="D90" s="73" t="s">
        <v>91</v>
      </c>
      <c r="E90" s="73" t="s">
        <v>1588</v>
      </c>
      <c r="F90" s="73" t="s">
        <v>1565</v>
      </c>
      <c r="G90" s="73" t="s">
        <v>1566</v>
      </c>
      <c r="H90" s="73" t="s">
        <v>1589</v>
      </c>
      <c r="I90" s="53" t="s">
        <v>1590</v>
      </c>
      <c r="J90" s="73" t="s">
        <v>1591</v>
      </c>
      <c r="K90" s="73">
        <v>1</v>
      </c>
      <c r="L90" s="53" t="s">
        <v>582</v>
      </c>
      <c r="M90" s="53" t="s">
        <v>284</v>
      </c>
      <c r="N90" s="53" t="str">
        <f>IFERROR(VLOOKUP(TRIM(M90),Mapping!$A:$B,2,FALSE),"")</f>
        <v>Project_001</v>
      </c>
      <c r="O90" s="53" t="s">
        <v>18</v>
      </c>
      <c r="P90" s="73" t="s">
        <v>1571</v>
      </c>
      <c r="Q90" s="73" t="s">
        <v>1572</v>
      </c>
      <c r="R90" s="73" t="s">
        <v>1573</v>
      </c>
      <c r="S90" s="73"/>
      <c r="T90" s="73"/>
      <c r="U90" s="73" t="s">
        <v>1574</v>
      </c>
      <c r="V90" s="73" t="s">
        <v>1575</v>
      </c>
      <c r="W90" s="73" t="s">
        <v>1576</v>
      </c>
      <c r="X90" s="73"/>
      <c r="Y90" s="73" t="s">
        <v>1577</v>
      </c>
    </row>
    <row r="91" spans="1:25" ht="60.75">
      <c r="A91" s="116">
        <v>90</v>
      </c>
      <c r="B91" s="73" t="s">
        <v>92</v>
      </c>
      <c r="C91" s="73" t="s">
        <v>1563</v>
      </c>
      <c r="D91" s="73" t="s">
        <v>91</v>
      </c>
      <c r="E91" s="73" t="s">
        <v>1588</v>
      </c>
      <c r="F91" s="73" t="s">
        <v>1565</v>
      </c>
      <c r="G91" s="73" t="s">
        <v>1566</v>
      </c>
      <c r="H91" s="73" t="s">
        <v>1589</v>
      </c>
      <c r="I91" s="53" t="s">
        <v>1590</v>
      </c>
      <c r="J91" s="73" t="s">
        <v>1591</v>
      </c>
      <c r="K91" s="73">
        <v>1</v>
      </c>
      <c r="L91" s="53" t="s">
        <v>615</v>
      </c>
      <c r="M91" s="53" t="s">
        <v>575</v>
      </c>
      <c r="N91" s="53" t="str">
        <f>IFERROR(VLOOKUP(TRIM(M91),Mapping!$A:$B,2,FALSE),"")</f>
        <v>Project_033</v>
      </c>
      <c r="O91" s="53" t="s">
        <v>4</v>
      </c>
      <c r="P91" s="73" t="s">
        <v>1571</v>
      </c>
      <c r="Q91" s="73" t="s">
        <v>1572</v>
      </c>
      <c r="R91" s="73" t="s">
        <v>1573</v>
      </c>
      <c r="S91" s="73"/>
      <c r="T91" s="73"/>
      <c r="U91" s="73" t="s">
        <v>1574</v>
      </c>
      <c r="V91" s="73" t="s">
        <v>1575</v>
      </c>
      <c r="W91" s="73" t="s">
        <v>1576</v>
      </c>
      <c r="X91" s="73"/>
      <c r="Y91" s="73" t="s">
        <v>1577</v>
      </c>
    </row>
    <row r="92" spans="1:25" ht="60.75">
      <c r="A92" s="116">
        <v>91</v>
      </c>
      <c r="B92" s="73" t="s">
        <v>92</v>
      </c>
      <c r="C92" s="73" t="s">
        <v>1563</v>
      </c>
      <c r="D92" s="73" t="s">
        <v>91</v>
      </c>
      <c r="E92" s="73" t="s">
        <v>1588</v>
      </c>
      <c r="F92" s="73" t="s">
        <v>1565</v>
      </c>
      <c r="G92" s="73" t="s">
        <v>1566</v>
      </c>
      <c r="H92" s="73" t="s">
        <v>1589</v>
      </c>
      <c r="I92" s="53" t="s">
        <v>1590</v>
      </c>
      <c r="J92" s="73" t="s">
        <v>1591</v>
      </c>
      <c r="K92" s="73">
        <v>1</v>
      </c>
      <c r="L92" s="53" t="s">
        <v>647</v>
      </c>
      <c r="M92" s="53" t="s">
        <v>648</v>
      </c>
      <c r="N92" s="53" t="str">
        <f>IFERROR(VLOOKUP(TRIM(M92),Mapping!$A:$B,2,FALSE),"")</f>
        <v>Project_035</v>
      </c>
      <c r="O92" s="53" t="s">
        <v>18</v>
      </c>
      <c r="P92" s="73" t="s">
        <v>1582</v>
      </c>
      <c r="Q92" s="73" t="s">
        <v>1572</v>
      </c>
      <c r="R92" s="73" t="s">
        <v>1573</v>
      </c>
      <c r="S92" s="73"/>
      <c r="T92" s="73"/>
      <c r="U92" s="73" t="s">
        <v>1574</v>
      </c>
      <c r="V92" s="73" t="s">
        <v>1575</v>
      </c>
      <c r="W92" s="73" t="s">
        <v>1576</v>
      </c>
      <c r="X92" s="73"/>
      <c r="Y92" s="73" t="s">
        <v>1577</v>
      </c>
    </row>
    <row r="93" spans="1:25" ht="60.75">
      <c r="A93" s="116">
        <v>92</v>
      </c>
      <c r="B93" s="73" t="s">
        <v>92</v>
      </c>
      <c r="C93" s="73" t="s">
        <v>1563</v>
      </c>
      <c r="D93" s="73" t="s">
        <v>91</v>
      </c>
      <c r="E93" s="73" t="s">
        <v>1588</v>
      </c>
      <c r="F93" s="73" t="s">
        <v>1565</v>
      </c>
      <c r="G93" s="73" t="s">
        <v>1566</v>
      </c>
      <c r="H93" s="73" t="s">
        <v>1589</v>
      </c>
      <c r="I93" s="53" t="s">
        <v>1590</v>
      </c>
      <c r="J93" s="73" t="s">
        <v>1591</v>
      </c>
      <c r="K93" s="73">
        <v>1</v>
      </c>
      <c r="L93" s="53" t="s">
        <v>681</v>
      </c>
      <c r="M93" s="53" t="s">
        <v>301</v>
      </c>
      <c r="N93" s="53" t="str">
        <f>IFERROR(VLOOKUP(TRIM(M93),Mapping!$A:$B,2,FALSE),"")</f>
        <v>Project_004</v>
      </c>
      <c r="O93" s="53" t="s">
        <v>18</v>
      </c>
      <c r="P93" s="73" t="s">
        <v>1571</v>
      </c>
      <c r="Q93" s="73" t="s">
        <v>1572</v>
      </c>
      <c r="R93" s="73" t="s">
        <v>1573</v>
      </c>
      <c r="S93" s="73"/>
      <c r="T93" s="73"/>
      <c r="U93" s="73" t="s">
        <v>1574</v>
      </c>
      <c r="V93" s="73" t="s">
        <v>1575</v>
      </c>
      <c r="W93" s="73" t="s">
        <v>1576</v>
      </c>
      <c r="X93" s="73"/>
      <c r="Y93" s="73" t="s">
        <v>1577</v>
      </c>
    </row>
  </sheetData>
  <hyperlinks>
    <hyperlink ref="I2" r:id="rId1" display="https://www.anthropiccertifications.com/courses/claude-certified-architect-foundations" xr:uid="{EBFD2C82-AB8E-4927-A1A9-9868CCD5AF73}"/>
    <hyperlink ref="I3" r:id="rId2" display="https://www.anthropiccertifications.com/courses/claude-certified-architect-foundations" xr:uid="{62AA6EBC-10BD-42EA-9948-AB28BA251CE6}"/>
    <hyperlink ref="I4" r:id="rId3" display="https://www.anthropiccertifications.com/courses/claude-certified-architect-foundations" xr:uid="{B46F7D2D-EC2C-42AC-9115-EDD555607A76}"/>
    <hyperlink ref="I5" r:id="rId4" display="https://www.anthropiccertifications.com/courses/claude-certified-architect-foundations" xr:uid="{6D481A78-8360-4B00-BEB1-EF36BB6D5CA9}"/>
    <hyperlink ref="I6" r:id="rId5" display="https://www.anthropiccertifications.com/courses/claude-certified-architect-foundations" xr:uid="{D85596EC-5B1C-4F02-AEAE-ECD665B8F6F2}"/>
    <hyperlink ref="I7" r:id="rId6" display="https://www.anthropiccertifications.com/courses/claude-certified-architect-foundations" xr:uid="{99D16FFD-156E-4BFB-9FF2-7B512AF1CABC}"/>
    <hyperlink ref="I8" r:id="rId7" display="https://www.anthropiccertifications.com/courses/claude-certified-architect-foundations" xr:uid="{5E9ADDF6-6DE8-4387-B66C-16405688E307}"/>
    <hyperlink ref="I9" r:id="rId8" display="https://www.anthropiccertifications.com/courses/claude-certified-architect-foundations" xr:uid="{93C8ADED-BBE1-41CD-B440-9600E70E0E7A}"/>
    <hyperlink ref="I10" r:id="rId9" display="https://www.anthropiccertifications.com/courses/claude-certified-architect-foundations" xr:uid="{0622608C-05FF-448D-BA25-079486119313}"/>
    <hyperlink ref="I11" r:id="rId10" display="https://www.anthropiccertifications.com/courses/claude-certified-architect-foundations" xr:uid="{59484073-709B-4EBA-A6A7-0EE8BAB7A254}"/>
    <hyperlink ref="I12" r:id="rId11" display="https://www.anthropiccertifications.com/courses/claude-certified-architect-foundations" xr:uid="{4AAD8E3D-EB4D-4615-AAE1-CFB8D972E1F8}"/>
    <hyperlink ref="I13" r:id="rId12" display="https://www.anthropiccertifications.com/courses/claude-certified-architect-foundations" xr:uid="{24656CED-E436-4C5A-95C7-C719B558E90A}"/>
    <hyperlink ref="I14" r:id="rId13" display="https://www.anthropiccertifications.com/courses/claude-certified-architect-foundations" xr:uid="{A40D32DD-F9DF-4663-B325-9801E1221EE3}"/>
    <hyperlink ref="I15" r:id="rId14" display="https://www.anthropiccertifications.com/courses/claude-certified-architect-foundations" xr:uid="{1EB6A3AD-C854-4919-9F3E-1B625813C8BF}"/>
    <hyperlink ref="I16" r:id="rId15" display="https://www.anthropiccertifications.com/courses/claude-certified-architect-foundations" xr:uid="{333EC4A6-F944-4179-90AD-693C59F3DD63}"/>
    <hyperlink ref="I17" r:id="rId16" display="https://www.anthropiccertifications.com/courses/claude-certified-architect-foundations" xr:uid="{362D7796-7713-43D5-8155-CE82E85B5578}"/>
    <hyperlink ref="I18" r:id="rId17" display="https://www.anthropiccertifications.com/courses/claude-certified-architect-foundations" xr:uid="{E5C913C5-26B8-4C36-A134-147E574D49B2}"/>
    <hyperlink ref="I19" r:id="rId18" display="https://www.anthropiccertifications.com/courses/claude-certified-architect-foundations" xr:uid="{CBE8DC60-BDB2-492C-BB3A-C869C1816FB1}"/>
    <hyperlink ref="I20" r:id="rId19" display="https://www.anthropiccertifications.com/courses/claude-certified-architect-foundations" xr:uid="{377E3269-9E92-42AD-B24D-72188553FC6A}"/>
    <hyperlink ref="I21" r:id="rId20" display="https://www.anthropiccertifications.com/courses/claude-certified-architect-foundations" xr:uid="{5E36CA35-9DDA-4453-BD27-48ACFE75696E}"/>
    <hyperlink ref="I22" r:id="rId21" display="https://www.anthropiccertifications.com/courses/claude-certified-architect-foundations" xr:uid="{4FF9C871-F5BF-4904-B599-2CECE52112C5}"/>
    <hyperlink ref="I23" r:id="rId22" display="https://www.anthropiccertifications.com/courses/claude-certified-architect-foundations" xr:uid="{C7A6C47F-A122-441B-9099-64C0016CC8EF}"/>
    <hyperlink ref="I24" r:id="rId23" display="https://www.anthropiccertifications.com/courses/claude-certified-architect-foundations" xr:uid="{CD4C2960-0955-455F-B43C-5C4C3816017D}"/>
    <hyperlink ref="I25" r:id="rId24" display="https://www.anthropiccertifications.com/courses/claude-certified-architect-foundations" xr:uid="{CD6B3D9D-7EE4-4E0C-A224-CA0E1BA114E9}"/>
    <hyperlink ref="I26" r:id="rId25" display="https://www.anthropiccertifications.com/courses/claude-certified-architect-foundations" xr:uid="{EAED9E01-E3E4-40D1-99FA-A92F6F7903BE}"/>
    <hyperlink ref="I27" r:id="rId26" display="https://www.anthropiccertifications.com/courses/claude-certified-architect-foundations" xr:uid="{7BC47E31-AF22-4408-AF85-71843CE062C4}"/>
    <hyperlink ref="I28" r:id="rId27" display="https://www.anthropiccertifications.com/courses/claude-certified-architect-foundations" xr:uid="{CF9E5D23-D495-435B-950A-7E74181FD01D}"/>
    <hyperlink ref="I29" r:id="rId28" display="https://www.anthropiccertifications.com/courses/claude-certified-architect-foundations" xr:uid="{BCA958A2-091E-4DC0-8255-5305244F8CCF}"/>
    <hyperlink ref="I30" r:id="rId29" display="https://www.anthropiccertifications.com/courses/claude-certified-architect-foundations" xr:uid="{C49CC1B1-AB7A-4268-A47F-36BCF945A39A}"/>
    <hyperlink ref="I31" r:id="rId30" display="https://www.anthropiccertifications.com/courses/claude-certified-architect-foundations" xr:uid="{E772168D-ED77-4991-952F-743617B5B645}"/>
    <hyperlink ref="I32" r:id="rId31" display="https://www.anthropiccertifications.com/courses/claude-certified-architect-foundations" xr:uid="{B47482C8-DF5E-4A23-B58C-D756A50EF8EF}"/>
    <hyperlink ref="I33" r:id="rId32" display="https://www.anthropiccertifications.com/courses/claude-certified-architect-foundations" xr:uid="{0B8F0817-8564-49FA-9F0E-17D65F1AFFC6}"/>
    <hyperlink ref="I34" r:id="rId33" display="https://www.anthropiccertifications.com/courses/claude-certified-architect-foundations" xr:uid="{6315B493-386F-4A3D-9386-A5305DCEB86A}"/>
    <hyperlink ref="I35" r:id="rId34" display="https://www.anthropiccertifications.com/courses/claude-certified-architect-foundations" xr:uid="{F5ED738A-91A0-475D-9110-A1866260CADC}"/>
    <hyperlink ref="I36" r:id="rId35" display="https://www.anthropiccertifications.com/courses/claude-certified-architect-foundations" xr:uid="{154B0E33-2BEB-4DBA-ADA2-CBD757FD2CA7}"/>
    <hyperlink ref="I37" r:id="rId36" display="https://www.anthropiccertifications.com/courses/claude-certified-architect-foundations" xr:uid="{BE89C0E7-7D85-451B-99CE-529BD34EDE31}"/>
    <hyperlink ref="I38" r:id="rId37" display="https://www.anthropiccertifications.com/courses/claude-certified-architect-foundations" xr:uid="{7CDFB7CF-654E-45AB-9971-FA7A4B46C9C2}"/>
    <hyperlink ref="I39" r:id="rId38" display="https://www.anthropiccertifications.com/courses/claude-certified-architect-foundations" xr:uid="{79F283D5-7553-483F-B64F-2FE52061E80F}"/>
    <hyperlink ref="I40" r:id="rId39" display="https://www.anthropiccertifications.com/courses/claude-certified-architect-foundations" xr:uid="{EB7C9941-84BE-4B99-8155-A68A20A33AB8}"/>
    <hyperlink ref="I41" r:id="rId40" display="https://www.anthropiccertifications.com/courses/claude-certified-architect-foundations" xr:uid="{46238A5E-8D41-41C1-BD31-029EB6890A87}"/>
    <hyperlink ref="I42" r:id="rId41" display="https://www.anthropiccertifications.com/courses/claude-certified-architect-foundations" xr:uid="{30A2759A-1FDC-4885-B8E1-C23941B49125}"/>
    <hyperlink ref="I43" r:id="rId42" display="https://www.anthropiccertifications.com/courses/claude-certified-architect-foundations" xr:uid="{AB1EA4D9-BA11-41F4-8655-340900FE304A}"/>
    <hyperlink ref="I44" r:id="rId43" display="https://www.anthropiccertifications.com/courses/claude-certified-architect-foundations" xr:uid="{97924258-FE04-484F-9D1D-A9EB9E40EB9E}"/>
    <hyperlink ref="I45" r:id="rId44" display="https://www.anthropiccertifications.com/courses/claude-certified-architect-foundations" xr:uid="{2E79B679-6F2A-42A0-BDF1-463D26C42EDF}"/>
    <hyperlink ref="I46" r:id="rId45" display="https://www.anthropiccertifications.com/courses/claude-certified-architect-foundations" xr:uid="{566EE1CD-E9AD-48E4-99B1-0D11BFDF8A2A}"/>
    <hyperlink ref="I47" r:id="rId46" display="https://www.anthropiccertifications.com/courses/claude-certified-architect-foundations" xr:uid="{A99DF3F5-5ACB-4145-A070-169F9D3FADEF}"/>
    <hyperlink ref="I48" r:id="rId47" display="https://www.anthropiccertifications.com/courses/claude-certified-architect-foundations" xr:uid="{32049E82-3394-4B79-9F72-759E931A547E}"/>
    <hyperlink ref="I49" r:id="rId48" display="https://www.anthropiccertifications.com/courses/claude-certified-architect-foundations" xr:uid="{5B230B03-9054-4FC3-BE14-68C9F71125F2}"/>
    <hyperlink ref="I50" r:id="rId49" display="https://www.anthropiccertifications.com/courses/claude-certified-architect-foundations" xr:uid="{90D84627-F2A2-45AE-AD61-5E188F8A511B}"/>
    <hyperlink ref="I51" r:id="rId50" display="https://www.anthropiccertifications.com/courses/claude-certified-architect-foundations" xr:uid="{53A723BA-5A4E-47CD-86B4-A044940AAF02}"/>
    <hyperlink ref="I52" r:id="rId51" display="https://www.anthropiccertifications.com/courses/claude-certified-architect-foundations" xr:uid="{3F211B1C-25CF-4723-A412-0003BFB238FE}"/>
    <hyperlink ref="I53" r:id="rId52" display="https://www.anthropiccertifications.com/courses/claude-certified-architect-foundations" xr:uid="{A2144F96-9A32-49AB-B597-D45B0A2D37A1}"/>
    <hyperlink ref="I54" r:id="rId53" display="https://www.anthropiccertifications.com/courses/claude-certified-architect-foundations" xr:uid="{910C0369-F2FA-466C-B2F7-89A88FD57F61}"/>
    <hyperlink ref="I55" r:id="rId54" display="https://www.anthropiccertifications.com/courses/claude-certified-architect-foundations" xr:uid="{848A33FD-B6E1-4096-AC0C-4015E6961874}"/>
    <hyperlink ref="I56" r:id="rId55" display="https://www.anthropiccertifications.com/courses/claude-certified-architect-foundations" xr:uid="{866E1D85-361C-4803-878C-AA9BF1C2AC90}"/>
    <hyperlink ref="I57" r:id="rId56" display="https://www.anthropiccertifications.com/courses/claude-certified-architect-foundations" xr:uid="{82714BAC-A3D6-424D-9694-31F37F88BC43}"/>
    <hyperlink ref="I58" r:id="rId57" display="https://www.anthropiccertifications.com/courses/claude-certified-architect-foundations" xr:uid="{FF2A1A1C-D565-47D4-913A-94B1068C7A8F}"/>
    <hyperlink ref="I59" r:id="rId58" display="https://www.anthropiccertifications.com/courses/claude-certified-architect-foundations" xr:uid="{909BDCB0-4974-47AF-A1A0-29F13C87C27C}"/>
    <hyperlink ref="I60" r:id="rId59" display="https://www.anthropiccertifications.com/courses/claude-certified-architect-foundations" xr:uid="{F19FB92F-FDB1-4FC2-AC49-3BDE8B3919E9}"/>
    <hyperlink ref="I61" r:id="rId60" display="https://www.anthropiccertifications.com/courses/claude-certified-architect-foundations" xr:uid="{6D63EFA9-0485-4514-840A-12A35D2192E1}"/>
    <hyperlink ref="I62" r:id="rId61" display="https://www.anthropiccertifications.com/courses/claude-certified-architect-foundations" xr:uid="{537AE8A0-2D6F-4A82-A75C-27678BCA1B55}"/>
    <hyperlink ref="I63" r:id="rId62" display="https://www.anthropiccertifications.com/courses/claude-certified-architect-foundations" xr:uid="{DCA9FBE9-73DE-48C8-A12D-CA691393E729}"/>
    <hyperlink ref="I64" r:id="rId63" display="https://www.anthropiccertifications.com/courses/claude-certified-architect-foundations" xr:uid="{528CD1C8-98FF-4058-ABCD-332AEE191818}"/>
    <hyperlink ref="I65" r:id="rId64" display="https://www.anthropiccertifications.com/courses/claude-certified-architect-foundations" xr:uid="{54283B77-E3DA-48F2-9B56-5C79578CFE4B}"/>
    <hyperlink ref="I66" r:id="rId65" display="https://www.anthropiccertifications.com/courses/claude-certified-architect-foundations" xr:uid="{EC01C007-BF86-4A4B-845A-A33388F9920C}"/>
    <hyperlink ref="I67" r:id="rId66" display="https://www.anthropiccertifications.com/courses/claude-certified-architect-foundations" xr:uid="{FE14CDFF-69E1-433B-98FA-1E56DE656145}"/>
    <hyperlink ref="I68" r:id="rId67" display="https://www.anthropiccertifications.com/courses/claude-certified-architect-foundations" xr:uid="{08EBC56D-98EB-452A-8B1D-014206EF6A76}"/>
    <hyperlink ref="I69" r:id="rId68" display="https://www.anthropiccertifications.com/courses/claude-certified-architect-foundations" xr:uid="{C5494CDB-A020-4C1C-AC3E-CBF1629420F6}"/>
    <hyperlink ref="I70" r:id="rId69" display="https://www.anthropiccertifications.com/courses/claude-certified-architect-foundations" xr:uid="{FCA4478D-AE95-4A82-9AC6-E6867E3DE112}"/>
    <hyperlink ref="I71" r:id="rId70" display="https://www.anthropiccertifications.com/courses/claude-certified-architect-foundations" xr:uid="{7721404E-5067-40E3-B7DA-3707193FF0A2}"/>
    <hyperlink ref="I72" r:id="rId71" display="https://www.anthropiccertifications.com/courses/claude-certified-architect-foundations" xr:uid="{1EE2E14F-46D8-4DFA-9CC0-7770277DB27B}"/>
    <hyperlink ref="I73" r:id="rId72" display="https://www.anthropiccertifications.com/courses/claude-certified-architect-foundations" xr:uid="{4471ED86-B3D3-43CF-9DC2-64FF9FCEE113}"/>
    <hyperlink ref="I74" r:id="rId73" display="https://www.anthropiccertifications.com/courses/claude-certified-architect-foundations" xr:uid="{98FAFADE-D87D-4658-A3B6-4AA3AE32CF22}"/>
    <hyperlink ref="I75" r:id="rId74" display="https://www.anthropiccertifications.com/courses/claude-certified-architect-foundations" xr:uid="{B45E0AC9-C0C8-4017-8BA4-DBBE3E525ACF}"/>
    <hyperlink ref="I76" r:id="rId75" display="https://www.anthropiccertifications.com/courses/claude-certified-architect-foundations" xr:uid="{EA357EC5-CC27-43D5-818E-620D3B0CB337}"/>
    <hyperlink ref="I77" r:id="rId76" display="https://www.anthropiccertifications.com/courses/claude-certified-architect-foundations" xr:uid="{D661E7D9-5011-4502-B4CE-6CF9EEF9D819}"/>
    <hyperlink ref="I78" r:id="rId77" display="https://www.anthropiccertifications.com/courses/claude-certified-architect-foundations" xr:uid="{8D4BD6CC-0CE5-4B60-A542-CBD633E37975}"/>
    <hyperlink ref="I79" r:id="rId78" display="https://www.anthropiccertifications.com/courses/claude-certified-architect-foundations" xr:uid="{692C2629-6C6E-45E2-BD3A-320B0C2D57DD}"/>
    <hyperlink ref="I80" r:id="rId79" display="https://www.anthropiccertifications.com/courses/claude-certified-architect-foundations" xr:uid="{93191474-7B34-4090-B9EB-FA47D4844638}"/>
    <hyperlink ref="I81" r:id="rId80" display="https://www.anthropiccertifications.com/courses/claude-certified-architect-foundations" xr:uid="{7E45F705-626F-4A34-995C-9FF71A0B5AC8}"/>
    <hyperlink ref="I82" r:id="rId81" display="https://www.anthropiccertifications.com/courses/claude-certified-architect-foundations" xr:uid="{9CBC0104-2C45-48E7-80C7-61E28120A5EE}"/>
    <hyperlink ref="I83" r:id="rId82" display="https://www.anthropiccertifications.com/courses/claude-certified-architect-foundations" xr:uid="{12854E1A-376C-4E7A-863C-517E5885F9A5}"/>
    <hyperlink ref="I84" r:id="rId83" display="https://www.anthropiccertifications.com/courses/claude-certified-architect-foundations" xr:uid="{3788AB49-0983-49BF-89BD-DAE3F4AA85BF}"/>
    <hyperlink ref="I85" r:id="rId84" display="https://www.anthropiccertifications.com/courses/claude-certified-architect-foundations" xr:uid="{4175BD98-3880-4C78-8E17-49BF74D825AD}"/>
    <hyperlink ref="I86" r:id="rId85" display="https://www.anthropiccertifications.com/courses/claude-certified-architect-foundations" xr:uid="{23CDE80E-4BBC-409C-B889-5CBCD286FB24}"/>
    <hyperlink ref="I87" r:id="rId86" display="https://www.anthropiccertifications.com/courses/claude-certified-architect-foundations" xr:uid="{AFD1A6E6-F969-4579-987D-F9D5A1939C06}"/>
    <hyperlink ref="I88" r:id="rId87" display="https://www.anthropiccertifications.com/courses/claude-certified-architect-foundations" xr:uid="{5EFBBC6B-16BC-43D7-9E86-57F5BD1C08A6}"/>
    <hyperlink ref="I89" r:id="rId88" display="https://www.anthropiccertifications.com/courses/claude-certified-architect-foundations" xr:uid="{BFF10144-B09E-4208-95AD-6482D0A70131}"/>
    <hyperlink ref="I90" r:id="rId89" display="https://www.anthropiccertifications.com/courses/claude-certified-architect-foundations" xr:uid="{4245C375-A0C7-4473-BF55-DADD3186306E}"/>
    <hyperlink ref="I91" r:id="rId90" display="https://www.anthropiccertifications.com/courses/claude-certified-architect-foundations" xr:uid="{B3ECE7F5-6015-4B59-9BAB-FA4CB1FA84A3}"/>
    <hyperlink ref="I92" r:id="rId91" display="https://www.anthropiccertifications.com/courses/claude-certified-architect-foundations" xr:uid="{6AC1DEDC-3E15-4BDA-AF94-5B986FD1903A}"/>
    <hyperlink ref="I93" r:id="rId92" display="https://www.anthropiccertifications.com/courses/claude-certified-architect-foundations" xr:uid="{95D170E5-A4C0-4CCB-9B02-DD4E9A6F689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AC34-AF99-45F0-B665-062BA2479B82}">
  <dimension ref="A1:Y101"/>
  <sheetViews>
    <sheetView topLeftCell="A96" workbookViewId="0">
      <selection activeCell="J6" sqref="J6"/>
    </sheetView>
  </sheetViews>
  <sheetFormatPr defaultColWidth="9.140625" defaultRowHeight="15"/>
  <cols>
    <col min="1" max="1" width="10" style="103" customWidth="1"/>
    <col min="2" max="8" width="15.42578125" style="4" customWidth="1"/>
    <col min="9" max="9" width="15.42578125" customWidth="1"/>
    <col min="10" max="12" width="15.42578125" style="4" customWidth="1"/>
    <col min="13" max="13" width="15.42578125" style="4" hidden="1" customWidth="1"/>
    <col min="14" max="17" width="15.42578125" style="4" customWidth="1"/>
    <col min="18" max="18" width="23.42578125" style="4" customWidth="1"/>
    <col min="19" max="19" width="22" style="4" customWidth="1"/>
    <col min="20" max="20" width="15.42578125" style="4" customWidth="1"/>
    <col min="21" max="21" width="30" style="4" customWidth="1"/>
    <col min="22" max="25" width="15.42578125" style="4" customWidth="1"/>
  </cols>
  <sheetData>
    <row r="1" spans="1:25" ht="25.5">
      <c r="A1" s="114" t="s">
        <v>1539</v>
      </c>
      <c r="B1" s="114" t="s">
        <v>1540</v>
      </c>
      <c r="C1" s="114" t="s">
        <v>1541</v>
      </c>
      <c r="D1" s="114" t="s">
        <v>1542</v>
      </c>
      <c r="E1" s="114" t="s">
        <v>1543</v>
      </c>
      <c r="F1" s="114" t="s">
        <v>1544</v>
      </c>
      <c r="G1" s="114" t="s">
        <v>1545</v>
      </c>
      <c r="H1" s="114" t="s">
        <v>1546</v>
      </c>
      <c r="I1" s="114" t="s">
        <v>1547</v>
      </c>
      <c r="J1" s="114" t="s">
        <v>1548</v>
      </c>
      <c r="K1" s="114" t="s">
        <v>1549</v>
      </c>
      <c r="L1" s="115" t="s">
        <v>1550</v>
      </c>
      <c r="M1" s="115" t="s">
        <v>1594</v>
      </c>
      <c r="N1" s="115" t="s">
        <v>1551</v>
      </c>
      <c r="O1" s="114" t="s">
        <v>1552</v>
      </c>
      <c r="P1" s="114" t="s">
        <v>1553</v>
      </c>
      <c r="Q1" s="114" t="s">
        <v>1554</v>
      </c>
      <c r="R1" s="114" t="s">
        <v>1555</v>
      </c>
      <c r="S1" s="114" t="s">
        <v>1556</v>
      </c>
      <c r="T1" s="114" t="s">
        <v>1557</v>
      </c>
      <c r="U1" s="114" t="s">
        <v>1558</v>
      </c>
      <c r="V1" s="114" t="s">
        <v>1559</v>
      </c>
      <c r="W1" s="114" t="s">
        <v>1560</v>
      </c>
      <c r="X1" s="114" t="s">
        <v>1561</v>
      </c>
      <c r="Y1" s="114" t="s">
        <v>1562</v>
      </c>
    </row>
    <row r="2" spans="1:25" ht="45.75">
      <c r="A2" s="116">
        <v>1</v>
      </c>
      <c r="B2" s="73" t="s">
        <v>92</v>
      </c>
      <c r="C2" s="73" t="s">
        <v>1563</v>
      </c>
      <c r="D2" s="73" t="s">
        <v>91</v>
      </c>
      <c r="E2" s="73" t="s">
        <v>1595</v>
      </c>
      <c r="F2" s="73" t="s">
        <v>1565</v>
      </c>
      <c r="G2" s="73" t="s">
        <v>1566</v>
      </c>
      <c r="H2" s="73" t="s">
        <v>1596</v>
      </c>
      <c r="I2" s="117" t="s">
        <v>1597</v>
      </c>
      <c r="J2" s="73" t="s">
        <v>1598</v>
      </c>
      <c r="K2" s="73">
        <v>1</v>
      </c>
      <c r="L2" s="53" t="s">
        <v>85</v>
      </c>
      <c r="M2" s="53" t="s">
        <v>284</v>
      </c>
      <c r="N2" s="53" t="str">
        <f>IFERROR(VLOOKUP(TRIM(M2),Mapping!$A:$B,2,FALSE),"")</f>
        <v>Project_001</v>
      </c>
      <c r="O2" s="53" t="s">
        <v>1581</v>
      </c>
      <c r="P2" s="73" t="s">
        <v>1582</v>
      </c>
      <c r="Q2" s="73" t="s">
        <v>1599</v>
      </c>
      <c r="R2" s="73" t="s">
        <v>1600</v>
      </c>
      <c r="S2" s="73"/>
      <c r="T2" s="73"/>
      <c r="U2" s="73" t="s">
        <v>1574</v>
      </c>
      <c r="V2" s="73" t="s">
        <v>1575</v>
      </c>
      <c r="W2" s="73" t="s">
        <v>1576</v>
      </c>
      <c r="X2" s="73"/>
      <c r="Y2" s="73" t="s">
        <v>1577</v>
      </c>
    </row>
    <row r="3" spans="1:25" ht="45.75">
      <c r="A3" s="116">
        <v>2</v>
      </c>
      <c r="B3" s="73" t="s">
        <v>92</v>
      </c>
      <c r="C3" s="73" t="s">
        <v>1563</v>
      </c>
      <c r="D3" s="73" t="s">
        <v>91</v>
      </c>
      <c r="E3" s="73" t="s">
        <v>1595</v>
      </c>
      <c r="F3" s="73" t="s">
        <v>1565</v>
      </c>
      <c r="G3" s="73" t="s">
        <v>1566</v>
      </c>
      <c r="H3" s="73" t="s">
        <v>1596</v>
      </c>
      <c r="I3" s="53" t="s">
        <v>1597</v>
      </c>
      <c r="J3" s="73" t="s">
        <v>1598</v>
      </c>
      <c r="K3" s="73">
        <v>1</v>
      </c>
      <c r="L3" s="53" t="s">
        <v>97</v>
      </c>
      <c r="M3" s="53" t="s">
        <v>292</v>
      </c>
      <c r="N3" s="53" t="str">
        <f>IFERROR(VLOOKUP(TRIM(M3),Mapping!$A:$B,2,FALSE),"")</f>
        <v>Project_002</v>
      </c>
      <c r="O3" s="53" t="s">
        <v>1581</v>
      </c>
      <c r="P3" s="73" t="s">
        <v>1582</v>
      </c>
      <c r="Q3" s="73" t="s">
        <v>1599</v>
      </c>
      <c r="R3" s="73" t="s">
        <v>1600</v>
      </c>
      <c r="S3" s="73"/>
      <c r="T3" s="73"/>
      <c r="U3" s="73" t="s">
        <v>1574</v>
      </c>
      <c r="V3" s="73" t="s">
        <v>1575</v>
      </c>
      <c r="W3" s="73" t="s">
        <v>1576</v>
      </c>
      <c r="X3" s="73"/>
      <c r="Y3" s="73" t="s">
        <v>1577</v>
      </c>
    </row>
    <row r="4" spans="1:25" ht="45.75">
      <c r="A4" s="116">
        <v>3</v>
      </c>
      <c r="B4" s="73" t="s">
        <v>92</v>
      </c>
      <c r="C4" s="73" t="s">
        <v>1563</v>
      </c>
      <c r="D4" s="73" t="s">
        <v>91</v>
      </c>
      <c r="E4" s="73" t="s">
        <v>1595</v>
      </c>
      <c r="F4" s="73" t="s">
        <v>1565</v>
      </c>
      <c r="G4" s="73" t="s">
        <v>1566</v>
      </c>
      <c r="H4" s="73" t="s">
        <v>1596</v>
      </c>
      <c r="I4" s="53" t="s">
        <v>1597</v>
      </c>
      <c r="J4" s="73" t="s">
        <v>1598</v>
      </c>
      <c r="K4" s="73">
        <v>1</v>
      </c>
      <c r="L4" s="53" t="s">
        <v>99</v>
      </c>
      <c r="M4" s="53" t="s">
        <v>298</v>
      </c>
      <c r="N4" s="53" t="str">
        <f>IFERROR(VLOOKUP(TRIM(M4),Mapping!$A:$B,2,FALSE),"")</f>
        <v>Project_003</v>
      </c>
      <c r="O4" s="53" t="s">
        <v>26</v>
      </c>
      <c r="P4" s="73" t="s">
        <v>1585</v>
      </c>
      <c r="Q4" s="73" t="s">
        <v>1599</v>
      </c>
      <c r="R4" s="73" t="s">
        <v>1600</v>
      </c>
      <c r="S4" s="73"/>
      <c r="T4" s="73"/>
      <c r="U4" s="73" t="s">
        <v>1574</v>
      </c>
      <c r="V4" s="73" t="s">
        <v>1575</v>
      </c>
      <c r="W4" s="73" t="s">
        <v>1576</v>
      </c>
      <c r="X4" s="73"/>
      <c r="Y4" s="73" t="s">
        <v>1577</v>
      </c>
    </row>
    <row r="5" spans="1:25" ht="45.75">
      <c r="A5" s="116">
        <v>4</v>
      </c>
      <c r="B5" s="73" t="s">
        <v>92</v>
      </c>
      <c r="C5" s="73" t="s">
        <v>1563</v>
      </c>
      <c r="D5" s="73" t="s">
        <v>91</v>
      </c>
      <c r="E5" s="73" t="s">
        <v>1595</v>
      </c>
      <c r="F5" s="73" t="s">
        <v>1565</v>
      </c>
      <c r="G5" s="73" t="s">
        <v>1566</v>
      </c>
      <c r="H5" s="73" t="s">
        <v>1596</v>
      </c>
      <c r="I5" s="53" t="s">
        <v>1597</v>
      </c>
      <c r="J5" s="73" t="s">
        <v>1598</v>
      </c>
      <c r="K5" s="73">
        <v>1</v>
      </c>
      <c r="L5" s="53" t="s">
        <v>106</v>
      </c>
      <c r="M5" s="53" t="s">
        <v>301</v>
      </c>
      <c r="N5" s="53" t="str">
        <f>IFERROR(VLOOKUP(TRIM(M5),Mapping!$A:$B,2,FALSE),"")</f>
        <v>Project_004</v>
      </c>
      <c r="O5" s="53" t="s">
        <v>1581</v>
      </c>
      <c r="P5" s="73" t="s">
        <v>1584</v>
      </c>
      <c r="Q5" s="73" t="s">
        <v>1599</v>
      </c>
      <c r="R5" s="73" t="s">
        <v>1600</v>
      </c>
      <c r="S5" s="73"/>
      <c r="T5" s="73"/>
      <c r="U5" s="73" t="s">
        <v>1574</v>
      </c>
      <c r="V5" s="73" t="s">
        <v>1575</v>
      </c>
      <c r="W5" s="73" t="s">
        <v>1576</v>
      </c>
      <c r="X5" s="73"/>
      <c r="Y5" s="73" t="s">
        <v>1577</v>
      </c>
    </row>
    <row r="6" spans="1:25" ht="45.75">
      <c r="A6" s="116">
        <v>5</v>
      </c>
      <c r="B6" s="73" t="s">
        <v>92</v>
      </c>
      <c r="C6" s="73" t="s">
        <v>1563</v>
      </c>
      <c r="D6" s="73" t="s">
        <v>91</v>
      </c>
      <c r="E6" s="73" t="s">
        <v>1595</v>
      </c>
      <c r="F6" s="73" t="s">
        <v>1565</v>
      </c>
      <c r="G6" s="73" t="s">
        <v>1566</v>
      </c>
      <c r="H6" s="73" t="s">
        <v>1596</v>
      </c>
      <c r="I6" s="53" t="s">
        <v>1597</v>
      </c>
      <c r="J6" s="73" t="s">
        <v>1598</v>
      </c>
      <c r="K6" s="73">
        <v>1</v>
      </c>
      <c r="L6" s="53" t="s">
        <v>110</v>
      </c>
      <c r="M6" s="53" t="s">
        <v>305</v>
      </c>
      <c r="N6" s="53" t="str">
        <f>IFERROR(VLOOKUP(TRIM(M6),Mapping!$A:$B,2,FALSE),"")</f>
        <v>Project_005</v>
      </c>
      <c r="O6" s="53" t="s">
        <v>4</v>
      </c>
      <c r="P6" s="73" t="s">
        <v>1584</v>
      </c>
      <c r="Q6" s="73" t="s">
        <v>1599</v>
      </c>
      <c r="R6" s="73" t="s">
        <v>1600</v>
      </c>
      <c r="S6" s="73"/>
      <c r="T6" s="73"/>
      <c r="U6" s="73" t="s">
        <v>1574</v>
      </c>
      <c r="V6" s="73" t="s">
        <v>1575</v>
      </c>
      <c r="W6" s="73" t="s">
        <v>1576</v>
      </c>
      <c r="X6" s="73"/>
      <c r="Y6" s="73" t="s">
        <v>1577</v>
      </c>
    </row>
    <row r="7" spans="1:25" ht="45.75">
      <c r="A7" s="116">
        <v>6</v>
      </c>
      <c r="B7" s="73" t="s">
        <v>92</v>
      </c>
      <c r="C7" s="73" t="s">
        <v>1563</v>
      </c>
      <c r="D7" s="73" t="s">
        <v>91</v>
      </c>
      <c r="E7" s="73" t="s">
        <v>1595</v>
      </c>
      <c r="F7" s="73" t="s">
        <v>1565</v>
      </c>
      <c r="G7" s="73" t="s">
        <v>1566</v>
      </c>
      <c r="H7" s="73" t="s">
        <v>1596</v>
      </c>
      <c r="I7" s="53" t="s">
        <v>1597</v>
      </c>
      <c r="J7" s="73" t="s">
        <v>1598</v>
      </c>
      <c r="K7" s="73">
        <v>1</v>
      </c>
      <c r="L7" s="53" t="s">
        <v>119</v>
      </c>
      <c r="M7" s="53" t="s">
        <v>315</v>
      </c>
      <c r="N7" s="53" t="str">
        <f>IFERROR(VLOOKUP(TRIM(M7),Mapping!$A:$B,2,FALSE),"")</f>
        <v>Project_007</v>
      </c>
      <c r="O7" s="53" t="s">
        <v>1578</v>
      </c>
      <c r="P7" s="73" t="s">
        <v>1585</v>
      </c>
      <c r="Q7" s="73" t="s">
        <v>1599</v>
      </c>
      <c r="R7" s="73" t="s">
        <v>1600</v>
      </c>
      <c r="S7" s="73"/>
      <c r="T7" s="73"/>
      <c r="U7" s="73" t="s">
        <v>1574</v>
      </c>
      <c r="V7" s="73" t="s">
        <v>1575</v>
      </c>
      <c r="W7" s="73" t="s">
        <v>1576</v>
      </c>
      <c r="X7" s="73"/>
      <c r="Y7" s="73" t="s">
        <v>1577</v>
      </c>
    </row>
    <row r="8" spans="1:25" ht="45.75">
      <c r="A8" s="116">
        <v>7</v>
      </c>
      <c r="B8" s="73" t="s">
        <v>92</v>
      </c>
      <c r="C8" s="73" t="s">
        <v>1563</v>
      </c>
      <c r="D8" s="73" t="s">
        <v>91</v>
      </c>
      <c r="E8" s="73" t="s">
        <v>1595</v>
      </c>
      <c r="F8" s="73" t="s">
        <v>1565</v>
      </c>
      <c r="G8" s="73" t="s">
        <v>1566</v>
      </c>
      <c r="H8" s="73" t="s">
        <v>1596</v>
      </c>
      <c r="I8" s="53" t="s">
        <v>1597</v>
      </c>
      <c r="J8" s="73" t="s">
        <v>1598</v>
      </c>
      <c r="K8" s="73">
        <v>1</v>
      </c>
      <c r="L8" s="53" t="s">
        <v>124</v>
      </c>
      <c r="M8" s="53" t="s">
        <v>318</v>
      </c>
      <c r="N8" s="53" t="str">
        <f>IFERROR(VLOOKUP(TRIM(M8),Mapping!$A:$B,2,FALSE),"")</f>
        <v>Project_008</v>
      </c>
      <c r="O8" s="53" t="s">
        <v>4</v>
      </c>
      <c r="P8" s="73" t="s">
        <v>1582</v>
      </c>
      <c r="Q8" s="73" t="s">
        <v>1599</v>
      </c>
      <c r="R8" s="73" t="s">
        <v>1600</v>
      </c>
      <c r="S8" s="73"/>
      <c r="T8" s="73"/>
      <c r="U8" s="73" t="s">
        <v>1574</v>
      </c>
      <c r="V8" s="73" t="s">
        <v>1575</v>
      </c>
      <c r="W8" s="73" t="s">
        <v>1576</v>
      </c>
      <c r="X8" s="73"/>
      <c r="Y8" s="73" t="s">
        <v>1577</v>
      </c>
    </row>
    <row r="9" spans="1:25" ht="45.75">
      <c r="A9" s="116">
        <v>8</v>
      </c>
      <c r="B9" s="73" t="s">
        <v>92</v>
      </c>
      <c r="C9" s="73" t="s">
        <v>1563</v>
      </c>
      <c r="D9" s="73" t="s">
        <v>91</v>
      </c>
      <c r="E9" s="73" t="s">
        <v>1595</v>
      </c>
      <c r="F9" s="73" t="s">
        <v>1565</v>
      </c>
      <c r="G9" s="73" t="s">
        <v>1566</v>
      </c>
      <c r="H9" s="73" t="s">
        <v>1596</v>
      </c>
      <c r="I9" s="53" t="s">
        <v>1597</v>
      </c>
      <c r="J9" s="73" t="s">
        <v>1598</v>
      </c>
      <c r="K9" s="73">
        <v>1</v>
      </c>
      <c r="L9" s="53" t="s">
        <v>129</v>
      </c>
      <c r="M9" s="53" t="s">
        <v>298</v>
      </c>
      <c r="N9" s="53" t="str">
        <f>IFERROR(VLOOKUP(TRIM(M9),Mapping!$A:$B,2,FALSE),"")</f>
        <v>Project_003</v>
      </c>
      <c r="O9" s="53" t="s">
        <v>1592</v>
      </c>
      <c r="P9" s="73" t="s">
        <v>1582</v>
      </c>
      <c r="Q9" s="73" t="s">
        <v>1599</v>
      </c>
      <c r="R9" s="73" t="s">
        <v>1600</v>
      </c>
      <c r="S9" s="73"/>
      <c r="T9" s="73"/>
      <c r="U9" s="73" t="s">
        <v>1574</v>
      </c>
      <c r="V9" s="73" t="s">
        <v>1575</v>
      </c>
      <c r="W9" s="73" t="s">
        <v>1576</v>
      </c>
      <c r="X9" s="73"/>
      <c r="Y9" s="73" t="s">
        <v>1577</v>
      </c>
    </row>
    <row r="10" spans="1:25" ht="45.75">
      <c r="A10" s="116">
        <v>9</v>
      </c>
      <c r="B10" s="73" t="s">
        <v>92</v>
      </c>
      <c r="C10" s="73" t="s">
        <v>1563</v>
      </c>
      <c r="D10" s="73" t="s">
        <v>91</v>
      </c>
      <c r="E10" s="73" t="s">
        <v>1595</v>
      </c>
      <c r="F10" s="73" t="s">
        <v>1565</v>
      </c>
      <c r="G10" s="73" t="s">
        <v>1566</v>
      </c>
      <c r="H10" s="73" t="s">
        <v>1596</v>
      </c>
      <c r="I10" s="53" t="s">
        <v>1597</v>
      </c>
      <c r="J10" s="73" t="s">
        <v>1598</v>
      </c>
      <c r="K10" s="73">
        <v>1</v>
      </c>
      <c r="L10" s="53" t="s">
        <v>133</v>
      </c>
      <c r="M10" s="53" t="s">
        <v>323</v>
      </c>
      <c r="N10" s="53" t="str">
        <f>IFERROR(VLOOKUP(TRIM(M10),Mapping!$A:$B,2,FALSE),"")</f>
        <v>Project_009</v>
      </c>
      <c r="O10" s="53" t="s">
        <v>18</v>
      </c>
      <c r="P10" s="73" t="s">
        <v>1584</v>
      </c>
      <c r="Q10" s="73" t="s">
        <v>1599</v>
      </c>
      <c r="R10" s="73" t="s">
        <v>1600</v>
      </c>
      <c r="S10" s="73"/>
      <c r="T10" s="73"/>
      <c r="U10" s="73" t="s">
        <v>1574</v>
      </c>
      <c r="V10" s="73" t="s">
        <v>1575</v>
      </c>
      <c r="W10" s="73" t="s">
        <v>1576</v>
      </c>
      <c r="X10" s="73"/>
      <c r="Y10" s="73" t="s">
        <v>1577</v>
      </c>
    </row>
    <row r="11" spans="1:25" ht="45.75">
      <c r="A11" s="116">
        <v>10</v>
      </c>
      <c r="B11" s="73" t="s">
        <v>92</v>
      </c>
      <c r="C11" s="73" t="s">
        <v>1563</v>
      </c>
      <c r="D11" s="73" t="s">
        <v>91</v>
      </c>
      <c r="E11" s="73" t="s">
        <v>1595</v>
      </c>
      <c r="F11" s="73" t="s">
        <v>1565</v>
      </c>
      <c r="G11" s="73" t="s">
        <v>1566</v>
      </c>
      <c r="H11" s="73" t="s">
        <v>1596</v>
      </c>
      <c r="I11" s="53" t="s">
        <v>1597</v>
      </c>
      <c r="J11" s="73" t="s">
        <v>1598</v>
      </c>
      <c r="K11" s="73">
        <v>1</v>
      </c>
      <c r="L11" s="53" t="s">
        <v>138</v>
      </c>
      <c r="M11" s="53" t="s">
        <v>327</v>
      </c>
      <c r="N11" s="53" t="str">
        <f>IFERROR(VLOOKUP(TRIM(M11),Mapping!$A:$B,2,FALSE),"")</f>
        <v>Project_010</v>
      </c>
      <c r="O11" s="53" t="s">
        <v>18</v>
      </c>
      <c r="P11" s="73" t="s">
        <v>1571</v>
      </c>
      <c r="Q11" s="73" t="s">
        <v>1599</v>
      </c>
      <c r="R11" s="73" t="s">
        <v>1600</v>
      </c>
      <c r="S11" s="73"/>
      <c r="T11" s="73"/>
      <c r="U11" s="73" t="s">
        <v>1574</v>
      </c>
      <c r="V11" s="73" t="s">
        <v>1575</v>
      </c>
      <c r="W11" s="73" t="s">
        <v>1576</v>
      </c>
      <c r="X11" s="73"/>
      <c r="Y11" s="73" t="s">
        <v>1577</v>
      </c>
    </row>
    <row r="12" spans="1:25" ht="45.75">
      <c r="A12" s="116">
        <v>11</v>
      </c>
      <c r="B12" s="73" t="s">
        <v>92</v>
      </c>
      <c r="C12" s="73" t="s">
        <v>1563</v>
      </c>
      <c r="D12" s="73" t="s">
        <v>91</v>
      </c>
      <c r="E12" s="73" t="s">
        <v>1595</v>
      </c>
      <c r="F12" s="73" t="s">
        <v>1565</v>
      </c>
      <c r="G12" s="73" t="s">
        <v>1566</v>
      </c>
      <c r="H12" s="73" t="s">
        <v>1596</v>
      </c>
      <c r="I12" s="53" t="s">
        <v>1597</v>
      </c>
      <c r="J12" s="73" t="s">
        <v>1598</v>
      </c>
      <c r="K12" s="73">
        <v>1</v>
      </c>
      <c r="L12" s="53" t="s">
        <v>140</v>
      </c>
      <c r="M12" s="53" t="s">
        <v>331</v>
      </c>
      <c r="N12" s="53" t="str">
        <f>IFERROR(VLOOKUP(TRIM(M12),Mapping!$A:$B,2,FALSE),"")</f>
        <v>Project_011</v>
      </c>
      <c r="O12" s="53" t="s">
        <v>18</v>
      </c>
      <c r="P12" s="73" t="s">
        <v>1571</v>
      </c>
      <c r="Q12" s="73" t="s">
        <v>1599</v>
      </c>
      <c r="R12" s="73" t="s">
        <v>1600</v>
      </c>
      <c r="S12" s="73"/>
      <c r="T12" s="73"/>
      <c r="U12" s="73" t="s">
        <v>1574</v>
      </c>
      <c r="V12" s="73" t="s">
        <v>1575</v>
      </c>
      <c r="W12" s="73" t="s">
        <v>1576</v>
      </c>
      <c r="X12" s="73"/>
      <c r="Y12" s="73" t="s">
        <v>1577</v>
      </c>
    </row>
    <row r="13" spans="1:25" ht="45.75">
      <c r="A13" s="116">
        <v>12</v>
      </c>
      <c r="B13" s="73" t="s">
        <v>92</v>
      </c>
      <c r="C13" s="73" t="s">
        <v>1563</v>
      </c>
      <c r="D13" s="73" t="s">
        <v>91</v>
      </c>
      <c r="E13" s="73" t="s">
        <v>1595</v>
      </c>
      <c r="F13" s="73" t="s">
        <v>1565</v>
      </c>
      <c r="G13" s="73" t="s">
        <v>1566</v>
      </c>
      <c r="H13" s="73" t="s">
        <v>1596</v>
      </c>
      <c r="I13" s="53" t="s">
        <v>1597</v>
      </c>
      <c r="J13" s="73" t="s">
        <v>1598</v>
      </c>
      <c r="K13" s="73">
        <v>1</v>
      </c>
      <c r="L13" s="53" t="s">
        <v>145</v>
      </c>
      <c r="M13" s="53" t="s">
        <v>301</v>
      </c>
      <c r="N13" s="53" t="str">
        <f>IFERROR(VLOOKUP(TRIM(M13),Mapping!$A:$B,2,FALSE),"")</f>
        <v>Project_004</v>
      </c>
      <c r="O13" s="53" t="s">
        <v>1581</v>
      </c>
      <c r="P13" s="73" t="s">
        <v>1571</v>
      </c>
      <c r="Q13" s="73" t="s">
        <v>1599</v>
      </c>
      <c r="R13" s="73" t="s">
        <v>1600</v>
      </c>
      <c r="S13" s="73"/>
      <c r="T13" s="73"/>
      <c r="U13" s="73" t="s">
        <v>1574</v>
      </c>
      <c r="V13" s="73" t="s">
        <v>1575</v>
      </c>
      <c r="W13" s="73" t="s">
        <v>1576</v>
      </c>
      <c r="X13" s="73"/>
      <c r="Y13" s="73" t="s">
        <v>1577</v>
      </c>
    </row>
    <row r="14" spans="1:25" ht="45.75">
      <c r="A14" s="116">
        <v>13</v>
      </c>
      <c r="B14" s="73" t="s">
        <v>92</v>
      </c>
      <c r="C14" s="73" t="s">
        <v>1563</v>
      </c>
      <c r="D14" s="73" t="s">
        <v>91</v>
      </c>
      <c r="E14" s="73" t="s">
        <v>1595</v>
      </c>
      <c r="F14" s="73" t="s">
        <v>1565</v>
      </c>
      <c r="G14" s="73" t="s">
        <v>1566</v>
      </c>
      <c r="H14" s="73" t="s">
        <v>1596</v>
      </c>
      <c r="I14" s="53" t="s">
        <v>1597</v>
      </c>
      <c r="J14" s="73" t="s">
        <v>1598</v>
      </c>
      <c r="K14" s="73">
        <v>1</v>
      </c>
      <c r="L14" s="53" t="s">
        <v>154</v>
      </c>
      <c r="M14" s="53" t="s">
        <v>341</v>
      </c>
      <c r="N14" s="53" t="str">
        <f>IFERROR(VLOOKUP(TRIM(M14),Mapping!$A:$B,2,FALSE),"")</f>
        <v>Project_013</v>
      </c>
      <c r="O14" s="53" t="s">
        <v>1581</v>
      </c>
      <c r="P14" s="73" t="s">
        <v>1582</v>
      </c>
      <c r="Q14" s="73" t="s">
        <v>1599</v>
      </c>
      <c r="R14" s="73" t="s">
        <v>1600</v>
      </c>
      <c r="S14" s="73"/>
      <c r="T14" s="73"/>
      <c r="U14" s="73" t="s">
        <v>1574</v>
      </c>
      <c r="V14" s="73" t="s">
        <v>1575</v>
      </c>
      <c r="W14" s="73" t="s">
        <v>1576</v>
      </c>
      <c r="X14" s="73"/>
      <c r="Y14" s="73" t="s">
        <v>1577</v>
      </c>
    </row>
    <row r="15" spans="1:25" ht="45.75">
      <c r="A15" s="116">
        <v>14</v>
      </c>
      <c r="B15" s="73" t="s">
        <v>92</v>
      </c>
      <c r="C15" s="73" t="s">
        <v>1563</v>
      </c>
      <c r="D15" s="73" t="s">
        <v>91</v>
      </c>
      <c r="E15" s="73" t="s">
        <v>1595</v>
      </c>
      <c r="F15" s="73" t="s">
        <v>1565</v>
      </c>
      <c r="G15" s="73" t="s">
        <v>1566</v>
      </c>
      <c r="H15" s="73" t="s">
        <v>1596</v>
      </c>
      <c r="I15" s="53" t="s">
        <v>1597</v>
      </c>
      <c r="J15" s="73" t="s">
        <v>1598</v>
      </c>
      <c r="K15" s="73">
        <v>1</v>
      </c>
      <c r="L15" s="53" t="s">
        <v>158</v>
      </c>
      <c r="M15" s="53" t="s">
        <v>348</v>
      </c>
      <c r="N15" s="53" t="str">
        <f>IFERROR(VLOOKUP(TRIM(M15),Mapping!$A:$B,2,FALSE),"")</f>
        <v>Project_014</v>
      </c>
      <c r="O15" s="53" t="s">
        <v>14</v>
      </c>
      <c r="P15" s="73" t="s">
        <v>1582</v>
      </c>
      <c r="Q15" s="73" t="s">
        <v>1599</v>
      </c>
      <c r="R15" s="73" t="s">
        <v>1600</v>
      </c>
      <c r="S15" s="73"/>
      <c r="T15" s="73"/>
      <c r="U15" s="73" t="s">
        <v>1574</v>
      </c>
      <c r="V15" s="73" t="s">
        <v>1575</v>
      </c>
      <c r="W15" s="73" t="s">
        <v>1576</v>
      </c>
      <c r="X15" s="73"/>
      <c r="Y15" s="73" t="s">
        <v>1577</v>
      </c>
    </row>
    <row r="16" spans="1:25" ht="45.75">
      <c r="A16" s="116">
        <v>15</v>
      </c>
      <c r="B16" s="73" t="s">
        <v>92</v>
      </c>
      <c r="C16" s="73" t="s">
        <v>1563</v>
      </c>
      <c r="D16" s="73" t="s">
        <v>91</v>
      </c>
      <c r="E16" s="73" t="s">
        <v>1595</v>
      </c>
      <c r="F16" s="73" t="s">
        <v>1565</v>
      </c>
      <c r="G16" s="73" t="s">
        <v>1566</v>
      </c>
      <c r="H16" s="73" t="s">
        <v>1596</v>
      </c>
      <c r="I16" s="53" t="s">
        <v>1597</v>
      </c>
      <c r="J16" s="73" t="s">
        <v>1598</v>
      </c>
      <c r="K16" s="73">
        <v>1</v>
      </c>
      <c r="L16" s="53" t="s">
        <v>161</v>
      </c>
      <c r="M16" s="53" t="s">
        <v>298</v>
      </c>
      <c r="N16" s="53" t="str">
        <f>IFERROR(VLOOKUP(TRIM(M16),Mapping!$A:$B,2,FALSE),"")</f>
        <v>Project_003</v>
      </c>
      <c r="O16" s="53" t="s">
        <v>1592</v>
      </c>
      <c r="P16" s="73" t="s">
        <v>1584</v>
      </c>
      <c r="Q16" s="73" t="s">
        <v>1599</v>
      </c>
      <c r="R16" s="73" t="s">
        <v>1600</v>
      </c>
      <c r="S16" s="73"/>
      <c r="T16" s="73"/>
      <c r="U16" s="73" t="s">
        <v>1574</v>
      </c>
      <c r="V16" s="73" t="s">
        <v>1575</v>
      </c>
      <c r="W16" s="73" t="s">
        <v>1576</v>
      </c>
      <c r="X16" s="73"/>
      <c r="Y16" s="73" t="s">
        <v>1577</v>
      </c>
    </row>
    <row r="17" spans="1:25" ht="45.75">
      <c r="A17" s="116">
        <v>16</v>
      </c>
      <c r="B17" s="73" t="s">
        <v>92</v>
      </c>
      <c r="C17" s="73" t="s">
        <v>1563</v>
      </c>
      <c r="D17" s="73" t="s">
        <v>91</v>
      </c>
      <c r="E17" s="73" t="s">
        <v>1595</v>
      </c>
      <c r="F17" s="73" t="s">
        <v>1565</v>
      </c>
      <c r="G17" s="73" t="s">
        <v>1566</v>
      </c>
      <c r="H17" s="73" t="s">
        <v>1596</v>
      </c>
      <c r="I17" s="53" t="s">
        <v>1597</v>
      </c>
      <c r="J17" s="73" t="s">
        <v>1598</v>
      </c>
      <c r="K17" s="73">
        <v>1</v>
      </c>
      <c r="L17" s="53" t="s">
        <v>167</v>
      </c>
      <c r="M17" s="53" t="s">
        <v>339</v>
      </c>
      <c r="N17" s="53" t="str">
        <f>IFERROR(VLOOKUP(TRIM(M17),Mapping!$A:$B,2,FALSE),"")</f>
        <v>Project_012</v>
      </c>
      <c r="O17" s="53" t="s">
        <v>18</v>
      </c>
      <c r="P17" s="73" t="s">
        <v>1571</v>
      </c>
      <c r="Q17" s="73" t="s">
        <v>1599</v>
      </c>
      <c r="R17" s="73" t="s">
        <v>1600</v>
      </c>
      <c r="S17" s="73"/>
      <c r="T17" s="73"/>
      <c r="U17" s="73" t="s">
        <v>1574</v>
      </c>
      <c r="V17" s="73" t="s">
        <v>1575</v>
      </c>
      <c r="W17" s="73" t="s">
        <v>1576</v>
      </c>
      <c r="X17" s="73"/>
      <c r="Y17" s="73" t="s">
        <v>1577</v>
      </c>
    </row>
    <row r="18" spans="1:25" ht="45.75">
      <c r="A18" s="116">
        <v>17</v>
      </c>
      <c r="B18" s="73" t="s">
        <v>92</v>
      </c>
      <c r="C18" s="73" t="s">
        <v>1563</v>
      </c>
      <c r="D18" s="73" t="s">
        <v>91</v>
      </c>
      <c r="E18" s="73" t="s">
        <v>1595</v>
      </c>
      <c r="F18" s="73" t="s">
        <v>1565</v>
      </c>
      <c r="G18" s="73" t="s">
        <v>1566</v>
      </c>
      <c r="H18" s="73" t="s">
        <v>1596</v>
      </c>
      <c r="I18" s="53" t="s">
        <v>1597</v>
      </c>
      <c r="J18" s="73" t="s">
        <v>1598</v>
      </c>
      <c r="K18" s="73">
        <v>1</v>
      </c>
      <c r="L18" s="53" t="s">
        <v>170</v>
      </c>
      <c r="M18" s="53" t="s">
        <v>323</v>
      </c>
      <c r="N18" s="53" t="str">
        <f>IFERROR(VLOOKUP(TRIM(M18),Mapping!$A:$B,2,FALSE),"")</f>
        <v>Project_009</v>
      </c>
      <c r="O18" s="53" t="s">
        <v>18</v>
      </c>
      <c r="P18" s="73" t="s">
        <v>1584</v>
      </c>
      <c r="Q18" s="73" t="s">
        <v>1599</v>
      </c>
      <c r="R18" s="73" t="s">
        <v>1600</v>
      </c>
      <c r="S18" s="73"/>
      <c r="T18" s="73"/>
      <c r="U18" s="73" t="s">
        <v>1574</v>
      </c>
      <c r="V18" s="73" t="s">
        <v>1575</v>
      </c>
      <c r="W18" s="73" t="s">
        <v>1576</v>
      </c>
      <c r="X18" s="73"/>
      <c r="Y18" s="73" t="s">
        <v>1577</v>
      </c>
    </row>
    <row r="19" spans="1:25" ht="45.75">
      <c r="A19" s="116">
        <v>18</v>
      </c>
      <c r="B19" s="73" t="s">
        <v>92</v>
      </c>
      <c r="C19" s="73" t="s">
        <v>1563</v>
      </c>
      <c r="D19" s="73" t="s">
        <v>91</v>
      </c>
      <c r="E19" s="73" t="s">
        <v>1595</v>
      </c>
      <c r="F19" s="73" t="s">
        <v>1565</v>
      </c>
      <c r="G19" s="73" t="s">
        <v>1566</v>
      </c>
      <c r="H19" s="73" t="s">
        <v>1596</v>
      </c>
      <c r="I19" s="53" t="s">
        <v>1597</v>
      </c>
      <c r="J19" s="73" t="s">
        <v>1598</v>
      </c>
      <c r="K19" s="73">
        <v>1</v>
      </c>
      <c r="L19" s="53" t="s">
        <v>172</v>
      </c>
      <c r="M19" s="53" t="s">
        <v>341</v>
      </c>
      <c r="N19" s="53" t="str">
        <f>IFERROR(VLOOKUP(TRIM(M19),Mapping!$A:$B,2,FALSE),"")</f>
        <v>Project_013</v>
      </c>
      <c r="O19" s="53" t="s">
        <v>1579</v>
      </c>
      <c r="P19" s="73" t="s">
        <v>1584</v>
      </c>
      <c r="Q19" s="73" t="s">
        <v>1599</v>
      </c>
      <c r="R19" s="73" t="s">
        <v>1600</v>
      </c>
      <c r="S19" s="73"/>
      <c r="T19" s="73"/>
      <c r="U19" s="73" t="s">
        <v>1574</v>
      </c>
      <c r="V19" s="73" t="s">
        <v>1575</v>
      </c>
      <c r="W19" s="73" t="s">
        <v>1576</v>
      </c>
      <c r="X19" s="73"/>
      <c r="Y19" s="73" t="s">
        <v>1577</v>
      </c>
    </row>
    <row r="20" spans="1:25" ht="45.75">
      <c r="A20" s="116">
        <v>19</v>
      </c>
      <c r="B20" s="73" t="s">
        <v>92</v>
      </c>
      <c r="C20" s="73" t="s">
        <v>1563</v>
      </c>
      <c r="D20" s="73" t="s">
        <v>91</v>
      </c>
      <c r="E20" s="73" t="s">
        <v>1595</v>
      </c>
      <c r="F20" s="73" t="s">
        <v>1565</v>
      </c>
      <c r="G20" s="73" t="s">
        <v>1566</v>
      </c>
      <c r="H20" s="73" t="s">
        <v>1596</v>
      </c>
      <c r="I20" s="53" t="s">
        <v>1597</v>
      </c>
      <c r="J20" s="73" t="s">
        <v>1598</v>
      </c>
      <c r="K20" s="73">
        <v>1</v>
      </c>
      <c r="L20" s="53" t="s">
        <v>174</v>
      </c>
      <c r="M20" s="53" t="s">
        <v>323</v>
      </c>
      <c r="N20" s="53" t="str">
        <f>IFERROR(VLOOKUP(TRIM(M20),Mapping!$A:$B,2,FALSE),"")</f>
        <v>Project_009</v>
      </c>
      <c r="O20" s="53" t="s">
        <v>1578</v>
      </c>
      <c r="P20" s="73" t="s">
        <v>1584</v>
      </c>
      <c r="Q20" s="73" t="s">
        <v>1599</v>
      </c>
      <c r="R20" s="73" t="s">
        <v>1600</v>
      </c>
      <c r="S20" s="73"/>
      <c r="T20" s="73"/>
      <c r="U20" s="73" t="s">
        <v>1574</v>
      </c>
      <c r="V20" s="73" t="s">
        <v>1575</v>
      </c>
      <c r="W20" s="73" t="s">
        <v>1576</v>
      </c>
      <c r="X20" s="73"/>
      <c r="Y20" s="73" t="s">
        <v>1577</v>
      </c>
    </row>
    <row r="21" spans="1:25" ht="45.75">
      <c r="A21" s="116">
        <v>20</v>
      </c>
      <c r="B21" s="73" t="s">
        <v>92</v>
      </c>
      <c r="C21" s="73" t="s">
        <v>1563</v>
      </c>
      <c r="D21" s="73" t="s">
        <v>91</v>
      </c>
      <c r="E21" s="73" t="s">
        <v>1595</v>
      </c>
      <c r="F21" s="73" t="s">
        <v>1565</v>
      </c>
      <c r="G21" s="73" t="s">
        <v>1566</v>
      </c>
      <c r="H21" s="73" t="s">
        <v>1596</v>
      </c>
      <c r="I21" s="53" t="s">
        <v>1597</v>
      </c>
      <c r="J21" s="73" t="s">
        <v>1598</v>
      </c>
      <c r="K21" s="73">
        <v>1</v>
      </c>
      <c r="L21" s="53" t="s">
        <v>178</v>
      </c>
      <c r="M21" s="53" t="s">
        <v>305</v>
      </c>
      <c r="N21" s="53" t="str">
        <f>IFERROR(VLOOKUP(TRIM(M21),Mapping!$A:$B,2,FALSE),"")</f>
        <v>Project_005</v>
      </c>
      <c r="O21" s="53" t="s">
        <v>26</v>
      </c>
      <c r="P21" s="73" t="s">
        <v>1585</v>
      </c>
      <c r="Q21" s="73" t="s">
        <v>1599</v>
      </c>
      <c r="R21" s="73" t="s">
        <v>1600</v>
      </c>
      <c r="S21" s="73"/>
      <c r="T21" s="73"/>
      <c r="U21" s="73" t="s">
        <v>1574</v>
      </c>
      <c r="V21" s="73" t="s">
        <v>1575</v>
      </c>
      <c r="W21" s="73" t="s">
        <v>1576</v>
      </c>
      <c r="X21" s="73"/>
      <c r="Y21" s="73" t="s">
        <v>1577</v>
      </c>
    </row>
    <row r="22" spans="1:25" ht="45.75">
      <c r="A22" s="116">
        <v>21</v>
      </c>
      <c r="B22" s="73" t="s">
        <v>92</v>
      </c>
      <c r="C22" s="73" t="s">
        <v>1563</v>
      </c>
      <c r="D22" s="73" t="s">
        <v>91</v>
      </c>
      <c r="E22" s="73" t="s">
        <v>1595</v>
      </c>
      <c r="F22" s="73" t="s">
        <v>1565</v>
      </c>
      <c r="G22" s="73" t="s">
        <v>1566</v>
      </c>
      <c r="H22" s="73" t="s">
        <v>1596</v>
      </c>
      <c r="I22" s="53" t="s">
        <v>1597</v>
      </c>
      <c r="J22" s="73" t="s">
        <v>1598</v>
      </c>
      <c r="K22" s="73">
        <v>1</v>
      </c>
      <c r="L22" s="53" t="s">
        <v>186</v>
      </c>
      <c r="M22" s="53" t="s">
        <v>285</v>
      </c>
      <c r="N22" s="53" t="str">
        <f>IFERROR(VLOOKUP(TRIM(M22),Mapping!$A:$B,2,FALSE),"")</f>
        <v>Project_017</v>
      </c>
      <c r="O22" s="53" t="s">
        <v>1581</v>
      </c>
      <c r="P22" s="73" t="s">
        <v>1571</v>
      </c>
      <c r="Q22" s="73" t="s">
        <v>1599</v>
      </c>
      <c r="R22" s="73" t="s">
        <v>1600</v>
      </c>
      <c r="S22" s="73"/>
      <c r="T22" s="73"/>
      <c r="U22" s="73" t="s">
        <v>1574</v>
      </c>
      <c r="V22" s="73" t="s">
        <v>1575</v>
      </c>
      <c r="W22" s="73" t="s">
        <v>1576</v>
      </c>
      <c r="X22" s="73"/>
      <c r="Y22" s="73" t="s">
        <v>1577</v>
      </c>
    </row>
    <row r="23" spans="1:25" ht="45.75">
      <c r="A23" s="116">
        <v>22</v>
      </c>
      <c r="B23" s="73" t="s">
        <v>92</v>
      </c>
      <c r="C23" s="73" t="s">
        <v>1563</v>
      </c>
      <c r="D23" s="73" t="s">
        <v>91</v>
      </c>
      <c r="E23" s="73" t="s">
        <v>1595</v>
      </c>
      <c r="F23" s="73" t="s">
        <v>1565</v>
      </c>
      <c r="G23" s="73" t="s">
        <v>1566</v>
      </c>
      <c r="H23" s="73" t="s">
        <v>1596</v>
      </c>
      <c r="I23" s="53" t="s">
        <v>1597</v>
      </c>
      <c r="J23" s="73" t="s">
        <v>1598</v>
      </c>
      <c r="K23" s="73">
        <v>1</v>
      </c>
      <c r="L23" s="53" t="s">
        <v>190</v>
      </c>
      <c r="M23" s="53" t="s">
        <v>378</v>
      </c>
      <c r="N23" s="53" t="str">
        <f>IFERROR(VLOOKUP(TRIM(M23),Mapping!$A:$B,2,FALSE),"")</f>
        <v>Project_018</v>
      </c>
      <c r="O23" s="53" t="s">
        <v>1581</v>
      </c>
      <c r="P23" s="73" t="s">
        <v>1571</v>
      </c>
      <c r="Q23" s="73" t="s">
        <v>1599</v>
      </c>
      <c r="R23" s="73" t="s">
        <v>1600</v>
      </c>
      <c r="S23" s="73"/>
      <c r="T23" s="73"/>
      <c r="U23" s="73" t="s">
        <v>1574</v>
      </c>
      <c r="V23" s="73" t="s">
        <v>1575</v>
      </c>
      <c r="W23" s="73" t="s">
        <v>1576</v>
      </c>
      <c r="X23" s="73"/>
      <c r="Y23" s="73" t="s">
        <v>1577</v>
      </c>
    </row>
    <row r="24" spans="1:25" ht="45.75">
      <c r="A24" s="116">
        <v>23</v>
      </c>
      <c r="B24" s="73" t="s">
        <v>92</v>
      </c>
      <c r="C24" s="73" t="s">
        <v>1563</v>
      </c>
      <c r="D24" s="73" t="s">
        <v>91</v>
      </c>
      <c r="E24" s="73" t="s">
        <v>1595</v>
      </c>
      <c r="F24" s="73" t="s">
        <v>1565</v>
      </c>
      <c r="G24" s="73" t="s">
        <v>1566</v>
      </c>
      <c r="H24" s="73" t="s">
        <v>1596</v>
      </c>
      <c r="I24" s="53" t="s">
        <v>1597</v>
      </c>
      <c r="J24" s="73" t="s">
        <v>1598</v>
      </c>
      <c r="K24" s="73">
        <v>1</v>
      </c>
      <c r="L24" s="53" t="s">
        <v>196</v>
      </c>
      <c r="M24" s="53" t="s">
        <v>387</v>
      </c>
      <c r="N24" s="53" t="str">
        <f>IFERROR(VLOOKUP(TRIM(M24),Mapping!$A:$B,2,FALSE),"")</f>
        <v>Project_020</v>
      </c>
      <c r="O24" s="53" t="s">
        <v>1578</v>
      </c>
      <c r="P24" s="73" t="s">
        <v>1585</v>
      </c>
      <c r="Q24" s="73" t="s">
        <v>1599</v>
      </c>
      <c r="R24" s="73" t="s">
        <v>1600</v>
      </c>
      <c r="S24" s="73"/>
      <c r="T24" s="73"/>
      <c r="U24" s="73" t="s">
        <v>1574</v>
      </c>
      <c r="V24" s="73" t="s">
        <v>1575</v>
      </c>
      <c r="W24" s="73" t="s">
        <v>1576</v>
      </c>
      <c r="X24" s="73"/>
      <c r="Y24" s="73" t="s">
        <v>1577</v>
      </c>
    </row>
    <row r="25" spans="1:25" ht="45.75">
      <c r="A25" s="116">
        <v>24</v>
      </c>
      <c r="B25" s="73" t="s">
        <v>92</v>
      </c>
      <c r="C25" s="73" t="s">
        <v>1563</v>
      </c>
      <c r="D25" s="73" t="s">
        <v>91</v>
      </c>
      <c r="E25" s="73" t="s">
        <v>1595</v>
      </c>
      <c r="F25" s="73" t="s">
        <v>1565</v>
      </c>
      <c r="G25" s="73" t="s">
        <v>1566</v>
      </c>
      <c r="H25" s="73" t="s">
        <v>1596</v>
      </c>
      <c r="I25" s="53" t="s">
        <v>1597</v>
      </c>
      <c r="J25" s="73" t="s">
        <v>1598</v>
      </c>
      <c r="K25" s="73">
        <v>1</v>
      </c>
      <c r="L25" s="53" t="s">
        <v>198</v>
      </c>
      <c r="M25" s="53" t="s">
        <v>392</v>
      </c>
      <c r="N25" s="53" t="str">
        <f>IFERROR(VLOOKUP(TRIM(M25),Mapping!$A:$B,2,FALSE),"")</f>
        <v>Project_021</v>
      </c>
      <c r="O25" s="53" t="s">
        <v>1592</v>
      </c>
      <c r="P25" s="73" t="s">
        <v>1585</v>
      </c>
      <c r="Q25" s="73" t="s">
        <v>1599</v>
      </c>
      <c r="R25" s="73" t="s">
        <v>1600</v>
      </c>
      <c r="S25" s="73"/>
      <c r="T25" s="73"/>
      <c r="U25" s="73" t="s">
        <v>1574</v>
      </c>
      <c r="V25" s="73" t="s">
        <v>1575</v>
      </c>
      <c r="W25" s="73" t="s">
        <v>1576</v>
      </c>
      <c r="X25" s="73"/>
      <c r="Y25" s="73" t="s">
        <v>1577</v>
      </c>
    </row>
    <row r="26" spans="1:25" ht="45.75">
      <c r="A26" s="116">
        <v>25</v>
      </c>
      <c r="B26" s="73" t="s">
        <v>92</v>
      </c>
      <c r="C26" s="73" t="s">
        <v>1563</v>
      </c>
      <c r="D26" s="73" t="s">
        <v>91</v>
      </c>
      <c r="E26" s="73" t="s">
        <v>1595</v>
      </c>
      <c r="F26" s="73" t="s">
        <v>1565</v>
      </c>
      <c r="G26" s="73" t="s">
        <v>1566</v>
      </c>
      <c r="H26" s="73" t="s">
        <v>1596</v>
      </c>
      <c r="I26" s="53" t="s">
        <v>1597</v>
      </c>
      <c r="J26" s="73" t="s">
        <v>1598</v>
      </c>
      <c r="K26" s="73">
        <v>1</v>
      </c>
      <c r="L26" s="53" t="s">
        <v>201</v>
      </c>
      <c r="M26" s="53" t="s">
        <v>396</v>
      </c>
      <c r="N26" s="53" t="str">
        <f>IFERROR(VLOOKUP(TRIM(M26),Mapping!$A:$B,2,FALSE),"")</f>
        <v>Project_022</v>
      </c>
      <c r="O26" s="53" t="s">
        <v>1592</v>
      </c>
      <c r="P26" s="73" t="s">
        <v>1571</v>
      </c>
      <c r="Q26" s="73" t="s">
        <v>1599</v>
      </c>
      <c r="R26" s="73" t="s">
        <v>1600</v>
      </c>
      <c r="S26" s="73"/>
      <c r="T26" s="73"/>
      <c r="U26" s="73" t="s">
        <v>1574</v>
      </c>
      <c r="V26" s="73" t="s">
        <v>1575</v>
      </c>
      <c r="W26" s="73" t="s">
        <v>1576</v>
      </c>
      <c r="X26" s="73"/>
      <c r="Y26" s="73" t="s">
        <v>1577</v>
      </c>
    </row>
    <row r="27" spans="1:25" ht="45.75">
      <c r="A27" s="116">
        <v>26</v>
      </c>
      <c r="B27" s="73" t="s">
        <v>92</v>
      </c>
      <c r="C27" s="73" t="s">
        <v>1563</v>
      </c>
      <c r="D27" s="73" t="s">
        <v>91</v>
      </c>
      <c r="E27" s="73" t="s">
        <v>1595</v>
      </c>
      <c r="F27" s="73" t="s">
        <v>1565</v>
      </c>
      <c r="G27" s="73" t="s">
        <v>1566</v>
      </c>
      <c r="H27" s="73" t="s">
        <v>1596</v>
      </c>
      <c r="I27" s="53" t="s">
        <v>1597</v>
      </c>
      <c r="J27" s="73" t="s">
        <v>1598</v>
      </c>
      <c r="K27" s="73">
        <v>1</v>
      </c>
      <c r="L27" s="53" t="s">
        <v>203</v>
      </c>
      <c r="M27" s="53" t="s">
        <v>318</v>
      </c>
      <c r="N27" s="53" t="str">
        <f>IFERROR(VLOOKUP(TRIM(M27),Mapping!$A:$B,2,FALSE),"")</f>
        <v>Project_008</v>
      </c>
      <c r="O27" s="53" t="s">
        <v>4</v>
      </c>
      <c r="P27" s="73" t="s">
        <v>1585</v>
      </c>
      <c r="Q27" s="73" t="s">
        <v>1599</v>
      </c>
      <c r="R27" s="73" t="s">
        <v>1600</v>
      </c>
      <c r="S27" s="73"/>
      <c r="T27" s="73"/>
      <c r="U27" s="73" t="s">
        <v>1574</v>
      </c>
      <c r="V27" s="73" t="s">
        <v>1575</v>
      </c>
      <c r="W27" s="73" t="s">
        <v>1576</v>
      </c>
      <c r="X27" s="73"/>
      <c r="Y27" s="73" t="s">
        <v>1577</v>
      </c>
    </row>
    <row r="28" spans="1:25" ht="45.75">
      <c r="A28" s="116">
        <v>27</v>
      </c>
      <c r="B28" s="73" t="s">
        <v>92</v>
      </c>
      <c r="C28" s="73" t="s">
        <v>1563</v>
      </c>
      <c r="D28" s="73" t="s">
        <v>91</v>
      </c>
      <c r="E28" s="73" t="s">
        <v>1595</v>
      </c>
      <c r="F28" s="73" t="s">
        <v>1565</v>
      </c>
      <c r="G28" s="73" t="s">
        <v>1566</v>
      </c>
      <c r="H28" s="73" t="s">
        <v>1596</v>
      </c>
      <c r="I28" s="53" t="s">
        <v>1597</v>
      </c>
      <c r="J28" s="73" t="s">
        <v>1598</v>
      </c>
      <c r="K28" s="73">
        <v>1</v>
      </c>
      <c r="L28" s="53" t="s">
        <v>207</v>
      </c>
      <c r="M28" s="53" t="s">
        <v>305</v>
      </c>
      <c r="N28" s="53" t="str">
        <f>IFERROR(VLOOKUP(TRIM(M28),Mapping!$A:$B,2,FALSE),"")</f>
        <v>Project_005</v>
      </c>
      <c r="O28" s="53" t="s">
        <v>18</v>
      </c>
      <c r="P28" s="73" t="s">
        <v>1584</v>
      </c>
      <c r="Q28" s="73" t="s">
        <v>1599</v>
      </c>
      <c r="R28" s="73" t="s">
        <v>1600</v>
      </c>
      <c r="S28" s="73"/>
      <c r="T28" s="73"/>
      <c r="U28" s="73" t="s">
        <v>1574</v>
      </c>
      <c r="V28" s="73" t="s">
        <v>1575</v>
      </c>
      <c r="W28" s="73" t="s">
        <v>1576</v>
      </c>
      <c r="X28" s="73"/>
      <c r="Y28" s="73" t="s">
        <v>1577</v>
      </c>
    </row>
    <row r="29" spans="1:25" ht="45.75">
      <c r="A29" s="116">
        <v>28</v>
      </c>
      <c r="B29" s="73" t="s">
        <v>92</v>
      </c>
      <c r="C29" s="73" t="s">
        <v>1563</v>
      </c>
      <c r="D29" s="73" t="s">
        <v>91</v>
      </c>
      <c r="E29" s="73" t="s">
        <v>1595</v>
      </c>
      <c r="F29" s="73" t="s">
        <v>1565</v>
      </c>
      <c r="G29" s="73" t="s">
        <v>1566</v>
      </c>
      <c r="H29" s="73" t="s">
        <v>1596</v>
      </c>
      <c r="I29" s="53" t="s">
        <v>1597</v>
      </c>
      <c r="J29" s="73" t="s">
        <v>1598</v>
      </c>
      <c r="K29" s="73">
        <v>1</v>
      </c>
      <c r="L29" s="53" t="s">
        <v>212</v>
      </c>
      <c r="M29" s="53" t="s">
        <v>348</v>
      </c>
      <c r="N29" s="53" t="str">
        <f>IFERROR(VLOOKUP(TRIM(M29),Mapping!$A:$B,2,FALSE),"")</f>
        <v>Project_014</v>
      </c>
      <c r="O29" s="53" t="s">
        <v>1581</v>
      </c>
      <c r="P29" s="73" t="s">
        <v>1582</v>
      </c>
      <c r="Q29" s="73" t="s">
        <v>1599</v>
      </c>
      <c r="R29" s="73" t="s">
        <v>1600</v>
      </c>
      <c r="S29" s="73"/>
      <c r="T29" s="73"/>
      <c r="U29" s="73" t="s">
        <v>1574</v>
      </c>
      <c r="V29" s="73" t="s">
        <v>1575</v>
      </c>
      <c r="W29" s="73" t="s">
        <v>1576</v>
      </c>
      <c r="X29" s="73"/>
      <c r="Y29" s="73" t="s">
        <v>1577</v>
      </c>
    </row>
    <row r="30" spans="1:25" ht="45.75">
      <c r="A30" s="116">
        <v>29</v>
      </c>
      <c r="B30" s="73" t="s">
        <v>92</v>
      </c>
      <c r="C30" s="73" t="s">
        <v>1563</v>
      </c>
      <c r="D30" s="73" t="s">
        <v>91</v>
      </c>
      <c r="E30" s="73" t="s">
        <v>1595</v>
      </c>
      <c r="F30" s="73" t="s">
        <v>1565</v>
      </c>
      <c r="G30" s="73" t="s">
        <v>1566</v>
      </c>
      <c r="H30" s="73" t="s">
        <v>1596</v>
      </c>
      <c r="I30" s="53" t="s">
        <v>1597</v>
      </c>
      <c r="J30" s="73" t="s">
        <v>1598</v>
      </c>
      <c r="K30" s="73">
        <v>1</v>
      </c>
      <c r="L30" s="53" t="s">
        <v>219</v>
      </c>
      <c r="M30" s="53" t="s">
        <v>413</v>
      </c>
      <c r="N30" s="53" t="str">
        <f>IFERROR(VLOOKUP(TRIM(M30),Mapping!$A:$B,2,FALSE),"")</f>
        <v>Project_023</v>
      </c>
      <c r="O30" s="53" t="s">
        <v>1581</v>
      </c>
      <c r="P30" s="73" t="s">
        <v>1584</v>
      </c>
      <c r="Q30" s="73" t="s">
        <v>1599</v>
      </c>
      <c r="R30" s="73" t="s">
        <v>1600</v>
      </c>
      <c r="S30" s="73"/>
      <c r="T30" s="73"/>
      <c r="U30" s="73" t="s">
        <v>1574</v>
      </c>
      <c r="V30" s="73" t="s">
        <v>1575</v>
      </c>
      <c r="W30" s="73" t="s">
        <v>1576</v>
      </c>
      <c r="X30" s="73"/>
      <c r="Y30" s="73" t="s">
        <v>1577</v>
      </c>
    </row>
    <row r="31" spans="1:25" ht="45.75">
      <c r="A31" s="116">
        <v>30</v>
      </c>
      <c r="B31" s="73" t="s">
        <v>92</v>
      </c>
      <c r="C31" s="73" t="s">
        <v>1563</v>
      </c>
      <c r="D31" s="73" t="s">
        <v>91</v>
      </c>
      <c r="E31" s="73" t="s">
        <v>1595</v>
      </c>
      <c r="F31" s="73" t="s">
        <v>1565</v>
      </c>
      <c r="G31" s="73" t="s">
        <v>1566</v>
      </c>
      <c r="H31" s="73" t="s">
        <v>1596</v>
      </c>
      <c r="I31" s="53" t="s">
        <v>1597</v>
      </c>
      <c r="J31" s="73" t="s">
        <v>1598</v>
      </c>
      <c r="K31" s="73">
        <v>1</v>
      </c>
      <c r="L31" s="53" t="s">
        <v>222</v>
      </c>
      <c r="M31" s="53" t="s">
        <v>285</v>
      </c>
      <c r="N31" s="53" t="str">
        <f>IFERROR(VLOOKUP(TRIM(M31),Mapping!$A:$B,2,FALSE),"")</f>
        <v>Project_017</v>
      </c>
      <c r="O31" s="53" t="s">
        <v>1587</v>
      </c>
      <c r="P31" s="73" t="s">
        <v>1571</v>
      </c>
      <c r="Q31" s="73" t="s">
        <v>1599</v>
      </c>
      <c r="R31" s="73" t="s">
        <v>1600</v>
      </c>
      <c r="S31" s="73"/>
      <c r="T31" s="73"/>
      <c r="U31" s="73" t="s">
        <v>1574</v>
      </c>
      <c r="V31" s="73" t="s">
        <v>1575</v>
      </c>
      <c r="W31" s="73" t="s">
        <v>1576</v>
      </c>
      <c r="X31" s="73"/>
      <c r="Y31" s="73" t="s">
        <v>1577</v>
      </c>
    </row>
    <row r="32" spans="1:25" ht="45.75">
      <c r="A32" s="116">
        <v>31</v>
      </c>
      <c r="B32" s="73" t="s">
        <v>92</v>
      </c>
      <c r="C32" s="73" t="s">
        <v>1563</v>
      </c>
      <c r="D32" s="73" t="s">
        <v>91</v>
      </c>
      <c r="E32" s="73" t="s">
        <v>1595</v>
      </c>
      <c r="F32" s="73" t="s">
        <v>1565</v>
      </c>
      <c r="G32" s="73" t="s">
        <v>1566</v>
      </c>
      <c r="H32" s="73" t="s">
        <v>1596</v>
      </c>
      <c r="I32" s="53" t="s">
        <v>1597</v>
      </c>
      <c r="J32" s="73" t="s">
        <v>1598</v>
      </c>
      <c r="K32" s="73">
        <v>1</v>
      </c>
      <c r="L32" s="53" t="s">
        <v>224</v>
      </c>
      <c r="M32" s="53" t="s">
        <v>284</v>
      </c>
      <c r="N32" s="53" t="str">
        <f>IFERROR(VLOOKUP(TRIM(M32),Mapping!$A:$B,2,FALSE),"")</f>
        <v>Project_001</v>
      </c>
      <c r="O32" s="53" t="s">
        <v>1581</v>
      </c>
      <c r="P32" s="73" t="s">
        <v>1585</v>
      </c>
      <c r="Q32" s="73" t="s">
        <v>1599</v>
      </c>
      <c r="R32" s="73" t="s">
        <v>1600</v>
      </c>
      <c r="S32" s="73"/>
      <c r="T32" s="73"/>
      <c r="U32" s="73" t="s">
        <v>1574</v>
      </c>
      <c r="V32" s="73" t="s">
        <v>1575</v>
      </c>
      <c r="W32" s="73" t="s">
        <v>1576</v>
      </c>
      <c r="X32" s="73"/>
      <c r="Y32" s="73" t="s">
        <v>1577</v>
      </c>
    </row>
    <row r="33" spans="1:25" ht="45.75">
      <c r="A33" s="116">
        <v>32</v>
      </c>
      <c r="B33" s="73" t="s">
        <v>92</v>
      </c>
      <c r="C33" s="73" t="s">
        <v>1563</v>
      </c>
      <c r="D33" s="73" t="s">
        <v>91</v>
      </c>
      <c r="E33" s="73" t="s">
        <v>1595</v>
      </c>
      <c r="F33" s="73" t="s">
        <v>1565</v>
      </c>
      <c r="G33" s="73" t="s">
        <v>1566</v>
      </c>
      <c r="H33" s="73" t="s">
        <v>1596</v>
      </c>
      <c r="I33" s="53" t="s">
        <v>1597</v>
      </c>
      <c r="J33" s="73" t="s">
        <v>1598</v>
      </c>
      <c r="K33" s="73">
        <v>1</v>
      </c>
      <c r="L33" s="53" t="s">
        <v>227</v>
      </c>
      <c r="M33" s="53" t="s">
        <v>305</v>
      </c>
      <c r="N33" s="53" t="str">
        <f>IFERROR(VLOOKUP(TRIM(M33),Mapping!$A:$B,2,FALSE),"")</f>
        <v>Project_005</v>
      </c>
      <c r="O33" s="53" t="s">
        <v>1581</v>
      </c>
      <c r="P33" s="73" t="s">
        <v>1582</v>
      </c>
      <c r="Q33" s="73" t="s">
        <v>1599</v>
      </c>
      <c r="R33" s="73" t="s">
        <v>1600</v>
      </c>
      <c r="S33" s="73"/>
      <c r="T33" s="73"/>
      <c r="U33" s="73" t="s">
        <v>1574</v>
      </c>
      <c r="V33" s="73" t="s">
        <v>1575</v>
      </c>
      <c r="W33" s="73" t="s">
        <v>1576</v>
      </c>
      <c r="X33" s="73"/>
      <c r="Y33" s="73" t="s">
        <v>1577</v>
      </c>
    </row>
    <row r="34" spans="1:25" ht="45.75">
      <c r="A34" s="116">
        <v>33</v>
      </c>
      <c r="B34" s="73" t="s">
        <v>92</v>
      </c>
      <c r="C34" s="73" t="s">
        <v>1563</v>
      </c>
      <c r="D34" s="73" t="s">
        <v>91</v>
      </c>
      <c r="E34" s="73" t="s">
        <v>1595</v>
      </c>
      <c r="F34" s="73" t="s">
        <v>1565</v>
      </c>
      <c r="G34" s="73" t="s">
        <v>1566</v>
      </c>
      <c r="H34" s="73" t="s">
        <v>1596</v>
      </c>
      <c r="I34" s="53" t="s">
        <v>1597</v>
      </c>
      <c r="J34" s="73" t="s">
        <v>1598</v>
      </c>
      <c r="K34" s="73">
        <v>1</v>
      </c>
      <c r="L34" s="53" t="s">
        <v>230</v>
      </c>
      <c r="M34" s="53" t="s">
        <v>305</v>
      </c>
      <c r="N34" s="53" t="str">
        <f>IFERROR(VLOOKUP(TRIM(M34),Mapping!$A:$B,2,FALSE),"")</f>
        <v>Project_005</v>
      </c>
      <c r="O34" s="53" t="s">
        <v>1592</v>
      </c>
      <c r="P34" s="73" t="s">
        <v>1571</v>
      </c>
      <c r="Q34" s="73" t="s">
        <v>1599</v>
      </c>
      <c r="R34" s="73" t="s">
        <v>1600</v>
      </c>
      <c r="S34" s="73"/>
      <c r="T34" s="73"/>
      <c r="U34" s="73" t="s">
        <v>1574</v>
      </c>
      <c r="V34" s="73" t="s">
        <v>1575</v>
      </c>
      <c r="W34" s="73" t="s">
        <v>1576</v>
      </c>
      <c r="X34" s="73"/>
      <c r="Y34" s="73" t="s">
        <v>1577</v>
      </c>
    </row>
    <row r="35" spans="1:25" ht="45.75">
      <c r="A35" s="116">
        <v>34</v>
      </c>
      <c r="B35" s="73" t="s">
        <v>92</v>
      </c>
      <c r="C35" s="73" t="s">
        <v>1563</v>
      </c>
      <c r="D35" s="73" t="s">
        <v>91</v>
      </c>
      <c r="E35" s="73" t="s">
        <v>1595</v>
      </c>
      <c r="F35" s="73" t="s">
        <v>1565</v>
      </c>
      <c r="G35" s="73" t="s">
        <v>1566</v>
      </c>
      <c r="H35" s="73" t="s">
        <v>1596</v>
      </c>
      <c r="I35" s="53" t="s">
        <v>1597</v>
      </c>
      <c r="J35" s="73" t="s">
        <v>1598</v>
      </c>
      <c r="K35" s="73">
        <v>1</v>
      </c>
      <c r="L35" s="53" t="s">
        <v>234</v>
      </c>
      <c r="M35" s="53" t="s">
        <v>434</v>
      </c>
      <c r="N35" s="53" t="str">
        <f>IFERROR(VLOOKUP(TRIM(M35),Mapping!$A:$B,2,FALSE),"")</f>
        <v>Project_024</v>
      </c>
      <c r="O35" s="53" t="s">
        <v>1581</v>
      </c>
      <c r="P35" s="73" t="s">
        <v>1585</v>
      </c>
      <c r="Q35" s="73" t="s">
        <v>1599</v>
      </c>
      <c r="R35" s="73" t="s">
        <v>1600</v>
      </c>
      <c r="S35" s="73"/>
      <c r="T35" s="73"/>
      <c r="U35" s="73" t="s">
        <v>1574</v>
      </c>
      <c r="V35" s="73" t="s">
        <v>1575</v>
      </c>
      <c r="W35" s="73" t="s">
        <v>1576</v>
      </c>
      <c r="X35" s="73"/>
      <c r="Y35" s="73" t="s">
        <v>1577</v>
      </c>
    </row>
    <row r="36" spans="1:25" ht="45.75">
      <c r="A36" s="116">
        <v>35</v>
      </c>
      <c r="B36" s="73" t="s">
        <v>92</v>
      </c>
      <c r="C36" s="73" t="s">
        <v>1563</v>
      </c>
      <c r="D36" s="73" t="s">
        <v>91</v>
      </c>
      <c r="E36" s="73" t="s">
        <v>1595</v>
      </c>
      <c r="F36" s="73" t="s">
        <v>1565</v>
      </c>
      <c r="G36" s="73" t="s">
        <v>1566</v>
      </c>
      <c r="H36" s="73" t="s">
        <v>1596</v>
      </c>
      <c r="I36" s="53" t="s">
        <v>1597</v>
      </c>
      <c r="J36" s="73" t="s">
        <v>1598</v>
      </c>
      <c r="K36" s="73">
        <v>1</v>
      </c>
      <c r="L36" s="53" t="s">
        <v>236</v>
      </c>
      <c r="M36" s="53" t="s">
        <v>301</v>
      </c>
      <c r="N36" s="53" t="str">
        <f>IFERROR(VLOOKUP(TRIM(M36),Mapping!$A:$B,2,FALSE),"")</f>
        <v>Project_004</v>
      </c>
      <c r="O36" s="53" t="s">
        <v>1581</v>
      </c>
      <c r="P36" s="73" t="s">
        <v>1582</v>
      </c>
      <c r="Q36" s="73" t="s">
        <v>1599</v>
      </c>
      <c r="R36" s="73" t="s">
        <v>1600</v>
      </c>
      <c r="S36" s="73"/>
      <c r="T36" s="73"/>
      <c r="U36" s="73" t="s">
        <v>1574</v>
      </c>
      <c r="V36" s="73" t="s">
        <v>1575</v>
      </c>
      <c r="W36" s="73" t="s">
        <v>1576</v>
      </c>
      <c r="X36" s="73"/>
      <c r="Y36" s="73" t="s">
        <v>1577</v>
      </c>
    </row>
    <row r="37" spans="1:25" ht="45.75">
      <c r="A37" s="116">
        <v>36</v>
      </c>
      <c r="B37" s="73" t="s">
        <v>92</v>
      </c>
      <c r="C37" s="73" t="s">
        <v>1563</v>
      </c>
      <c r="D37" s="73" t="s">
        <v>91</v>
      </c>
      <c r="E37" s="73" t="s">
        <v>1595</v>
      </c>
      <c r="F37" s="73" t="s">
        <v>1565</v>
      </c>
      <c r="G37" s="73" t="s">
        <v>1566</v>
      </c>
      <c r="H37" s="73" t="s">
        <v>1596</v>
      </c>
      <c r="I37" s="53" t="s">
        <v>1597</v>
      </c>
      <c r="J37" s="73" t="s">
        <v>1598</v>
      </c>
      <c r="K37" s="73">
        <v>1</v>
      </c>
      <c r="L37" s="53" t="s">
        <v>239</v>
      </c>
      <c r="M37" s="53" t="s">
        <v>339</v>
      </c>
      <c r="N37" s="53" t="str">
        <f>IFERROR(VLOOKUP(TRIM(M37),Mapping!$A:$B,2,FALSE),"")</f>
        <v>Project_012</v>
      </c>
      <c r="O37" s="53" t="s">
        <v>1592</v>
      </c>
      <c r="P37" s="73" t="s">
        <v>1582</v>
      </c>
      <c r="Q37" s="73" t="s">
        <v>1599</v>
      </c>
      <c r="R37" s="73" t="s">
        <v>1600</v>
      </c>
      <c r="S37" s="73"/>
      <c r="T37" s="73"/>
      <c r="U37" s="73" t="s">
        <v>1574</v>
      </c>
      <c r="V37" s="73" t="s">
        <v>1575</v>
      </c>
      <c r="W37" s="73" t="s">
        <v>1576</v>
      </c>
      <c r="X37" s="73"/>
      <c r="Y37" s="73" t="s">
        <v>1577</v>
      </c>
    </row>
    <row r="38" spans="1:25" ht="45.75">
      <c r="A38" s="116">
        <v>37</v>
      </c>
      <c r="B38" s="73" t="s">
        <v>92</v>
      </c>
      <c r="C38" s="73" t="s">
        <v>1563</v>
      </c>
      <c r="D38" s="73" t="s">
        <v>91</v>
      </c>
      <c r="E38" s="73" t="s">
        <v>1595</v>
      </c>
      <c r="F38" s="73" t="s">
        <v>1565</v>
      </c>
      <c r="G38" s="73" t="s">
        <v>1566</v>
      </c>
      <c r="H38" s="73" t="s">
        <v>1596</v>
      </c>
      <c r="I38" s="53" t="s">
        <v>1597</v>
      </c>
      <c r="J38" s="73" t="s">
        <v>1598</v>
      </c>
      <c r="K38" s="73">
        <v>1</v>
      </c>
      <c r="L38" s="53" t="s">
        <v>241</v>
      </c>
      <c r="M38" s="53" t="s">
        <v>442</v>
      </c>
      <c r="N38" s="53" t="str">
        <f>IFERROR(VLOOKUP(TRIM(M38),Mapping!$A:$B,2,FALSE),"")</f>
        <v>Project_025</v>
      </c>
      <c r="O38" s="53" t="s">
        <v>1578</v>
      </c>
      <c r="P38" s="73" t="s">
        <v>1585</v>
      </c>
      <c r="Q38" s="73" t="s">
        <v>1599</v>
      </c>
      <c r="R38" s="73" t="s">
        <v>1600</v>
      </c>
      <c r="S38" s="73"/>
      <c r="T38" s="73"/>
      <c r="U38" s="73" t="s">
        <v>1574</v>
      </c>
      <c r="V38" s="73" t="s">
        <v>1575</v>
      </c>
      <c r="W38" s="73" t="s">
        <v>1576</v>
      </c>
      <c r="X38" s="73"/>
      <c r="Y38" s="73" t="s">
        <v>1577</v>
      </c>
    </row>
    <row r="39" spans="1:25" ht="45.75">
      <c r="A39" s="116">
        <v>38</v>
      </c>
      <c r="B39" s="73" t="s">
        <v>92</v>
      </c>
      <c r="C39" s="73" t="s">
        <v>1563</v>
      </c>
      <c r="D39" s="73" t="s">
        <v>91</v>
      </c>
      <c r="E39" s="73" t="s">
        <v>1595</v>
      </c>
      <c r="F39" s="73" t="s">
        <v>1565</v>
      </c>
      <c r="G39" s="73" t="s">
        <v>1566</v>
      </c>
      <c r="H39" s="73" t="s">
        <v>1596</v>
      </c>
      <c r="I39" s="53" t="s">
        <v>1597</v>
      </c>
      <c r="J39" s="73" t="s">
        <v>1598</v>
      </c>
      <c r="K39" s="73">
        <v>1</v>
      </c>
      <c r="L39" s="53" t="s">
        <v>246</v>
      </c>
      <c r="M39" s="53" t="s">
        <v>341</v>
      </c>
      <c r="N39" s="53" t="str">
        <f>IFERROR(VLOOKUP(TRIM(M39),Mapping!$A:$B,2,FALSE),"")</f>
        <v>Project_013</v>
      </c>
      <c r="O39" s="53" t="s">
        <v>1592</v>
      </c>
      <c r="P39" s="73" t="s">
        <v>1582</v>
      </c>
      <c r="Q39" s="73" t="s">
        <v>1599</v>
      </c>
      <c r="R39" s="73" t="s">
        <v>1600</v>
      </c>
      <c r="S39" s="73"/>
      <c r="T39" s="73"/>
      <c r="U39" s="73" t="s">
        <v>1574</v>
      </c>
      <c r="V39" s="73" t="s">
        <v>1575</v>
      </c>
      <c r="W39" s="73" t="s">
        <v>1576</v>
      </c>
      <c r="X39" s="73"/>
      <c r="Y39" s="73" t="s">
        <v>1577</v>
      </c>
    </row>
    <row r="40" spans="1:25" ht="45.75">
      <c r="A40" s="116">
        <v>39</v>
      </c>
      <c r="B40" s="73" t="s">
        <v>92</v>
      </c>
      <c r="C40" s="73" t="s">
        <v>1563</v>
      </c>
      <c r="D40" s="73" t="s">
        <v>91</v>
      </c>
      <c r="E40" s="73" t="s">
        <v>1595</v>
      </c>
      <c r="F40" s="73" t="s">
        <v>1565</v>
      </c>
      <c r="G40" s="73" t="s">
        <v>1566</v>
      </c>
      <c r="H40" s="73" t="s">
        <v>1596</v>
      </c>
      <c r="I40" s="53" t="s">
        <v>1597</v>
      </c>
      <c r="J40" s="73" t="s">
        <v>1598</v>
      </c>
      <c r="K40" s="73">
        <v>1</v>
      </c>
      <c r="L40" s="53" t="s">
        <v>250</v>
      </c>
      <c r="M40" s="53" t="s">
        <v>298</v>
      </c>
      <c r="N40" s="53" t="str">
        <f>IFERROR(VLOOKUP(TRIM(M40),Mapping!$A:$B,2,FALSE),"")</f>
        <v>Project_003</v>
      </c>
      <c r="O40" s="53" t="s">
        <v>26</v>
      </c>
      <c r="P40" s="73" t="s">
        <v>1571</v>
      </c>
      <c r="Q40" s="73" t="s">
        <v>1599</v>
      </c>
      <c r="R40" s="73" t="s">
        <v>1600</v>
      </c>
      <c r="S40" s="73"/>
      <c r="T40" s="73"/>
      <c r="U40" s="73" t="s">
        <v>1574</v>
      </c>
      <c r="V40" s="73" t="s">
        <v>1575</v>
      </c>
      <c r="W40" s="73" t="s">
        <v>1576</v>
      </c>
      <c r="X40" s="73"/>
      <c r="Y40" s="73" t="s">
        <v>1577</v>
      </c>
    </row>
    <row r="41" spans="1:25" ht="45.75">
      <c r="A41" s="116">
        <v>40</v>
      </c>
      <c r="B41" s="73" t="s">
        <v>92</v>
      </c>
      <c r="C41" s="73" t="s">
        <v>1563</v>
      </c>
      <c r="D41" s="73" t="s">
        <v>91</v>
      </c>
      <c r="E41" s="73" t="s">
        <v>1595</v>
      </c>
      <c r="F41" s="73" t="s">
        <v>1565</v>
      </c>
      <c r="G41" s="73" t="s">
        <v>1566</v>
      </c>
      <c r="H41" s="73" t="s">
        <v>1596</v>
      </c>
      <c r="I41" s="53" t="s">
        <v>1597</v>
      </c>
      <c r="J41" s="73" t="s">
        <v>1598</v>
      </c>
      <c r="K41" s="73">
        <v>1</v>
      </c>
      <c r="L41" s="53" t="s">
        <v>456</v>
      </c>
      <c r="M41" s="53" t="s">
        <v>387</v>
      </c>
      <c r="N41" s="53" t="str">
        <f>IFERROR(VLOOKUP(TRIM(M41),Mapping!$A:$B,2,FALSE),"")</f>
        <v>Project_020</v>
      </c>
      <c r="O41" s="53" t="s">
        <v>1592</v>
      </c>
      <c r="P41" s="73" t="s">
        <v>1585</v>
      </c>
      <c r="Q41" s="73" t="s">
        <v>1599</v>
      </c>
      <c r="R41" s="73" t="s">
        <v>1600</v>
      </c>
      <c r="S41" s="73"/>
      <c r="T41" s="73"/>
      <c r="U41" s="73" t="s">
        <v>1574</v>
      </c>
      <c r="V41" s="73" t="s">
        <v>1575</v>
      </c>
      <c r="W41" s="73" t="s">
        <v>1576</v>
      </c>
      <c r="X41" s="73"/>
      <c r="Y41" s="73" t="s">
        <v>1577</v>
      </c>
    </row>
    <row r="42" spans="1:25" ht="45.75">
      <c r="A42" s="116">
        <v>41</v>
      </c>
      <c r="B42" s="73" t="s">
        <v>92</v>
      </c>
      <c r="C42" s="73" t="s">
        <v>1563</v>
      </c>
      <c r="D42" s="73" t="s">
        <v>91</v>
      </c>
      <c r="E42" s="73" t="s">
        <v>1595</v>
      </c>
      <c r="F42" s="73" t="s">
        <v>1565</v>
      </c>
      <c r="G42" s="73" t="s">
        <v>1566</v>
      </c>
      <c r="H42" s="73" t="s">
        <v>1596</v>
      </c>
      <c r="I42" s="53" t="s">
        <v>1597</v>
      </c>
      <c r="J42" s="73" t="s">
        <v>1598</v>
      </c>
      <c r="K42" s="73">
        <v>1</v>
      </c>
      <c r="L42" s="53" t="s">
        <v>458</v>
      </c>
      <c r="M42" s="53" t="s">
        <v>392</v>
      </c>
      <c r="N42" s="53" t="str">
        <f>IFERROR(VLOOKUP(TRIM(M42),Mapping!$A:$B,2,FALSE),"")</f>
        <v>Project_021</v>
      </c>
      <c r="O42" s="53" t="s">
        <v>1581</v>
      </c>
      <c r="P42" s="73" t="s">
        <v>1584</v>
      </c>
      <c r="Q42" s="73" t="s">
        <v>1599</v>
      </c>
      <c r="R42" s="73" t="s">
        <v>1600</v>
      </c>
      <c r="S42" s="73"/>
      <c r="T42" s="73"/>
      <c r="U42" s="73" t="s">
        <v>1574</v>
      </c>
      <c r="V42" s="73" t="s">
        <v>1575</v>
      </c>
      <c r="W42" s="73" t="s">
        <v>1576</v>
      </c>
      <c r="X42" s="73"/>
      <c r="Y42" s="73" t="s">
        <v>1577</v>
      </c>
    </row>
    <row r="43" spans="1:25" ht="45.75">
      <c r="A43" s="116">
        <v>42</v>
      </c>
      <c r="B43" s="73" t="s">
        <v>92</v>
      </c>
      <c r="C43" s="73" t="s">
        <v>1563</v>
      </c>
      <c r="D43" s="73" t="s">
        <v>91</v>
      </c>
      <c r="E43" s="73" t="s">
        <v>1595</v>
      </c>
      <c r="F43" s="73" t="s">
        <v>1565</v>
      </c>
      <c r="G43" s="73" t="s">
        <v>1566</v>
      </c>
      <c r="H43" s="73" t="s">
        <v>1596</v>
      </c>
      <c r="I43" s="53" t="s">
        <v>1597</v>
      </c>
      <c r="J43" s="73" t="s">
        <v>1598</v>
      </c>
      <c r="K43" s="73">
        <v>1</v>
      </c>
      <c r="L43" s="53" t="s">
        <v>466</v>
      </c>
      <c r="M43" s="53" t="s">
        <v>468</v>
      </c>
      <c r="N43" s="53" t="str">
        <f>IFERROR(VLOOKUP(TRIM(M43),Mapping!$A:$B,2,FALSE),"")</f>
        <v>Project_027</v>
      </c>
      <c r="O43" s="53" t="s">
        <v>1592</v>
      </c>
      <c r="P43" s="73" t="s">
        <v>1571</v>
      </c>
      <c r="Q43" s="73" t="s">
        <v>1599</v>
      </c>
      <c r="R43" s="73" t="s">
        <v>1600</v>
      </c>
      <c r="S43" s="73"/>
      <c r="T43" s="73"/>
      <c r="U43" s="73" t="s">
        <v>1574</v>
      </c>
      <c r="V43" s="73" t="s">
        <v>1575</v>
      </c>
      <c r="W43" s="73" t="s">
        <v>1576</v>
      </c>
      <c r="X43" s="73"/>
      <c r="Y43" s="73" t="s">
        <v>1577</v>
      </c>
    </row>
    <row r="44" spans="1:25" ht="45.75">
      <c r="A44" s="116">
        <v>43</v>
      </c>
      <c r="B44" s="73" t="s">
        <v>92</v>
      </c>
      <c r="C44" s="73" t="s">
        <v>1563</v>
      </c>
      <c r="D44" s="73" t="s">
        <v>91</v>
      </c>
      <c r="E44" s="73" t="s">
        <v>1595</v>
      </c>
      <c r="F44" s="73" t="s">
        <v>1565</v>
      </c>
      <c r="G44" s="73" t="s">
        <v>1566</v>
      </c>
      <c r="H44" s="73" t="s">
        <v>1596</v>
      </c>
      <c r="I44" s="53" t="s">
        <v>1597</v>
      </c>
      <c r="J44" s="73" t="s">
        <v>1598</v>
      </c>
      <c r="K44" s="73">
        <v>1</v>
      </c>
      <c r="L44" s="53" t="s">
        <v>470</v>
      </c>
      <c r="M44" s="53" t="s">
        <v>341</v>
      </c>
      <c r="N44" s="53" t="str">
        <f>IFERROR(VLOOKUP(TRIM(M44),Mapping!$A:$B,2,FALSE),"")</f>
        <v>Project_013</v>
      </c>
      <c r="O44" s="53" t="s">
        <v>1581</v>
      </c>
      <c r="P44" s="73" t="s">
        <v>1571</v>
      </c>
      <c r="Q44" s="73" t="s">
        <v>1599</v>
      </c>
      <c r="R44" s="73" t="s">
        <v>1600</v>
      </c>
      <c r="S44" s="73"/>
      <c r="T44" s="73"/>
      <c r="U44" s="73" t="s">
        <v>1574</v>
      </c>
      <c r="V44" s="73" t="s">
        <v>1575</v>
      </c>
      <c r="W44" s="73" t="s">
        <v>1576</v>
      </c>
      <c r="X44" s="73"/>
      <c r="Y44" s="73" t="s">
        <v>1577</v>
      </c>
    </row>
    <row r="45" spans="1:25" ht="45.75">
      <c r="A45" s="116">
        <v>44</v>
      </c>
      <c r="B45" s="73" t="s">
        <v>92</v>
      </c>
      <c r="C45" s="73" t="s">
        <v>1563</v>
      </c>
      <c r="D45" s="73" t="s">
        <v>91</v>
      </c>
      <c r="E45" s="73" t="s">
        <v>1595</v>
      </c>
      <c r="F45" s="73" t="s">
        <v>1565</v>
      </c>
      <c r="G45" s="73" t="s">
        <v>1566</v>
      </c>
      <c r="H45" s="73" t="s">
        <v>1596</v>
      </c>
      <c r="I45" s="53" t="s">
        <v>1597</v>
      </c>
      <c r="J45" s="73" t="s">
        <v>1598</v>
      </c>
      <c r="K45" s="73">
        <v>1</v>
      </c>
      <c r="L45" s="53" t="s">
        <v>472</v>
      </c>
      <c r="M45" s="53" t="s">
        <v>387</v>
      </c>
      <c r="N45" s="53" t="str">
        <f>IFERROR(VLOOKUP(TRIM(M45),Mapping!$A:$B,2,FALSE),"")</f>
        <v>Project_020</v>
      </c>
      <c r="O45" s="53" t="s">
        <v>1593</v>
      </c>
      <c r="P45" s="73" t="s">
        <v>1585</v>
      </c>
      <c r="Q45" s="73" t="s">
        <v>1599</v>
      </c>
      <c r="R45" s="73" t="s">
        <v>1600</v>
      </c>
      <c r="S45" s="73"/>
      <c r="T45" s="73"/>
      <c r="U45" s="73" t="s">
        <v>1574</v>
      </c>
      <c r="V45" s="73" t="s">
        <v>1575</v>
      </c>
      <c r="W45" s="73" t="s">
        <v>1576</v>
      </c>
      <c r="X45" s="73"/>
      <c r="Y45" s="73" t="s">
        <v>1577</v>
      </c>
    </row>
    <row r="46" spans="1:25" ht="45.75">
      <c r="A46" s="116">
        <v>45</v>
      </c>
      <c r="B46" s="73" t="s">
        <v>92</v>
      </c>
      <c r="C46" s="73" t="s">
        <v>1563</v>
      </c>
      <c r="D46" s="73" t="s">
        <v>91</v>
      </c>
      <c r="E46" s="73" t="s">
        <v>1595</v>
      </c>
      <c r="F46" s="73" t="s">
        <v>1565</v>
      </c>
      <c r="G46" s="73" t="s">
        <v>1566</v>
      </c>
      <c r="H46" s="73" t="s">
        <v>1596</v>
      </c>
      <c r="I46" s="53" t="s">
        <v>1597</v>
      </c>
      <c r="J46" s="73" t="s">
        <v>1598</v>
      </c>
      <c r="K46" s="73">
        <v>1</v>
      </c>
      <c r="L46" s="53" t="s">
        <v>481</v>
      </c>
      <c r="M46" s="53" t="s">
        <v>315</v>
      </c>
      <c r="N46" s="53" t="str">
        <f>IFERROR(VLOOKUP(TRIM(M46),Mapping!$A:$B,2,FALSE),"")</f>
        <v>Project_007</v>
      </c>
      <c r="O46" s="53" t="s">
        <v>1581</v>
      </c>
      <c r="P46" s="73" t="s">
        <v>1585</v>
      </c>
      <c r="Q46" s="73" t="s">
        <v>1599</v>
      </c>
      <c r="R46" s="73" t="s">
        <v>1600</v>
      </c>
      <c r="S46" s="73"/>
      <c r="T46" s="73"/>
      <c r="U46" s="73" t="s">
        <v>1574</v>
      </c>
      <c r="V46" s="73" t="s">
        <v>1575</v>
      </c>
      <c r="W46" s="73" t="s">
        <v>1576</v>
      </c>
      <c r="X46" s="73"/>
      <c r="Y46" s="73" t="s">
        <v>1577</v>
      </c>
    </row>
    <row r="47" spans="1:25" ht="45.75">
      <c r="A47" s="116">
        <v>46</v>
      </c>
      <c r="B47" s="73" t="s">
        <v>92</v>
      </c>
      <c r="C47" s="73" t="s">
        <v>1563</v>
      </c>
      <c r="D47" s="73" t="s">
        <v>91</v>
      </c>
      <c r="E47" s="73" t="s">
        <v>1595</v>
      </c>
      <c r="F47" s="73" t="s">
        <v>1565</v>
      </c>
      <c r="G47" s="73" t="s">
        <v>1566</v>
      </c>
      <c r="H47" s="73" t="s">
        <v>1596</v>
      </c>
      <c r="I47" s="53" t="s">
        <v>1597</v>
      </c>
      <c r="J47" s="73" t="s">
        <v>1598</v>
      </c>
      <c r="K47" s="73">
        <v>1</v>
      </c>
      <c r="L47" s="53" t="s">
        <v>484</v>
      </c>
      <c r="M47" s="53" t="s">
        <v>486</v>
      </c>
      <c r="N47" s="53" t="str">
        <f>IFERROR(VLOOKUP(TRIM(M47),Mapping!$A:$B,2,FALSE),"")</f>
        <v>Project_028</v>
      </c>
      <c r="O47" s="53" t="s">
        <v>1578</v>
      </c>
      <c r="P47" s="73" t="s">
        <v>1582</v>
      </c>
      <c r="Q47" s="73" t="s">
        <v>1599</v>
      </c>
      <c r="R47" s="73" t="s">
        <v>1600</v>
      </c>
      <c r="S47" s="73"/>
      <c r="T47" s="73"/>
      <c r="U47" s="73" t="s">
        <v>1574</v>
      </c>
      <c r="V47" s="73" t="s">
        <v>1575</v>
      </c>
      <c r="W47" s="73" t="s">
        <v>1576</v>
      </c>
      <c r="X47" s="73"/>
      <c r="Y47" s="73" t="s">
        <v>1577</v>
      </c>
    </row>
    <row r="48" spans="1:25" ht="45.75">
      <c r="A48" s="116">
        <v>47</v>
      </c>
      <c r="B48" s="73" t="s">
        <v>92</v>
      </c>
      <c r="C48" s="73" t="s">
        <v>1563</v>
      </c>
      <c r="D48" s="73" t="s">
        <v>91</v>
      </c>
      <c r="E48" s="73" t="s">
        <v>1595</v>
      </c>
      <c r="F48" s="73" t="s">
        <v>1565</v>
      </c>
      <c r="G48" s="73" t="s">
        <v>1566</v>
      </c>
      <c r="H48" s="73" t="s">
        <v>1596</v>
      </c>
      <c r="I48" s="53" t="s">
        <v>1597</v>
      </c>
      <c r="J48" s="73" t="s">
        <v>1598</v>
      </c>
      <c r="K48" s="73">
        <v>1</v>
      </c>
      <c r="L48" s="53" t="s">
        <v>488</v>
      </c>
      <c r="M48" s="53" t="s">
        <v>323</v>
      </c>
      <c r="N48" s="53" t="str">
        <f>IFERROR(VLOOKUP(TRIM(M48),Mapping!$A:$B,2,FALSE),"")</f>
        <v>Project_009</v>
      </c>
      <c r="O48" s="53" t="s">
        <v>4</v>
      </c>
      <c r="P48" s="73" t="s">
        <v>1571</v>
      </c>
      <c r="Q48" s="73" t="s">
        <v>1599</v>
      </c>
      <c r="R48" s="73" t="s">
        <v>1600</v>
      </c>
      <c r="S48" s="73"/>
      <c r="T48" s="73"/>
      <c r="U48" s="73" t="s">
        <v>1574</v>
      </c>
      <c r="V48" s="73" t="s">
        <v>1575</v>
      </c>
      <c r="W48" s="73" t="s">
        <v>1576</v>
      </c>
      <c r="X48" s="73"/>
      <c r="Y48" s="73" t="s">
        <v>1577</v>
      </c>
    </row>
    <row r="49" spans="1:25" ht="45.75">
      <c r="A49" s="116">
        <v>48</v>
      </c>
      <c r="B49" s="73" t="s">
        <v>92</v>
      </c>
      <c r="C49" s="73" t="s">
        <v>1563</v>
      </c>
      <c r="D49" s="73" t="s">
        <v>91</v>
      </c>
      <c r="E49" s="73" t="s">
        <v>1595</v>
      </c>
      <c r="F49" s="73" t="s">
        <v>1565</v>
      </c>
      <c r="G49" s="73" t="s">
        <v>1566</v>
      </c>
      <c r="H49" s="73" t="s">
        <v>1596</v>
      </c>
      <c r="I49" s="53" t="s">
        <v>1597</v>
      </c>
      <c r="J49" s="73" t="s">
        <v>1598</v>
      </c>
      <c r="K49" s="73">
        <v>1</v>
      </c>
      <c r="L49" s="53" t="s">
        <v>494</v>
      </c>
      <c r="M49" s="53" t="s">
        <v>323</v>
      </c>
      <c r="N49" s="53" t="str">
        <f>IFERROR(VLOOKUP(TRIM(M49),Mapping!$A:$B,2,FALSE),"")</f>
        <v>Project_009</v>
      </c>
      <c r="O49" s="53" t="s">
        <v>497</v>
      </c>
      <c r="P49" s="73" t="s">
        <v>1582</v>
      </c>
      <c r="Q49" s="73" t="s">
        <v>1599</v>
      </c>
      <c r="R49" s="73" t="s">
        <v>1600</v>
      </c>
      <c r="S49" s="73"/>
      <c r="T49" s="73"/>
      <c r="U49" s="73" t="s">
        <v>1574</v>
      </c>
      <c r="V49" s="73" t="s">
        <v>1575</v>
      </c>
      <c r="W49" s="73" t="s">
        <v>1576</v>
      </c>
      <c r="X49" s="73"/>
      <c r="Y49" s="73" t="s">
        <v>1577</v>
      </c>
    </row>
    <row r="50" spans="1:25" ht="45.75">
      <c r="A50" s="116">
        <v>49</v>
      </c>
      <c r="B50" s="73" t="s">
        <v>92</v>
      </c>
      <c r="C50" s="73" t="s">
        <v>1563</v>
      </c>
      <c r="D50" s="73" t="s">
        <v>91</v>
      </c>
      <c r="E50" s="73" t="s">
        <v>1595</v>
      </c>
      <c r="F50" s="73" t="s">
        <v>1565</v>
      </c>
      <c r="G50" s="73" t="s">
        <v>1566</v>
      </c>
      <c r="H50" s="73" t="s">
        <v>1596</v>
      </c>
      <c r="I50" s="53" t="s">
        <v>1597</v>
      </c>
      <c r="J50" s="73" t="s">
        <v>1598</v>
      </c>
      <c r="K50" s="73">
        <v>1</v>
      </c>
      <c r="L50" s="53" t="s">
        <v>499</v>
      </c>
      <c r="M50" s="53" t="s">
        <v>501</v>
      </c>
      <c r="N50" s="53" t="str">
        <f>IFERROR(VLOOKUP(TRIM(M50),Mapping!$A:$B,2,FALSE),"")</f>
        <v>Project_029</v>
      </c>
      <c r="O50" s="53" t="s">
        <v>1592</v>
      </c>
      <c r="P50" s="73" t="s">
        <v>1571</v>
      </c>
      <c r="Q50" s="73" t="s">
        <v>1599</v>
      </c>
      <c r="R50" s="73" t="s">
        <v>1600</v>
      </c>
      <c r="S50" s="73"/>
      <c r="T50" s="73"/>
      <c r="U50" s="73" t="s">
        <v>1574</v>
      </c>
      <c r="V50" s="73" t="s">
        <v>1575</v>
      </c>
      <c r="W50" s="73" t="s">
        <v>1576</v>
      </c>
      <c r="X50" s="73"/>
      <c r="Y50" s="73" t="s">
        <v>1577</v>
      </c>
    </row>
    <row r="51" spans="1:25" ht="45.75">
      <c r="A51" s="116">
        <v>50</v>
      </c>
      <c r="B51" s="73" t="s">
        <v>92</v>
      </c>
      <c r="C51" s="73" t="s">
        <v>1563</v>
      </c>
      <c r="D51" s="73" t="s">
        <v>91</v>
      </c>
      <c r="E51" s="73" t="s">
        <v>1595</v>
      </c>
      <c r="F51" s="73" t="s">
        <v>1565</v>
      </c>
      <c r="G51" s="73" t="s">
        <v>1566</v>
      </c>
      <c r="H51" s="73" t="s">
        <v>1596</v>
      </c>
      <c r="I51" s="53" t="s">
        <v>1597</v>
      </c>
      <c r="J51" s="73" t="s">
        <v>1598</v>
      </c>
      <c r="K51" s="73">
        <v>1</v>
      </c>
      <c r="L51" s="53" t="s">
        <v>506</v>
      </c>
      <c r="M51" s="53" t="s">
        <v>510</v>
      </c>
      <c r="N51" s="53" t="str">
        <f>IFERROR(VLOOKUP(TRIM(M51),Mapping!$A:$B,2,FALSE),"")</f>
        <v>Project_030</v>
      </c>
      <c r="O51" s="53" t="s">
        <v>1581</v>
      </c>
      <c r="P51" s="73" t="s">
        <v>1571</v>
      </c>
      <c r="Q51" s="73" t="s">
        <v>1599</v>
      </c>
      <c r="R51" s="73" t="s">
        <v>1600</v>
      </c>
      <c r="S51" s="73"/>
      <c r="T51" s="73"/>
      <c r="U51" s="73" t="s">
        <v>1574</v>
      </c>
      <c r="V51" s="73" t="s">
        <v>1575</v>
      </c>
      <c r="W51" s="73" t="s">
        <v>1576</v>
      </c>
      <c r="X51" s="73"/>
      <c r="Y51" s="73" t="s">
        <v>1577</v>
      </c>
    </row>
    <row r="52" spans="1:25" ht="45.75">
      <c r="A52" s="116">
        <v>51</v>
      </c>
      <c r="B52" s="73" t="s">
        <v>92</v>
      </c>
      <c r="C52" s="73" t="s">
        <v>1563</v>
      </c>
      <c r="D52" s="73" t="s">
        <v>91</v>
      </c>
      <c r="E52" s="73" t="s">
        <v>1595</v>
      </c>
      <c r="F52" s="73" t="s">
        <v>1565</v>
      </c>
      <c r="G52" s="73" t="s">
        <v>1566</v>
      </c>
      <c r="H52" s="73" t="s">
        <v>1596</v>
      </c>
      <c r="I52" s="53" t="s">
        <v>1597</v>
      </c>
      <c r="J52" s="73" t="s">
        <v>1598</v>
      </c>
      <c r="K52" s="73">
        <v>1</v>
      </c>
      <c r="L52" s="53" t="s">
        <v>512</v>
      </c>
      <c r="M52" s="53" t="s">
        <v>392</v>
      </c>
      <c r="N52" s="53" t="str">
        <f>IFERROR(VLOOKUP(TRIM(M52),Mapping!$A:$B,2,FALSE),"")</f>
        <v>Project_021</v>
      </c>
      <c r="O52" s="53" t="s">
        <v>1593</v>
      </c>
      <c r="P52" s="73" t="s">
        <v>1584</v>
      </c>
      <c r="Q52" s="73" t="s">
        <v>1599</v>
      </c>
      <c r="R52" s="73" t="s">
        <v>1600</v>
      </c>
      <c r="S52" s="73"/>
      <c r="T52" s="73"/>
      <c r="U52" s="73" t="s">
        <v>1574</v>
      </c>
      <c r="V52" s="73" t="s">
        <v>1575</v>
      </c>
      <c r="W52" s="73" t="s">
        <v>1576</v>
      </c>
      <c r="X52" s="73"/>
      <c r="Y52" s="73" t="s">
        <v>1577</v>
      </c>
    </row>
    <row r="53" spans="1:25" ht="45.75">
      <c r="A53" s="116">
        <v>52</v>
      </c>
      <c r="B53" s="73" t="s">
        <v>92</v>
      </c>
      <c r="C53" s="73" t="s">
        <v>1563</v>
      </c>
      <c r="D53" s="73" t="s">
        <v>91</v>
      </c>
      <c r="E53" s="73" t="s">
        <v>1595</v>
      </c>
      <c r="F53" s="73" t="s">
        <v>1565</v>
      </c>
      <c r="G53" s="73" t="s">
        <v>1566</v>
      </c>
      <c r="H53" s="73" t="s">
        <v>1596</v>
      </c>
      <c r="I53" s="53" t="s">
        <v>1597</v>
      </c>
      <c r="J53" s="73" t="s">
        <v>1598</v>
      </c>
      <c r="K53" s="73">
        <v>1</v>
      </c>
      <c r="L53" s="53" t="s">
        <v>521</v>
      </c>
      <c r="M53" s="53" t="s">
        <v>387</v>
      </c>
      <c r="N53" s="53" t="str">
        <f>IFERROR(VLOOKUP(TRIM(M53),Mapping!$A:$B,2,FALSE),"")</f>
        <v>Project_020</v>
      </c>
      <c r="O53" s="53" t="s">
        <v>1581</v>
      </c>
      <c r="P53" s="73" t="s">
        <v>1571</v>
      </c>
      <c r="Q53" s="73" t="s">
        <v>1599</v>
      </c>
      <c r="R53" s="73" t="s">
        <v>1600</v>
      </c>
      <c r="S53" s="73"/>
      <c r="T53" s="73"/>
      <c r="U53" s="73" t="s">
        <v>1574</v>
      </c>
      <c r="V53" s="73" t="s">
        <v>1575</v>
      </c>
      <c r="W53" s="73" t="s">
        <v>1576</v>
      </c>
      <c r="X53" s="73"/>
      <c r="Y53" s="73" t="s">
        <v>1577</v>
      </c>
    </row>
    <row r="54" spans="1:25" ht="45.75">
      <c r="A54" s="116">
        <v>53</v>
      </c>
      <c r="B54" s="73" t="s">
        <v>92</v>
      </c>
      <c r="C54" s="73" t="s">
        <v>1563</v>
      </c>
      <c r="D54" s="73" t="s">
        <v>91</v>
      </c>
      <c r="E54" s="73" t="s">
        <v>1595</v>
      </c>
      <c r="F54" s="73" t="s">
        <v>1565</v>
      </c>
      <c r="G54" s="73" t="s">
        <v>1566</v>
      </c>
      <c r="H54" s="73" t="s">
        <v>1596</v>
      </c>
      <c r="I54" s="53" t="s">
        <v>1597</v>
      </c>
      <c r="J54" s="73" t="s">
        <v>1598</v>
      </c>
      <c r="K54" s="73">
        <v>1</v>
      </c>
      <c r="L54" s="53" t="s">
        <v>525</v>
      </c>
      <c r="M54" s="53" t="s">
        <v>501</v>
      </c>
      <c r="N54" s="53" t="str">
        <f>IFERROR(VLOOKUP(TRIM(M54),Mapping!$A:$B,2,FALSE),"")</f>
        <v>Project_029</v>
      </c>
      <c r="O54" s="53" t="s">
        <v>18</v>
      </c>
      <c r="P54" s="73" t="s">
        <v>1582</v>
      </c>
      <c r="Q54" s="73" t="s">
        <v>1599</v>
      </c>
      <c r="R54" s="73" t="s">
        <v>1600</v>
      </c>
      <c r="S54" s="73"/>
      <c r="T54" s="73"/>
      <c r="U54" s="73" t="s">
        <v>1574</v>
      </c>
      <c r="V54" s="73" t="s">
        <v>1575</v>
      </c>
      <c r="W54" s="73" t="s">
        <v>1576</v>
      </c>
      <c r="X54" s="73"/>
      <c r="Y54" s="73" t="s">
        <v>1577</v>
      </c>
    </row>
    <row r="55" spans="1:25" ht="45.75">
      <c r="A55" s="116">
        <v>54</v>
      </c>
      <c r="B55" s="73" t="s">
        <v>92</v>
      </c>
      <c r="C55" s="73" t="s">
        <v>1563</v>
      </c>
      <c r="D55" s="73" t="s">
        <v>91</v>
      </c>
      <c r="E55" s="73" t="s">
        <v>1595</v>
      </c>
      <c r="F55" s="73" t="s">
        <v>1565</v>
      </c>
      <c r="G55" s="73" t="s">
        <v>1566</v>
      </c>
      <c r="H55" s="73" t="s">
        <v>1596</v>
      </c>
      <c r="I55" s="53" t="s">
        <v>1597</v>
      </c>
      <c r="J55" s="73" t="s">
        <v>1598</v>
      </c>
      <c r="K55" s="73">
        <v>1</v>
      </c>
      <c r="L55" s="53" t="s">
        <v>529</v>
      </c>
      <c r="M55" s="53" t="s">
        <v>285</v>
      </c>
      <c r="N55" s="53" t="str">
        <f>IFERROR(VLOOKUP(TRIM(M55),Mapping!$A:$B,2,FALSE),"")</f>
        <v>Project_017</v>
      </c>
      <c r="O55" s="53" t="s">
        <v>1581</v>
      </c>
      <c r="P55" s="73" t="s">
        <v>1582</v>
      </c>
      <c r="Q55" s="73" t="s">
        <v>1599</v>
      </c>
      <c r="R55" s="73" t="s">
        <v>1600</v>
      </c>
      <c r="S55" s="73"/>
      <c r="T55" s="73"/>
      <c r="U55" s="73" t="s">
        <v>1574</v>
      </c>
      <c r="V55" s="73" t="s">
        <v>1575</v>
      </c>
      <c r="W55" s="73" t="s">
        <v>1576</v>
      </c>
      <c r="X55" s="73"/>
      <c r="Y55" s="73" t="s">
        <v>1577</v>
      </c>
    </row>
    <row r="56" spans="1:25" ht="45.75">
      <c r="A56" s="116">
        <v>55</v>
      </c>
      <c r="B56" s="73" t="s">
        <v>92</v>
      </c>
      <c r="C56" s="73" t="s">
        <v>1563</v>
      </c>
      <c r="D56" s="73" t="s">
        <v>91</v>
      </c>
      <c r="E56" s="73" t="s">
        <v>1595</v>
      </c>
      <c r="F56" s="73" t="s">
        <v>1565</v>
      </c>
      <c r="G56" s="73" t="s">
        <v>1566</v>
      </c>
      <c r="H56" s="73" t="s">
        <v>1596</v>
      </c>
      <c r="I56" s="53" t="s">
        <v>1597</v>
      </c>
      <c r="J56" s="73" t="s">
        <v>1598</v>
      </c>
      <c r="K56" s="73">
        <v>1</v>
      </c>
      <c r="L56" s="53" t="s">
        <v>532</v>
      </c>
      <c r="M56" s="53" t="s">
        <v>301</v>
      </c>
      <c r="N56" s="53" t="str">
        <f>IFERROR(VLOOKUP(TRIM(M56),Mapping!$A:$B,2,FALSE),"")</f>
        <v>Project_004</v>
      </c>
      <c r="O56" s="53" t="s">
        <v>1581</v>
      </c>
      <c r="P56" s="73" t="s">
        <v>1584</v>
      </c>
      <c r="Q56" s="73" t="s">
        <v>1599</v>
      </c>
      <c r="R56" s="73" t="s">
        <v>1600</v>
      </c>
      <c r="S56" s="73"/>
      <c r="T56" s="73"/>
      <c r="U56" s="73" t="s">
        <v>1574</v>
      </c>
      <c r="V56" s="73" t="s">
        <v>1575</v>
      </c>
      <c r="W56" s="73" t="s">
        <v>1576</v>
      </c>
      <c r="X56" s="73"/>
      <c r="Y56" s="73" t="s">
        <v>1577</v>
      </c>
    </row>
    <row r="57" spans="1:25" ht="45.75">
      <c r="A57" s="116">
        <v>56</v>
      </c>
      <c r="B57" s="73" t="s">
        <v>92</v>
      </c>
      <c r="C57" s="73" t="s">
        <v>1563</v>
      </c>
      <c r="D57" s="73" t="s">
        <v>91</v>
      </c>
      <c r="E57" s="73" t="s">
        <v>1595</v>
      </c>
      <c r="F57" s="73" t="s">
        <v>1565</v>
      </c>
      <c r="G57" s="73" t="s">
        <v>1566</v>
      </c>
      <c r="H57" s="73" t="s">
        <v>1596</v>
      </c>
      <c r="I57" s="53" t="s">
        <v>1597</v>
      </c>
      <c r="J57" s="73" t="s">
        <v>1598</v>
      </c>
      <c r="K57" s="73">
        <v>1</v>
      </c>
      <c r="L57" s="53" t="s">
        <v>535</v>
      </c>
      <c r="M57" s="53" t="s">
        <v>537</v>
      </c>
      <c r="N57" s="53" t="str">
        <f>IFERROR(VLOOKUP(TRIM(M57),Mapping!$A:$B,2,FALSE),"")</f>
        <v>Project_031</v>
      </c>
      <c r="O57" s="53" t="s">
        <v>18</v>
      </c>
      <c r="P57" s="73" t="s">
        <v>1582</v>
      </c>
      <c r="Q57" s="73" t="s">
        <v>1599</v>
      </c>
      <c r="R57" s="73" t="s">
        <v>1600</v>
      </c>
      <c r="S57" s="73"/>
      <c r="T57" s="73"/>
      <c r="U57" s="73" t="s">
        <v>1574</v>
      </c>
      <c r="V57" s="73" t="s">
        <v>1575</v>
      </c>
      <c r="W57" s="73" t="s">
        <v>1576</v>
      </c>
      <c r="X57" s="73"/>
      <c r="Y57" s="73" t="s">
        <v>1577</v>
      </c>
    </row>
    <row r="58" spans="1:25" ht="45.75">
      <c r="A58" s="116">
        <v>57</v>
      </c>
      <c r="B58" s="73" t="s">
        <v>92</v>
      </c>
      <c r="C58" s="73" t="s">
        <v>1563</v>
      </c>
      <c r="D58" s="73" t="s">
        <v>91</v>
      </c>
      <c r="E58" s="73" t="s">
        <v>1595</v>
      </c>
      <c r="F58" s="73" t="s">
        <v>1565</v>
      </c>
      <c r="G58" s="73" t="s">
        <v>1566</v>
      </c>
      <c r="H58" s="73" t="s">
        <v>1596</v>
      </c>
      <c r="I58" s="53" t="s">
        <v>1597</v>
      </c>
      <c r="J58" s="73" t="s">
        <v>1598</v>
      </c>
      <c r="K58" s="73">
        <v>1</v>
      </c>
      <c r="L58" s="53" t="s">
        <v>539</v>
      </c>
      <c r="M58" s="53" t="s">
        <v>305</v>
      </c>
      <c r="N58" s="53" t="str">
        <f>IFERROR(VLOOKUP(TRIM(M58),Mapping!$A:$B,2,FALSE),"")</f>
        <v>Project_005</v>
      </c>
      <c r="O58" s="53" t="s">
        <v>18</v>
      </c>
      <c r="P58" s="73" t="s">
        <v>1585</v>
      </c>
      <c r="Q58" s="73" t="s">
        <v>1599</v>
      </c>
      <c r="R58" s="73" t="s">
        <v>1600</v>
      </c>
      <c r="S58" s="73"/>
      <c r="T58" s="73"/>
      <c r="U58" s="73" t="s">
        <v>1574</v>
      </c>
      <c r="V58" s="73" t="s">
        <v>1575</v>
      </c>
      <c r="W58" s="73" t="s">
        <v>1576</v>
      </c>
      <c r="X58" s="73"/>
      <c r="Y58" s="73" t="s">
        <v>1577</v>
      </c>
    </row>
    <row r="59" spans="1:25" ht="45.75">
      <c r="A59" s="116">
        <v>58</v>
      </c>
      <c r="B59" s="73" t="s">
        <v>92</v>
      </c>
      <c r="C59" s="73" t="s">
        <v>1563</v>
      </c>
      <c r="D59" s="73" t="s">
        <v>91</v>
      </c>
      <c r="E59" s="73" t="s">
        <v>1595</v>
      </c>
      <c r="F59" s="73" t="s">
        <v>1565</v>
      </c>
      <c r="G59" s="73" t="s">
        <v>1566</v>
      </c>
      <c r="H59" s="73" t="s">
        <v>1596</v>
      </c>
      <c r="I59" s="53" t="s">
        <v>1597</v>
      </c>
      <c r="J59" s="73" t="s">
        <v>1598</v>
      </c>
      <c r="K59" s="73">
        <v>1</v>
      </c>
      <c r="L59" s="53" t="s">
        <v>548</v>
      </c>
      <c r="M59" s="53" t="s">
        <v>468</v>
      </c>
      <c r="N59" s="53" t="str">
        <f>IFERROR(VLOOKUP(TRIM(M59),Mapping!$A:$B,2,FALSE),"")</f>
        <v>Project_027</v>
      </c>
      <c r="O59" s="53" t="s">
        <v>18</v>
      </c>
      <c r="P59" s="73" t="s">
        <v>1584</v>
      </c>
      <c r="Q59" s="73" t="s">
        <v>1599</v>
      </c>
      <c r="R59" s="73" t="s">
        <v>1600</v>
      </c>
      <c r="S59" s="73"/>
      <c r="T59" s="73"/>
      <c r="U59" s="73" t="s">
        <v>1574</v>
      </c>
      <c r="V59" s="73" t="s">
        <v>1575</v>
      </c>
      <c r="W59" s="73" t="s">
        <v>1576</v>
      </c>
      <c r="X59" s="73"/>
      <c r="Y59" s="73" t="s">
        <v>1577</v>
      </c>
    </row>
    <row r="60" spans="1:25" ht="45.75">
      <c r="A60" s="116">
        <v>59</v>
      </c>
      <c r="B60" s="73" t="s">
        <v>92</v>
      </c>
      <c r="C60" s="73" t="s">
        <v>1563</v>
      </c>
      <c r="D60" s="73" t="s">
        <v>91</v>
      </c>
      <c r="E60" s="73" t="s">
        <v>1595</v>
      </c>
      <c r="F60" s="73" t="s">
        <v>1565</v>
      </c>
      <c r="G60" s="73" t="s">
        <v>1566</v>
      </c>
      <c r="H60" s="73" t="s">
        <v>1596</v>
      </c>
      <c r="I60" s="53" t="s">
        <v>1597</v>
      </c>
      <c r="J60" s="73" t="s">
        <v>1598</v>
      </c>
      <c r="K60" s="73">
        <v>1</v>
      </c>
      <c r="L60" s="53" t="s">
        <v>555</v>
      </c>
      <c r="M60" s="53" t="s">
        <v>301</v>
      </c>
      <c r="N60" s="53" t="str">
        <f>IFERROR(VLOOKUP(TRIM(M60),Mapping!$A:$B,2,FALSE),"")</f>
        <v>Project_004</v>
      </c>
      <c r="O60" s="53" t="s">
        <v>1581</v>
      </c>
      <c r="P60" s="73" t="s">
        <v>1582</v>
      </c>
      <c r="Q60" s="73" t="s">
        <v>1599</v>
      </c>
      <c r="R60" s="73" t="s">
        <v>1600</v>
      </c>
      <c r="S60" s="73"/>
      <c r="T60" s="73"/>
      <c r="U60" s="73" t="s">
        <v>1574</v>
      </c>
      <c r="V60" s="73" t="s">
        <v>1575</v>
      </c>
      <c r="W60" s="73" t="s">
        <v>1576</v>
      </c>
      <c r="X60" s="73"/>
      <c r="Y60" s="73" t="s">
        <v>1577</v>
      </c>
    </row>
    <row r="61" spans="1:25" ht="45.75">
      <c r="A61" s="116">
        <v>60</v>
      </c>
      <c r="B61" s="73" t="s">
        <v>92</v>
      </c>
      <c r="C61" s="73" t="s">
        <v>1563</v>
      </c>
      <c r="D61" s="73" t="s">
        <v>91</v>
      </c>
      <c r="E61" s="73" t="s">
        <v>1595</v>
      </c>
      <c r="F61" s="73" t="s">
        <v>1565</v>
      </c>
      <c r="G61" s="73" t="s">
        <v>1566</v>
      </c>
      <c r="H61" s="73" t="s">
        <v>1596</v>
      </c>
      <c r="I61" s="53" t="s">
        <v>1597</v>
      </c>
      <c r="J61" s="73" t="s">
        <v>1598</v>
      </c>
      <c r="K61" s="73">
        <v>1</v>
      </c>
      <c r="L61" s="53" t="s">
        <v>558</v>
      </c>
      <c r="M61" s="53" t="s">
        <v>387</v>
      </c>
      <c r="N61" s="53" t="str">
        <f>IFERROR(VLOOKUP(TRIM(M61),Mapping!$A:$B,2,FALSE),"")</f>
        <v>Project_020</v>
      </c>
      <c r="O61" s="53" t="s">
        <v>1592</v>
      </c>
      <c r="P61" s="73" t="s">
        <v>1582</v>
      </c>
      <c r="Q61" s="73" t="s">
        <v>1599</v>
      </c>
      <c r="R61" s="73" t="s">
        <v>1600</v>
      </c>
      <c r="S61" s="73"/>
      <c r="T61" s="73"/>
      <c r="U61" s="73" t="s">
        <v>1574</v>
      </c>
      <c r="V61" s="73" t="s">
        <v>1575</v>
      </c>
      <c r="W61" s="73" t="s">
        <v>1576</v>
      </c>
      <c r="X61" s="73"/>
      <c r="Y61" s="73" t="s">
        <v>1577</v>
      </c>
    </row>
    <row r="62" spans="1:25" ht="45.75">
      <c r="A62" s="116">
        <v>61</v>
      </c>
      <c r="B62" s="73" t="s">
        <v>92</v>
      </c>
      <c r="C62" s="73" t="s">
        <v>1563</v>
      </c>
      <c r="D62" s="73" t="s">
        <v>91</v>
      </c>
      <c r="E62" s="73" t="s">
        <v>1595</v>
      </c>
      <c r="F62" s="73" t="s">
        <v>1565</v>
      </c>
      <c r="G62" s="73" t="s">
        <v>1566</v>
      </c>
      <c r="H62" s="73" t="s">
        <v>1596</v>
      </c>
      <c r="I62" s="53" t="s">
        <v>1597</v>
      </c>
      <c r="J62" s="73" t="s">
        <v>1598</v>
      </c>
      <c r="K62" s="73">
        <v>1</v>
      </c>
      <c r="L62" s="53" t="s">
        <v>564</v>
      </c>
      <c r="M62" s="53" t="s">
        <v>323</v>
      </c>
      <c r="N62" s="53" t="str">
        <f>IFERROR(VLOOKUP(TRIM(M62),Mapping!$A:$B,2,FALSE),"")</f>
        <v>Project_009</v>
      </c>
      <c r="O62" s="53" t="s">
        <v>18</v>
      </c>
      <c r="P62" s="73" t="s">
        <v>1585</v>
      </c>
      <c r="Q62" s="73" t="s">
        <v>1599</v>
      </c>
      <c r="R62" s="73" t="s">
        <v>1600</v>
      </c>
      <c r="S62" s="73"/>
      <c r="T62" s="73"/>
      <c r="U62" s="73" t="s">
        <v>1574</v>
      </c>
      <c r="V62" s="73" t="s">
        <v>1575</v>
      </c>
      <c r="W62" s="73" t="s">
        <v>1576</v>
      </c>
      <c r="X62" s="73"/>
      <c r="Y62" s="73" t="s">
        <v>1577</v>
      </c>
    </row>
    <row r="63" spans="1:25" ht="45.75">
      <c r="A63" s="116">
        <v>62</v>
      </c>
      <c r="B63" s="73" t="s">
        <v>92</v>
      </c>
      <c r="C63" s="73" t="s">
        <v>1563</v>
      </c>
      <c r="D63" s="73" t="s">
        <v>91</v>
      </c>
      <c r="E63" s="73" t="s">
        <v>1595</v>
      </c>
      <c r="F63" s="73" t="s">
        <v>1565</v>
      </c>
      <c r="G63" s="73" t="s">
        <v>1566</v>
      </c>
      <c r="H63" s="73" t="s">
        <v>1596</v>
      </c>
      <c r="I63" s="53" t="s">
        <v>1597</v>
      </c>
      <c r="J63" s="73" t="s">
        <v>1598</v>
      </c>
      <c r="K63" s="73">
        <v>1</v>
      </c>
      <c r="L63" s="53" t="s">
        <v>567</v>
      </c>
      <c r="M63" s="53" t="s">
        <v>323</v>
      </c>
      <c r="N63" s="53" t="str">
        <f>IFERROR(VLOOKUP(TRIM(M63),Mapping!$A:$B,2,FALSE),"")</f>
        <v>Project_009</v>
      </c>
      <c r="O63" s="53" t="s">
        <v>1592</v>
      </c>
      <c r="P63" s="73" t="s">
        <v>1584</v>
      </c>
      <c r="Q63" s="73" t="s">
        <v>1599</v>
      </c>
      <c r="R63" s="73" t="s">
        <v>1600</v>
      </c>
      <c r="S63" s="73"/>
      <c r="T63" s="73"/>
      <c r="U63" s="73" t="s">
        <v>1574</v>
      </c>
      <c r="V63" s="73" t="s">
        <v>1575</v>
      </c>
      <c r="W63" s="73" t="s">
        <v>1576</v>
      </c>
      <c r="X63" s="73"/>
      <c r="Y63" s="73" t="s">
        <v>1577</v>
      </c>
    </row>
    <row r="64" spans="1:25" ht="45.75">
      <c r="A64" s="116">
        <v>63</v>
      </c>
      <c r="B64" s="73" t="s">
        <v>92</v>
      </c>
      <c r="C64" s="73" t="s">
        <v>1563</v>
      </c>
      <c r="D64" s="73" t="s">
        <v>91</v>
      </c>
      <c r="E64" s="73" t="s">
        <v>1595</v>
      </c>
      <c r="F64" s="73" t="s">
        <v>1565</v>
      </c>
      <c r="G64" s="73" t="s">
        <v>1566</v>
      </c>
      <c r="H64" s="73" t="s">
        <v>1596</v>
      </c>
      <c r="I64" s="53" t="s">
        <v>1597</v>
      </c>
      <c r="J64" s="73" t="s">
        <v>1598</v>
      </c>
      <c r="K64" s="73">
        <v>1</v>
      </c>
      <c r="L64" s="53" t="s">
        <v>570</v>
      </c>
      <c r="M64" s="53" t="s">
        <v>392</v>
      </c>
      <c r="N64" s="53" t="str">
        <f>IFERROR(VLOOKUP(TRIM(M64),Mapping!$A:$B,2,FALSE),"")</f>
        <v>Project_021</v>
      </c>
      <c r="O64" s="53" t="s">
        <v>18</v>
      </c>
      <c r="P64" s="73" t="s">
        <v>1585</v>
      </c>
      <c r="Q64" s="73" t="s">
        <v>1599</v>
      </c>
      <c r="R64" s="73" t="s">
        <v>1600</v>
      </c>
      <c r="S64" s="73"/>
      <c r="T64" s="73"/>
      <c r="U64" s="73" t="s">
        <v>1574</v>
      </c>
      <c r="V64" s="73" t="s">
        <v>1575</v>
      </c>
      <c r="W64" s="73" t="s">
        <v>1576</v>
      </c>
      <c r="X64" s="73"/>
      <c r="Y64" s="73" t="s">
        <v>1577</v>
      </c>
    </row>
    <row r="65" spans="1:25" ht="45.75">
      <c r="A65" s="116">
        <v>64</v>
      </c>
      <c r="B65" s="73" t="s">
        <v>92</v>
      </c>
      <c r="C65" s="73" t="s">
        <v>1563</v>
      </c>
      <c r="D65" s="73" t="s">
        <v>91</v>
      </c>
      <c r="E65" s="73" t="s">
        <v>1595</v>
      </c>
      <c r="F65" s="73" t="s">
        <v>1565</v>
      </c>
      <c r="G65" s="73" t="s">
        <v>1566</v>
      </c>
      <c r="H65" s="73" t="s">
        <v>1596</v>
      </c>
      <c r="I65" s="53" t="s">
        <v>1597</v>
      </c>
      <c r="J65" s="73" t="s">
        <v>1598</v>
      </c>
      <c r="K65" s="73">
        <v>1</v>
      </c>
      <c r="L65" s="53" t="s">
        <v>577</v>
      </c>
      <c r="M65" s="53" t="s">
        <v>305</v>
      </c>
      <c r="N65" s="53" t="str">
        <f>IFERROR(VLOOKUP(TRIM(M65),Mapping!$A:$B,2,FALSE),"")</f>
        <v>Project_005</v>
      </c>
      <c r="O65" s="53" t="s">
        <v>1581</v>
      </c>
      <c r="P65" s="73" t="s">
        <v>1584</v>
      </c>
      <c r="Q65" s="73" t="s">
        <v>1599</v>
      </c>
      <c r="R65" s="73" t="s">
        <v>1600</v>
      </c>
      <c r="S65" s="73"/>
      <c r="T65" s="73"/>
      <c r="U65" s="73" t="s">
        <v>1574</v>
      </c>
      <c r="V65" s="73" t="s">
        <v>1575</v>
      </c>
      <c r="W65" s="73" t="s">
        <v>1576</v>
      </c>
      <c r="X65" s="73"/>
      <c r="Y65" s="73" t="s">
        <v>1577</v>
      </c>
    </row>
    <row r="66" spans="1:25" ht="45.75">
      <c r="A66" s="116">
        <v>65</v>
      </c>
      <c r="B66" s="73" t="s">
        <v>92</v>
      </c>
      <c r="C66" s="73" t="s">
        <v>1563</v>
      </c>
      <c r="D66" s="73" t="s">
        <v>91</v>
      </c>
      <c r="E66" s="73" t="s">
        <v>1595</v>
      </c>
      <c r="F66" s="73" t="s">
        <v>1565</v>
      </c>
      <c r="G66" s="73" t="s">
        <v>1566</v>
      </c>
      <c r="H66" s="73" t="s">
        <v>1596</v>
      </c>
      <c r="I66" s="53" t="s">
        <v>1597</v>
      </c>
      <c r="J66" s="73" t="s">
        <v>1598</v>
      </c>
      <c r="K66" s="73">
        <v>1</v>
      </c>
      <c r="L66" s="53" t="s">
        <v>580</v>
      </c>
      <c r="M66" s="53" t="s">
        <v>468</v>
      </c>
      <c r="N66" s="53" t="str">
        <f>IFERROR(VLOOKUP(TRIM(M66),Mapping!$A:$B,2,FALSE),"")</f>
        <v>Project_027</v>
      </c>
      <c r="O66" s="53" t="s">
        <v>1581</v>
      </c>
      <c r="P66" s="73" t="s">
        <v>1584</v>
      </c>
      <c r="Q66" s="73" t="s">
        <v>1599</v>
      </c>
      <c r="R66" s="73" t="s">
        <v>1600</v>
      </c>
      <c r="S66" s="73"/>
      <c r="T66" s="73"/>
      <c r="U66" s="73" t="s">
        <v>1574</v>
      </c>
      <c r="V66" s="73" t="s">
        <v>1575</v>
      </c>
      <c r="W66" s="73" t="s">
        <v>1576</v>
      </c>
      <c r="X66" s="73"/>
      <c r="Y66" s="73" t="s">
        <v>1577</v>
      </c>
    </row>
    <row r="67" spans="1:25" ht="45.75">
      <c r="A67" s="116">
        <v>66</v>
      </c>
      <c r="B67" s="73" t="s">
        <v>92</v>
      </c>
      <c r="C67" s="73" t="s">
        <v>1563</v>
      </c>
      <c r="D67" s="73" t="s">
        <v>91</v>
      </c>
      <c r="E67" s="73" t="s">
        <v>1595</v>
      </c>
      <c r="F67" s="73" t="s">
        <v>1565</v>
      </c>
      <c r="G67" s="73" t="s">
        <v>1566</v>
      </c>
      <c r="H67" s="73" t="s">
        <v>1596</v>
      </c>
      <c r="I67" s="53" t="s">
        <v>1597</v>
      </c>
      <c r="J67" s="73" t="s">
        <v>1598</v>
      </c>
      <c r="K67" s="73">
        <v>1</v>
      </c>
      <c r="L67" s="53" t="s">
        <v>589</v>
      </c>
      <c r="M67" s="53" t="s">
        <v>387</v>
      </c>
      <c r="N67" s="53" t="str">
        <f>IFERROR(VLOOKUP(TRIM(M67),Mapping!$A:$B,2,FALSE),"")</f>
        <v>Project_020</v>
      </c>
      <c r="O67" s="53" t="s">
        <v>1592</v>
      </c>
      <c r="P67" s="73" t="s">
        <v>1571</v>
      </c>
      <c r="Q67" s="73" t="s">
        <v>1599</v>
      </c>
      <c r="R67" s="73" t="s">
        <v>1600</v>
      </c>
      <c r="S67" s="73"/>
      <c r="T67" s="73"/>
      <c r="U67" s="73" t="s">
        <v>1574</v>
      </c>
      <c r="V67" s="73" t="s">
        <v>1575</v>
      </c>
      <c r="W67" s="73" t="s">
        <v>1576</v>
      </c>
      <c r="X67" s="73"/>
      <c r="Y67" s="73" t="s">
        <v>1577</v>
      </c>
    </row>
    <row r="68" spans="1:25" ht="45.75">
      <c r="A68" s="116">
        <v>67</v>
      </c>
      <c r="B68" s="73" t="s">
        <v>92</v>
      </c>
      <c r="C68" s="73" t="s">
        <v>1563</v>
      </c>
      <c r="D68" s="73" t="s">
        <v>91</v>
      </c>
      <c r="E68" s="73" t="s">
        <v>1595</v>
      </c>
      <c r="F68" s="73" t="s">
        <v>1565</v>
      </c>
      <c r="G68" s="73" t="s">
        <v>1566</v>
      </c>
      <c r="H68" s="73" t="s">
        <v>1596</v>
      </c>
      <c r="I68" s="53" t="s">
        <v>1597</v>
      </c>
      <c r="J68" s="73" t="s">
        <v>1598</v>
      </c>
      <c r="K68" s="73">
        <v>1</v>
      </c>
      <c r="L68" s="53" t="s">
        <v>592</v>
      </c>
      <c r="M68" s="53" t="s">
        <v>285</v>
      </c>
      <c r="N68" s="53" t="str">
        <f>IFERROR(VLOOKUP(TRIM(M68),Mapping!$A:$B,2,FALSE),"")</f>
        <v>Project_017</v>
      </c>
      <c r="O68" s="53" t="s">
        <v>1592</v>
      </c>
      <c r="P68" s="73" t="s">
        <v>1582</v>
      </c>
      <c r="Q68" s="73" t="s">
        <v>1599</v>
      </c>
      <c r="R68" s="73" t="s">
        <v>1600</v>
      </c>
      <c r="S68" s="73"/>
      <c r="T68" s="73"/>
      <c r="U68" s="73" t="s">
        <v>1574</v>
      </c>
      <c r="V68" s="73" t="s">
        <v>1575</v>
      </c>
      <c r="W68" s="73" t="s">
        <v>1576</v>
      </c>
      <c r="X68" s="73"/>
      <c r="Y68" s="73" t="s">
        <v>1577</v>
      </c>
    </row>
    <row r="69" spans="1:25" ht="45.75">
      <c r="A69" s="116">
        <v>68</v>
      </c>
      <c r="B69" s="73" t="s">
        <v>92</v>
      </c>
      <c r="C69" s="73" t="s">
        <v>1563</v>
      </c>
      <c r="D69" s="73" t="s">
        <v>91</v>
      </c>
      <c r="E69" s="73" t="s">
        <v>1595</v>
      </c>
      <c r="F69" s="73" t="s">
        <v>1565</v>
      </c>
      <c r="G69" s="73" t="s">
        <v>1566</v>
      </c>
      <c r="H69" s="73" t="s">
        <v>1596</v>
      </c>
      <c r="I69" s="53" t="s">
        <v>1597</v>
      </c>
      <c r="J69" s="73" t="s">
        <v>1598</v>
      </c>
      <c r="K69" s="73">
        <v>1</v>
      </c>
      <c r="L69" s="53" t="s">
        <v>595</v>
      </c>
      <c r="M69" s="53" t="s">
        <v>298</v>
      </c>
      <c r="N69" s="53" t="str">
        <f>IFERROR(VLOOKUP(TRIM(M69),Mapping!$A:$B,2,FALSE),"")</f>
        <v>Project_003</v>
      </c>
      <c r="O69" s="53" t="s">
        <v>18</v>
      </c>
      <c r="P69" s="73" t="s">
        <v>1582</v>
      </c>
      <c r="Q69" s="73" t="s">
        <v>1599</v>
      </c>
      <c r="R69" s="73" t="s">
        <v>1600</v>
      </c>
      <c r="S69" s="73"/>
      <c r="T69" s="73"/>
      <c r="U69" s="73" t="s">
        <v>1574</v>
      </c>
      <c r="V69" s="73" t="s">
        <v>1575</v>
      </c>
      <c r="W69" s="73" t="s">
        <v>1576</v>
      </c>
      <c r="X69" s="73"/>
      <c r="Y69" s="73" t="s">
        <v>1577</v>
      </c>
    </row>
    <row r="70" spans="1:25" ht="45.75">
      <c r="A70" s="116">
        <v>69</v>
      </c>
      <c r="B70" s="73" t="s">
        <v>92</v>
      </c>
      <c r="C70" s="73" t="s">
        <v>1563</v>
      </c>
      <c r="D70" s="73" t="s">
        <v>91</v>
      </c>
      <c r="E70" s="73" t="s">
        <v>1595</v>
      </c>
      <c r="F70" s="73" t="s">
        <v>1565</v>
      </c>
      <c r="G70" s="73" t="s">
        <v>1566</v>
      </c>
      <c r="H70" s="73" t="s">
        <v>1596</v>
      </c>
      <c r="I70" s="53" t="s">
        <v>1597</v>
      </c>
      <c r="J70" s="73" t="s">
        <v>1598</v>
      </c>
      <c r="K70" s="73">
        <v>1</v>
      </c>
      <c r="L70" s="53" t="s">
        <v>597</v>
      </c>
      <c r="M70" s="53" t="s">
        <v>301</v>
      </c>
      <c r="N70" s="53" t="str">
        <f>IFERROR(VLOOKUP(TRIM(M70),Mapping!$A:$B,2,FALSE),"")</f>
        <v>Project_004</v>
      </c>
      <c r="O70" s="53" t="s">
        <v>26</v>
      </c>
      <c r="P70" s="73" t="s">
        <v>1571</v>
      </c>
      <c r="Q70" s="73" t="s">
        <v>1599</v>
      </c>
      <c r="R70" s="73" t="s">
        <v>1600</v>
      </c>
      <c r="S70" s="73"/>
      <c r="T70" s="73"/>
      <c r="U70" s="73" t="s">
        <v>1574</v>
      </c>
      <c r="V70" s="73" t="s">
        <v>1575</v>
      </c>
      <c r="W70" s="73" t="s">
        <v>1576</v>
      </c>
      <c r="X70" s="73"/>
      <c r="Y70" s="73" t="s">
        <v>1577</v>
      </c>
    </row>
    <row r="71" spans="1:25" ht="45.75">
      <c r="A71" s="116">
        <v>70</v>
      </c>
      <c r="B71" s="73" t="s">
        <v>92</v>
      </c>
      <c r="C71" s="73" t="s">
        <v>1563</v>
      </c>
      <c r="D71" s="73" t="s">
        <v>91</v>
      </c>
      <c r="E71" s="73" t="s">
        <v>1595</v>
      </c>
      <c r="F71" s="73" t="s">
        <v>1565</v>
      </c>
      <c r="G71" s="73" t="s">
        <v>1566</v>
      </c>
      <c r="H71" s="73" t="s">
        <v>1596</v>
      </c>
      <c r="I71" s="53" t="s">
        <v>1597</v>
      </c>
      <c r="J71" s="73" t="s">
        <v>1598</v>
      </c>
      <c r="K71" s="73">
        <v>1</v>
      </c>
      <c r="L71" s="53" t="s">
        <v>599</v>
      </c>
      <c r="M71" s="53" t="s">
        <v>323</v>
      </c>
      <c r="N71" s="53" t="str">
        <f>IFERROR(VLOOKUP(TRIM(M71),Mapping!$A:$B,2,FALSE),"")</f>
        <v>Project_009</v>
      </c>
      <c r="O71" s="53" t="s">
        <v>1578</v>
      </c>
      <c r="P71" s="73" t="s">
        <v>1585</v>
      </c>
      <c r="Q71" s="73" t="s">
        <v>1599</v>
      </c>
      <c r="R71" s="73" t="s">
        <v>1600</v>
      </c>
      <c r="S71" s="73"/>
      <c r="T71" s="73"/>
      <c r="U71" s="73" t="s">
        <v>1574</v>
      </c>
      <c r="V71" s="73" t="s">
        <v>1575</v>
      </c>
      <c r="W71" s="73" t="s">
        <v>1576</v>
      </c>
      <c r="X71" s="73"/>
      <c r="Y71" s="73" t="s">
        <v>1577</v>
      </c>
    </row>
    <row r="72" spans="1:25" ht="45.75">
      <c r="A72" s="116">
        <v>71</v>
      </c>
      <c r="B72" s="73" t="s">
        <v>92</v>
      </c>
      <c r="C72" s="73" t="s">
        <v>1563</v>
      </c>
      <c r="D72" s="73" t="s">
        <v>91</v>
      </c>
      <c r="E72" s="73" t="s">
        <v>1595</v>
      </c>
      <c r="F72" s="73" t="s">
        <v>1565</v>
      </c>
      <c r="G72" s="73" t="s">
        <v>1566</v>
      </c>
      <c r="H72" s="73" t="s">
        <v>1596</v>
      </c>
      <c r="I72" s="53" t="s">
        <v>1597</v>
      </c>
      <c r="J72" s="73" t="s">
        <v>1598</v>
      </c>
      <c r="K72" s="73">
        <v>1</v>
      </c>
      <c r="L72" s="53" t="s">
        <v>606</v>
      </c>
      <c r="M72" s="53" t="s">
        <v>318</v>
      </c>
      <c r="N72" s="53" t="str">
        <f>IFERROR(VLOOKUP(TRIM(M72),Mapping!$A:$B,2,FALSE),"")</f>
        <v>Project_008</v>
      </c>
      <c r="O72" s="53" t="s">
        <v>18</v>
      </c>
      <c r="P72" s="73" t="s">
        <v>1571</v>
      </c>
      <c r="Q72" s="73" t="s">
        <v>1599</v>
      </c>
      <c r="R72" s="73" t="s">
        <v>1600</v>
      </c>
      <c r="S72" s="73"/>
      <c r="T72" s="73"/>
      <c r="U72" s="73" t="s">
        <v>1574</v>
      </c>
      <c r="V72" s="73" t="s">
        <v>1575</v>
      </c>
      <c r="W72" s="73" t="s">
        <v>1576</v>
      </c>
      <c r="X72" s="73"/>
      <c r="Y72" s="73" t="s">
        <v>1577</v>
      </c>
    </row>
    <row r="73" spans="1:25" ht="45.75">
      <c r="A73" s="116">
        <v>72</v>
      </c>
      <c r="B73" s="73" t="s">
        <v>92</v>
      </c>
      <c r="C73" s="73" t="s">
        <v>1563</v>
      </c>
      <c r="D73" s="73" t="s">
        <v>91</v>
      </c>
      <c r="E73" s="73" t="s">
        <v>1595</v>
      </c>
      <c r="F73" s="73" t="s">
        <v>1565</v>
      </c>
      <c r="G73" s="73" t="s">
        <v>1566</v>
      </c>
      <c r="H73" s="73" t="s">
        <v>1596</v>
      </c>
      <c r="I73" s="53" t="s">
        <v>1597</v>
      </c>
      <c r="J73" s="73" t="s">
        <v>1598</v>
      </c>
      <c r="K73" s="73">
        <v>1</v>
      </c>
      <c r="L73" s="53" t="s">
        <v>609</v>
      </c>
      <c r="M73" s="53" t="s">
        <v>348</v>
      </c>
      <c r="N73" s="53" t="str">
        <f>IFERROR(VLOOKUP(TRIM(M73),Mapping!$A:$B,2,FALSE),"")</f>
        <v>Project_014</v>
      </c>
      <c r="O73" s="53" t="s">
        <v>1581</v>
      </c>
      <c r="P73" s="73" t="s">
        <v>1582</v>
      </c>
      <c r="Q73" s="73" t="s">
        <v>1599</v>
      </c>
      <c r="R73" s="73" t="s">
        <v>1600</v>
      </c>
      <c r="S73" s="73"/>
      <c r="T73" s="73"/>
      <c r="U73" s="73" t="s">
        <v>1574</v>
      </c>
      <c r="V73" s="73" t="s">
        <v>1575</v>
      </c>
      <c r="W73" s="73" t="s">
        <v>1576</v>
      </c>
      <c r="X73" s="73"/>
      <c r="Y73" s="73" t="s">
        <v>1577</v>
      </c>
    </row>
    <row r="74" spans="1:25" ht="45.75">
      <c r="A74" s="116">
        <v>73</v>
      </c>
      <c r="B74" s="73" t="s">
        <v>92</v>
      </c>
      <c r="C74" s="73" t="s">
        <v>1563</v>
      </c>
      <c r="D74" s="73" t="s">
        <v>91</v>
      </c>
      <c r="E74" s="73" t="s">
        <v>1595</v>
      </c>
      <c r="F74" s="73" t="s">
        <v>1565</v>
      </c>
      <c r="G74" s="73" t="s">
        <v>1566</v>
      </c>
      <c r="H74" s="73" t="s">
        <v>1596</v>
      </c>
      <c r="I74" s="53" t="s">
        <v>1597</v>
      </c>
      <c r="J74" s="73" t="s">
        <v>1598</v>
      </c>
      <c r="K74" s="73">
        <v>1</v>
      </c>
      <c r="L74" s="53" t="s">
        <v>612</v>
      </c>
      <c r="M74" s="53" t="s">
        <v>348</v>
      </c>
      <c r="N74" s="53" t="str">
        <f>IFERROR(VLOOKUP(TRIM(M74),Mapping!$A:$B,2,FALSE),"")</f>
        <v>Project_014</v>
      </c>
      <c r="O74" s="53" t="s">
        <v>1592</v>
      </c>
      <c r="P74" s="73" t="s">
        <v>1582</v>
      </c>
      <c r="Q74" s="73" t="s">
        <v>1599</v>
      </c>
      <c r="R74" s="73" t="s">
        <v>1600</v>
      </c>
      <c r="S74" s="73"/>
      <c r="T74" s="73"/>
      <c r="U74" s="73" t="s">
        <v>1574</v>
      </c>
      <c r="V74" s="73" t="s">
        <v>1575</v>
      </c>
      <c r="W74" s="73" t="s">
        <v>1576</v>
      </c>
      <c r="X74" s="73"/>
      <c r="Y74" s="73" t="s">
        <v>1577</v>
      </c>
    </row>
    <row r="75" spans="1:25" ht="45.75">
      <c r="A75" s="116">
        <v>74</v>
      </c>
      <c r="B75" s="73" t="s">
        <v>92</v>
      </c>
      <c r="C75" s="73" t="s">
        <v>1563</v>
      </c>
      <c r="D75" s="73" t="s">
        <v>91</v>
      </c>
      <c r="E75" s="73" t="s">
        <v>1595</v>
      </c>
      <c r="F75" s="73" t="s">
        <v>1565</v>
      </c>
      <c r="G75" s="73" t="s">
        <v>1566</v>
      </c>
      <c r="H75" s="73" t="s">
        <v>1596</v>
      </c>
      <c r="I75" s="53" t="s">
        <v>1597</v>
      </c>
      <c r="J75" s="73" t="s">
        <v>1598</v>
      </c>
      <c r="K75" s="73">
        <v>1</v>
      </c>
      <c r="L75" s="53" t="s">
        <v>618</v>
      </c>
      <c r="M75" s="53" t="s">
        <v>318</v>
      </c>
      <c r="N75" s="53" t="str">
        <f>IFERROR(VLOOKUP(TRIM(M75),Mapping!$A:$B,2,FALSE),"")</f>
        <v>Project_008</v>
      </c>
      <c r="O75" s="53" t="s">
        <v>1581</v>
      </c>
      <c r="P75" s="73" t="s">
        <v>1571</v>
      </c>
      <c r="Q75" s="73" t="s">
        <v>1599</v>
      </c>
      <c r="R75" s="73" t="s">
        <v>1600</v>
      </c>
      <c r="S75" s="73"/>
      <c r="T75" s="73"/>
      <c r="U75" s="73" t="s">
        <v>1574</v>
      </c>
      <c r="V75" s="73" t="s">
        <v>1575</v>
      </c>
      <c r="W75" s="73" t="s">
        <v>1576</v>
      </c>
      <c r="X75" s="73"/>
      <c r="Y75" s="73" t="s">
        <v>1577</v>
      </c>
    </row>
    <row r="76" spans="1:25" ht="45.75">
      <c r="A76" s="116">
        <v>75</v>
      </c>
      <c r="B76" s="73" t="s">
        <v>92</v>
      </c>
      <c r="C76" s="73" t="s">
        <v>1563</v>
      </c>
      <c r="D76" s="73" t="s">
        <v>91</v>
      </c>
      <c r="E76" s="73" t="s">
        <v>1595</v>
      </c>
      <c r="F76" s="73" t="s">
        <v>1565</v>
      </c>
      <c r="G76" s="73" t="s">
        <v>1566</v>
      </c>
      <c r="H76" s="73" t="s">
        <v>1596</v>
      </c>
      <c r="I76" s="53" t="s">
        <v>1597</v>
      </c>
      <c r="J76" s="73" t="s">
        <v>1598</v>
      </c>
      <c r="K76" s="73">
        <v>1</v>
      </c>
      <c r="L76" s="53" t="s">
        <v>625</v>
      </c>
      <c r="M76" s="53" t="s">
        <v>626</v>
      </c>
      <c r="N76" s="53" t="str">
        <f>IFERROR(VLOOKUP(TRIM(M76),Mapping!$A:$B,2,FALSE),"")</f>
        <v>Project_034</v>
      </c>
      <c r="O76" s="53" t="s">
        <v>1592</v>
      </c>
      <c r="P76" s="73" t="s">
        <v>1571</v>
      </c>
      <c r="Q76" s="73" t="s">
        <v>1599</v>
      </c>
      <c r="R76" s="73" t="s">
        <v>1600</v>
      </c>
      <c r="S76" s="73"/>
      <c r="T76" s="73"/>
      <c r="U76" s="73" t="s">
        <v>1574</v>
      </c>
      <c r="V76" s="73" t="s">
        <v>1575</v>
      </c>
      <c r="W76" s="73" t="s">
        <v>1576</v>
      </c>
      <c r="X76" s="73"/>
      <c r="Y76" s="73" t="s">
        <v>1577</v>
      </c>
    </row>
    <row r="77" spans="1:25" ht="45.75">
      <c r="A77" s="116">
        <v>76</v>
      </c>
      <c r="B77" s="73" t="s">
        <v>92</v>
      </c>
      <c r="C77" s="73" t="s">
        <v>1563</v>
      </c>
      <c r="D77" s="73" t="s">
        <v>91</v>
      </c>
      <c r="E77" s="73" t="s">
        <v>1595</v>
      </c>
      <c r="F77" s="73" t="s">
        <v>1565</v>
      </c>
      <c r="G77" s="73" t="s">
        <v>1566</v>
      </c>
      <c r="H77" s="73" t="s">
        <v>1596</v>
      </c>
      <c r="I77" s="53" t="s">
        <v>1597</v>
      </c>
      <c r="J77" s="73" t="s">
        <v>1598</v>
      </c>
      <c r="K77" s="73">
        <v>1</v>
      </c>
      <c r="L77" s="53" t="s">
        <v>628</v>
      </c>
      <c r="M77" s="53" t="s">
        <v>305</v>
      </c>
      <c r="N77" s="53" t="str">
        <f>IFERROR(VLOOKUP(TRIM(M77),Mapping!$A:$B,2,FALSE),"")</f>
        <v>Project_005</v>
      </c>
      <c r="O77" s="53" t="s">
        <v>1592</v>
      </c>
      <c r="P77" s="73" t="s">
        <v>1571</v>
      </c>
      <c r="Q77" s="73" t="s">
        <v>1599</v>
      </c>
      <c r="R77" s="73" t="s">
        <v>1600</v>
      </c>
      <c r="S77" s="73"/>
      <c r="T77" s="73"/>
      <c r="U77" s="73" t="s">
        <v>1574</v>
      </c>
      <c r="V77" s="73" t="s">
        <v>1575</v>
      </c>
      <c r="W77" s="73" t="s">
        <v>1576</v>
      </c>
      <c r="X77" s="73"/>
      <c r="Y77" s="73" t="s">
        <v>1577</v>
      </c>
    </row>
    <row r="78" spans="1:25" ht="45.75">
      <c r="A78" s="116">
        <v>77</v>
      </c>
      <c r="B78" s="73" t="s">
        <v>92</v>
      </c>
      <c r="C78" s="73" t="s">
        <v>1563</v>
      </c>
      <c r="D78" s="73" t="s">
        <v>91</v>
      </c>
      <c r="E78" s="73" t="s">
        <v>1595</v>
      </c>
      <c r="F78" s="73" t="s">
        <v>1565</v>
      </c>
      <c r="G78" s="73" t="s">
        <v>1566</v>
      </c>
      <c r="H78" s="73" t="s">
        <v>1596</v>
      </c>
      <c r="I78" s="53" t="s">
        <v>1597</v>
      </c>
      <c r="J78" s="73" t="s">
        <v>1598</v>
      </c>
      <c r="K78" s="73">
        <v>1</v>
      </c>
      <c r="L78" s="53" t="s">
        <v>634</v>
      </c>
      <c r="M78" s="53" t="s">
        <v>434</v>
      </c>
      <c r="N78" s="53" t="str">
        <f>IFERROR(VLOOKUP(TRIM(M78),Mapping!$A:$B,2,FALSE),"")</f>
        <v>Project_024</v>
      </c>
      <c r="O78" s="53" t="s">
        <v>4</v>
      </c>
      <c r="P78" s="73" t="s">
        <v>1582</v>
      </c>
      <c r="Q78" s="73" t="s">
        <v>1599</v>
      </c>
      <c r="R78" s="73" t="s">
        <v>1600</v>
      </c>
      <c r="S78" s="73"/>
      <c r="T78" s="73"/>
      <c r="U78" s="73" t="s">
        <v>1574</v>
      </c>
      <c r="V78" s="73" t="s">
        <v>1575</v>
      </c>
      <c r="W78" s="73" t="s">
        <v>1576</v>
      </c>
      <c r="X78" s="73"/>
      <c r="Y78" s="73" t="s">
        <v>1577</v>
      </c>
    </row>
    <row r="79" spans="1:25" ht="45.75">
      <c r="A79" s="116">
        <v>78</v>
      </c>
      <c r="B79" s="73" t="s">
        <v>92</v>
      </c>
      <c r="C79" s="73" t="s">
        <v>1563</v>
      </c>
      <c r="D79" s="73" t="s">
        <v>91</v>
      </c>
      <c r="E79" s="73" t="s">
        <v>1595</v>
      </c>
      <c r="F79" s="73" t="s">
        <v>1565</v>
      </c>
      <c r="G79" s="73" t="s">
        <v>1566</v>
      </c>
      <c r="H79" s="73" t="s">
        <v>1596</v>
      </c>
      <c r="I79" s="53" t="s">
        <v>1597</v>
      </c>
      <c r="J79" s="73" t="s">
        <v>1598</v>
      </c>
      <c r="K79" s="73">
        <v>1</v>
      </c>
      <c r="L79" s="53" t="s">
        <v>640</v>
      </c>
      <c r="M79" s="53" t="s">
        <v>341</v>
      </c>
      <c r="N79" s="53" t="str">
        <f>IFERROR(VLOOKUP(TRIM(M79),Mapping!$A:$B,2,FALSE),"")</f>
        <v>Project_013</v>
      </c>
      <c r="O79" s="53" t="s">
        <v>1592</v>
      </c>
      <c r="P79" s="73" t="s">
        <v>1571</v>
      </c>
      <c r="Q79" s="73" t="s">
        <v>1599</v>
      </c>
      <c r="R79" s="73" t="s">
        <v>1600</v>
      </c>
      <c r="S79" s="73"/>
      <c r="T79" s="73"/>
      <c r="U79" s="73" t="s">
        <v>1574</v>
      </c>
      <c r="V79" s="73" t="s">
        <v>1575</v>
      </c>
      <c r="W79" s="73" t="s">
        <v>1576</v>
      </c>
      <c r="X79" s="73"/>
      <c r="Y79" s="73" t="s">
        <v>1577</v>
      </c>
    </row>
    <row r="80" spans="1:25" ht="45.75">
      <c r="A80" s="116">
        <v>79</v>
      </c>
      <c r="B80" s="73" t="s">
        <v>92</v>
      </c>
      <c r="C80" s="73" t="s">
        <v>1563</v>
      </c>
      <c r="D80" s="73" t="s">
        <v>91</v>
      </c>
      <c r="E80" s="73" t="s">
        <v>1595</v>
      </c>
      <c r="F80" s="73" t="s">
        <v>1565</v>
      </c>
      <c r="G80" s="73" t="s">
        <v>1566</v>
      </c>
      <c r="H80" s="73" t="s">
        <v>1596</v>
      </c>
      <c r="I80" s="53" t="s">
        <v>1597</v>
      </c>
      <c r="J80" s="73" t="s">
        <v>1598</v>
      </c>
      <c r="K80" s="73">
        <v>1</v>
      </c>
      <c r="L80" s="53" t="s">
        <v>644</v>
      </c>
      <c r="M80" s="53" t="s">
        <v>648</v>
      </c>
      <c r="N80" s="53" t="str">
        <f>IFERROR(VLOOKUP(TRIM(M80),Mapping!$A:$B,2,FALSE),"")</f>
        <v>Project_035</v>
      </c>
      <c r="O80" s="53" t="s">
        <v>1592</v>
      </c>
      <c r="P80" s="73" t="s">
        <v>1571</v>
      </c>
      <c r="Q80" s="73" t="s">
        <v>1599</v>
      </c>
      <c r="R80" s="73" t="s">
        <v>1600</v>
      </c>
      <c r="S80" s="73"/>
      <c r="T80" s="73"/>
      <c r="U80" s="73" t="s">
        <v>1574</v>
      </c>
      <c r="V80" s="73" t="s">
        <v>1575</v>
      </c>
      <c r="W80" s="73" t="s">
        <v>1576</v>
      </c>
      <c r="X80" s="73"/>
      <c r="Y80" s="73" t="s">
        <v>1577</v>
      </c>
    </row>
    <row r="81" spans="1:25" ht="45.75">
      <c r="A81" s="116">
        <v>80</v>
      </c>
      <c r="B81" s="73" t="s">
        <v>92</v>
      </c>
      <c r="C81" s="73" t="s">
        <v>1563</v>
      </c>
      <c r="D81" s="73" t="s">
        <v>91</v>
      </c>
      <c r="E81" s="73" t="s">
        <v>1595</v>
      </c>
      <c r="F81" s="73" t="s">
        <v>1565</v>
      </c>
      <c r="G81" s="73" t="s">
        <v>1566</v>
      </c>
      <c r="H81" s="73" t="s">
        <v>1596</v>
      </c>
      <c r="I81" s="53" t="s">
        <v>1597</v>
      </c>
      <c r="J81" s="73" t="s">
        <v>1598</v>
      </c>
      <c r="K81" s="73">
        <v>1</v>
      </c>
      <c r="L81" s="53" t="s">
        <v>650</v>
      </c>
      <c r="M81" s="53" t="s">
        <v>301</v>
      </c>
      <c r="N81" s="53" t="str">
        <f>IFERROR(VLOOKUP(TRIM(M81),Mapping!$A:$B,2,FALSE),"")</f>
        <v>Project_004</v>
      </c>
      <c r="O81" s="53" t="s">
        <v>1581</v>
      </c>
      <c r="P81" s="73" t="s">
        <v>1585</v>
      </c>
      <c r="Q81" s="73" t="s">
        <v>1599</v>
      </c>
      <c r="R81" s="73" t="s">
        <v>1600</v>
      </c>
      <c r="S81" s="73"/>
      <c r="T81" s="73"/>
      <c r="U81" s="73" t="s">
        <v>1574</v>
      </c>
      <c r="V81" s="73" t="s">
        <v>1575</v>
      </c>
      <c r="W81" s="73" t="s">
        <v>1576</v>
      </c>
      <c r="X81" s="73"/>
      <c r="Y81" s="73" t="s">
        <v>1577</v>
      </c>
    </row>
    <row r="82" spans="1:25" ht="45.75">
      <c r="A82" s="116">
        <v>81</v>
      </c>
      <c r="B82" s="73" t="s">
        <v>92</v>
      </c>
      <c r="C82" s="73" t="s">
        <v>1563</v>
      </c>
      <c r="D82" s="73" t="s">
        <v>91</v>
      </c>
      <c r="E82" s="73" t="s">
        <v>1595</v>
      </c>
      <c r="F82" s="73" t="s">
        <v>1565</v>
      </c>
      <c r="G82" s="73" t="s">
        <v>1566</v>
      </c>
      <c r="H82" s="73" t="s">
        <v>1596</v>
      </c>
      <c r="I82" s="53" t="s">
        <v>1597</v>
      </c>
      <c r="J82" s="73" t="s">
        <v>1598</v>
      </c>
      <c r="K82" s="73">
        <v>1</v>
      </c>
      <c r="L82" s="53" t="s">
        <v>1412</v>
      </c>
      <c r="M82" s="53" t="s">
        <v>301</v>
      </c>
      <c r="N82" s="53" t="str">
        <f>IFERROR(VLOOKUP(TRIM(M82),Mapping!$A:$B,2,FALSE),"")</f>
        <v>Project_004</v>
      </c>
      <c r="O82" s="53" t="s">
        <v>18</v>
      </c>
      <c r="P82" s="73" t="s">
        <v>1571</v>
      </c>
      <c r="Q82" s="73" t="s">
        <v>1599</v>
      </c>
      <c r="R82" s="73" t="s">
        <v>1600</v>
      </c>
      <c r="S82" s="73"/>
      <c r="T82" s="73"/>
      <c r="U82" s="73" t="s">
        <v>1574</v>
      </c>
      <c r="V82" s="73" t="s">
        <v>1575</v>
      </c>
      <c r="W82" s="73" t="s">
        <v>1576</v>
      </c>
      <c r="X82" s="73"/>
      <c r="Y82" s="73" t="s">
        <v>1577</v>
      </c>
    </row>
    <row r="83" spans="1:25" ht="45.75">
      <c r="A83" s="116">
        <v>82</v>
      </c>
      <c r="B83" s="73" t="s">
        <v>92</v>
      </c>
      <c r="C83" s="73" t="s">
        <v>1563</v>
      </c>
      <c r="D83" s="73" t="s">
        <v>91</v>
      </c>
      <c r="E83" s="73" t="s">
        <v>1595</v>
      </c>
      <c r="F83" s="73" t="s">
        <v>1565</v>
      </c>
      <c r="G83" s="73" t="s">
        <v>1566</v>
      </c>
      <c r="H83" s="73" t="s">
        <v>1596</v>
      </c>
      <c r="I83" s="53" t="s">
        <v>1597</v>
      </c>
      <c r="J83" s="73" t="s">
        <v>1598</v>
      </c>
      <c r="K83" s="73">
        <v>1</v>
      </c>
      <c r="L83" s="53" t="s">
        <v>212</v>
      </c>
      <c r="M83" s="53" t="s">
        <v>348</v>
      </c>
      <c r="N83" s="53" t="str">
        <f>IFERROR(VLOOKUP(TRIM(M83),Mapping!$A:$B,2,FALSE),"")</f>
        <v>Project_014</v>
      </c>
      <c r="O83" s="53" t="s">
        <v>4</v>
      </c>
      <c r="P83" s="73" t="s">
        <v>1582</v>
      </c>
      <c r="Q83" s="73" t="s">
        <v>1599</v>
      </c>
      <c r="R83" s="73" t="s">
        <v>1600</v>
      </c>
      <c r="S83" s="73"/>
      <c r="T83" s="73"/>
      <c r="U83" s="73" t="s">
        <v>1574</v>
      </c>
      <c r="V83" s="73" t="s">
        <v>1575</v>
      </c>
      <c r="W83" s="73" t="s">
        <v>1576</v>
      </c>
      <c r="X83" s="73"/>
      <c r="Y83" s="73" t="s">
        <v>1577</v>
      </c>
    </row>
    <row r="84" spans="1:25" ht="45.75">
      <c r="A84" s="116">
        <v>83</v>
      </c>
      <c r="B84" s="73" t="s">
        <v>92</v>
      </c>
      <c r="C84" s="73" t="s">
        <v>1563</v>
      </c>
      <c r="D84" s="73" t="s">
        <v>91</v>
      </c>
      <c r="E84" s="73" t="s">
        <v>1595</v>
      </c>
      <c r="F84" s="73" t="s">
        <v>1565</v>
      </c>
      <c r="G84" s="73" t="s">
        <v>1566</v>
      </c>
      <c r="H84" s="73" t="s">
        <v>1596</v>
      </c>
      <c r="I84" s="53" t="s">
        <v>1597</v>
      </c>
      <c r="J84" s="73" t="s">
        <v>1598</v>
      </c>
      <c r="K84" s="73">
        <v>1</v>
      </c>
      <c r="L84" s="53" t="s">
        <v>1211</v>
      </c>
      <c r="M84" s="53" t="s">
        <v>668</v>
      </c>
      <c r="N84" s="53" t="str">
        <f>IFERROR(VLOOKUP(TRIM(M84),Mapping!$A:$B,2,FALSE),"")</f>
        <v>Project_037</v>
      </c>
      <c r="O84" s="53" t="s">
        <v>18</v>
      </c>
      <c r="P84" s="73" t="s">
        <v>1585</v>
      </c>
      <c r="Q84" s="73" t="s">
        <v>1599</v>
      </c>
      <c r="R84" s="73" t="s">
        <v>1600</v>
      </c>
      <c r="S84" s="73"/>
      <c r="T84" s="73"/>
      <c r="U84" s="73" t="s">
        <v>1574</v>
      </c>
      <c r="V84" s="73" t="s">
        <v>1575</v>
      </c>
      <c r="W84" s="73" t="s">
        <v>1576</v>
      </c>
      <c r="X84" s="73"/>
      <c r="Y84" s="73" t="s">
        <v>1577</v>
      </c>
    </row>
    <row r="85" spans="1:25" ht="45.75">
      <c r="A85" s="116">
        <v>84</v>
      </c>
      <c r="B85" s="73" t="s">
        <v>92</v>
      </c>
      <c r="C85" s="73" t="s">
        <v>1563</v>
      </c>
      <c r="D85" s="73" t="s">
        <v>91</v>
      </c>
      <c r="E85" s="73" t="s">
        <v>1595</v>
      </c>
      <c r="F85" s="73" t="s">
        <v>1565</v>
      </c>
      <c r="G85" s="73" t="s">
        <v>1566</v>
      </c>
      <c r="H85" s="73" t="s">
        <v>1596</v>
      </c>
      <c r="I85" s="53" t="s">
        <v>1597</v>
      </c>
      <c r="J85" s="73" t="s">
        <v>1598</v>
      </c>
      <c r="K85" s="73">
        <v>1</v>
      </c>
      <c r="L85" s="53" t="s">
        <v>751</v>
      </c>
      <c r="M85" s="53" t="s">
        <v>387</v>
      </c>
      <c r="N85" s="53" t="str">
        <f>IFERROR(VLOOKUP(TRIM(M85),Mapping!$A:$B,2,FALSE),"")</f>
        <v>Project_020</v>
      </c>
      <c r="O85" s="53" t="s">
        <v>14</v>
      </c>
      <c r="P85" s="73" t="s">
        <v>1584</v>
      </c>
      <c r="Q85" s="73" t="s">
        <v>1599</v>
      </c>
      <c r="R85" s="73" t="s">
        <v>1600</v>
      </c>
      <c r="S85" s="73"/>
      <c r="T85" s="73"/>
      <c r="U85" s="73" t="s">
        <v>1574</v>
      </c>
      <c r="V85" s="73" t="s">
        <v>1575</v>
      </c>
      <c r="W85" s="73" t="s">
        <v>1576</v>
      </c>
      <c r="X85" s="73"/>
      <c r="Y85" s="73" t="s">
        <v>1577</v>
      </c>
    </row>
    <row r="86" spans="1:25" ht="45.75">
      <c r="A86" s="116">
        <v>85</v>
      </c>
      <c r="B86" s="73" t="s">
        <v>92</v>
      </c>
      <c r="C86" s="73" t="s">
        <v>1563</v>
      </c>
      <c r="D86" s="73" t="s">
        <v>91</v>
      </c>
      <c r="E86" s="73" t="s">
        <v>1595</v>
      </c>
      <c r="F86" s="73" t="s">
        <v>1565</v>
      </c>
      <c r="G86" s="73" t="s">
        <v>1566</v>
      </c>
      <c r="H86" s="73" t="s">
        <v>1596</v>
      </c>
      <c r="I86" s="53" t="s">
        <v>1597</v>
      </c>
      <c r="J86" s="73" t="s">
        <v>1598</v>
      </c>
      <c r="K86" s="73">
        <v>1</v>
      </c>
      <c r="L86" s="53" t="s">
        <v>1275</v>
      </c>
      <c r="M86" s="53" t="s">
        <v>348</v>
      </c>
      <c r="N86" s="53" t="str">
        <f>IFERROR(VLOOKUP(TRIM(M86),Mapping!$A:$B,2,FALSE),"")</f>
        <v>Project_014</v>
      </c>
      <c r="O86" s="53" t="s">
        <v>18</v>
      </c>
      <c r="P86" s="73" t="s">
        <v>1582</v>
      </c>
      <c r="Q86" s="73" t="s">
        <v>1599</v>
      </c>
      <c r="R86" s="73" t="s">
        <v>1600</v>
      </c>
      <c r="S86" s="73"/>
      <c r="T86" s="73"/>
      <c r="U86" s="73" t="s">
        <v>1574</v>
      </c>
      <c r="V86" s="73" t="s">
        <v>1575</v>
      </c>
      <c r="W86" s="73" t="s">
        <v>1576</v>
      </c>
      <c r="X86" s="73"/>
      <c r="Y86" s="73" t="s">
        <v>1577</v>
      </c>
    </row>
    <row r="87" spans="1:25" ht="45.75">
      <c r="A87" s="116">
        <v>86</v>
      </c>
      <c r="B87" s="73" t="s">
        <v>92</v>
      </c>
      <c r="C87" s="73" t="s">
        <v>1563</v>
      </c>
      <c r="D87" s="73" t="s">
        <v>91</v>
      </c>
      <c r="E87" s="73" t="s">
        <v>1595</v>
      </c>
      <c r="F87" s="73" t="s">
        <v>1565</v>
      </c>
      <c r="G87" s="73" t="s">
        <v>1566</v>
      </c>
      <c r="H87" s="73" t="s">
        <v>1596</v>
      </c>
      <c r="I87" s="53" t="s">
        <v>1597</v>
      </c>
      <c r="J87" s="73" t="s">
        <v>1598</v>
      </c>
      <c r="K87" s="73">
        <v>1</v>
      </c>
      <c r="L87" s="53" t="s">
        <v>582</v>
      </c>
      <c r="M87" s="53" t="s">
        <v>679</v>
      </c>
      <c r="N87" s="53" t="str">
        <f>IFERROR(VLOOKUP(TRIM(M87),Mapping!$A:$B,2,FALSE),"")</f>
        <v>Project_038</v>
      </c>
      <c r="O87" s="53" t="s">
        <v>1579</v>
      </c>
      <c r="P87" s="73" t="s">
        <v>1582</v>
      </c>
      <c r="Q87" s="73" t="s">
        <v>1599</v>
      </c>
      <c r="R87" s="73" t="s">
        <v>1600</v>
      </c>
      <c r="S87" s="73"/>
      <c r="T87" s="73"/>
      <c r="U87" s="73" t="s">
        <v>1574</v>
      </c>
      <c r="V87" s="73" t="s">
        <v>1575</v>
      </c>
      <c r="W87" s="73" t="s">
        <v>1576</v>
      </c>
      <c r="X87" s="73"/>
      <c r="Y87" s="73" t="s">
        <v>1577</v>
      </c>
    </row>
    <row r="88" spans="1:25" ht="45.75">
      <c r="A88" s="116">
        <v>87</v>
      </c>
      <c r="B88" s="73" t="s">
        <v>92</v>
      </c>
      <c r="C88" s="73" t="s">
        <v>1563</v>
      </c>
      <c r="D88" s="73" t="s">
        <v>91</v>
      </c>
      <c r="E88" s="73" t="s">
        <v>1595</v>
      </c>
      <c r="F88" s="73" t="s">
        <v>1565</v>
      </c>
      <c r="G88" s="73" t="s">
        <v>1566</v>
      </c>
      <c r="H88" s="73" t="s">
        <v>1596</v>
      </c>
      <c r="I88" s="53" t="s">
        <v>1597</v>
      </c>
      <c r="J88" s="73" t="s">
        <v>1598</v>
      </c>
      <c r="K88" s="73">
        <v>1</v>
      </c>
      <c r="L88" s="53" t="s">
        <v>1025</v>
      </c>
      <c r="M88" s="53" t="s">
        <v>284</v>
      </c>
      <c r="N88" s="53" t="str">
        <f>IFERROR(VLOOKUP(TRIM(M88),Mapping!$A:$B,2,FALSE),"")</f>
        <v>Project_001</v>
      </c>
      <c r="O88" s="53" t="s">
        <v>18</v>
      </c>
      <c r="P88" s="73" t="s">
        <v>1584</v>
      </c>
      <c r="Q88" s="73" t="s">
        <v>1599</v>
      </c>
      <c r="R88" s="73" t="s">
        <v>1600</v>
      </c>
      <c r="S88" s="73"/>
      <c r="T88" s="73"/>
      <c r="U88" s="73" t="s">
        <v>1574</v>
      </c>
      <c r="V88" s="73" t="s">
        <v>1575</v>
      </c>
      <c r="W88" s="73" t="s">
        <v>1576</v>
      </c>
      <c r="X88" s="73"/>
      <c r="Y88" s="73" t="s">
        <v>1577</v>
      </c>
    </row>
    <row r="89" spans="1:25" ht="45.75">
      <c r="A89" s="116">
        <v>88</v>
      </c>
      <c r="B89" s="73" t="s">
        <v>92</v>
      </c>
      <c r="C89" s="73" t="s">
        <v>1563</v>
      </c>
      <c r="D89" s="73" t="s">
        <v>91</v>
      </c>
      <c r="E89" s="73" t="s">
        <v>1595</v>
      </c>
      <c r="F89" s="73" t="s">
        <v>1565</v>
      </c>
      <c r="G89" s="73" t="s">
        <v>1566</v>
      </c>
      <c r="H89" s="73" t="s">
        <v>1596</v>
      </c>
      <c r="I89" s="53" t="s">
        <v>1597</v>
      </c>
      <c r="J89" s="73" t="s">
        <v>1598</v>
      </c>
      <c r="K89" s="73">
        <v>1</v>
      </c>
      <c r="L89" s="53" t="s">
        <v>854</v>
      </c>
      <c r="M89" s="53" t="s">
        <v>387</v>
      </c>
      <c r="N89" s="53" t="str">
        <f>IFERROR(VLOOKUP(TRIM(M89),Mapping!$A:$B,2,FALSE),"")</f>
        <v>Project_020</v>
      </c>
      <c r="O89" s="53" t="s">
        <v>18</v>
      </c>
      <c r="P89" s="73" t="s">
        <v>1582</v>
      </c>
      <c r="Q89" s="73" t="s">
        <v>1599</v>
      </c>
      <c r="R89" s="73" t="s">
        <v>1600</v>
      </c>
      <c r="S89" s="73"/>
      <c r="T89" s="73"/>
      <c r="U89" s="73" t="s">
        <v>1574</v>
      </c>
      <c r="V89" s="73" t="s">
        <v>1575</v>
      </c>
      <c r="W89" s="73" t="s">
        <v>1576</v>
      </c>
      <c r="X89" s="73"/>
      <c r="Y89" s="73" t="s">
        <v>1577</v>
      </c>
    </row>
    <row r="90" spans="1:25" ht="45.75">
      <c r="A90" s="116">
        <v>89</v>
      </c>
      <c r="B90" s="73" t="s">
        <v>92</v>
      </c>
      <c r="C90" s="73" t="s">
        <v>1563</v>
      </c>
      <c r="D90" s="73" t="s">
        <v>91</v>
      </c>
      <c r="E90" s="73" t="s">
        <v>1595</v>
      </c>
      <c r="F90" s="73" t="s">
        <v>1565</v>
      </c>
      <c r="G90" s="73" t="s">
        <v>1566</v>
      </c>
      <c r="H90" s="73" t="s">
        <v>1596</v>
      </c>
      <c r="I90" s="53" t="s">
        <v>1597</v>
      </c>
      <c r="J90" s="73" t="s">
        <v>1598</v>
      </c>
      <c r="K90" s="73">
        <v>1</v>
      </c>
      <c r="L90" s="53" t="s">
        <v>1349</v>
      </c>
      <c r="M90" s="53" t="s">
        <v>387</v>
      </c>
      <c r="N90" s="53" t="str">
        <f>IFERROR(VLOOKUP(TRIM(M90),Mapping!$A:$B,2,FALSE),"")</f>
        <v>Project_020</v>
      </c>
      <c r="O90" s="53" t="s">
        <v>14</v>
      </c>
      <c r="P90" s="73" t="s">
        <v>1584</v>
      </c>
      <c r="Q90" s="73" t="s">
        <v>1599</v>
      </c>
      <c r="R90" s="73" t="s">
        <v>1600</v>
      </c>
      <c r="S90" s="73"/>
      <c r="T90" s="73"/>
      <c r="U90" s="73" t="s">
        <v>1574</v>
      </c>
      <c r="V90" s="73" t="s">
        <v>1575</v>
      </c>
      <c r="W90" s="73" t="s">
        <v>1576</v>
      </c>
      <c r="X90" s="73"/>
      <c r="Y90" s="73" t="s">
        <v>1577</v>
      </c>
    </row>
    <row r="91" spans="1:25" ht="45.75">
      <c r="A91" s="116">
        <v>90</v>
      </c>
      <c r="B91" s="73" t="s">
        <v>92</v>
      </c>
      <c r="C91" s="73" t="s">
        <v>1563</v>
      </c>
      <c r="D91" s="73" t="s">
        <v>91</v>
      </c>
      <c r="E91" s="73" t="s">
        <v>1595</v>
      </c>
      <c r="F91" s="73" t="s">
        <v>1565</v>
      </c>
      <c r="G91" s="73" t="s">
        <v>1566</v>
      </c>
      <c r="H91" s="73" t="s">
        <v>1596</v>
      </c>
      <c r="I91" s="53" t="s">
        <v>1597</v>
      </c>
      <c r="J91" s="73" t="s">
        <v>1598</v>
      </c>
      <c r="K91" s="73">
        <v>1</v>
      </c>
      <c r="L91" s="53" t="s">
        <v>186</v>
      </c>
      <c r="M91" s="53" t="s">
        <v>501</v>
      </c>
      <c r="N91" s="53" t="str">
        <f>IFERROR(VLOOKUP(TRIM(M91),Mapping!$A:$B,2,FALSE),"")</f>
        <v>Project_029</v>
      </c>
      <c r="O91" s="53" t="s">
        <v>4</v>
      </c>
      <c r="P91" s="73" t="s">
        <v>1584</v>
      </c>
      <c r="Q91" s="73" t="s">
        <v>1599</v>
      </c>
      <c r="R91" s="73" t="s">
        <v>1600</v>
      </c>
      <c r="S91" s="73"/>
      <c r="T91" s="73"/>
      <c r="U91" s="73" t="s">
        <v>1574</v>
      </c>
      <c r="V91" s="73" t="s">
        <v>1575</v>
      </c>
      <c r="W91" s="73" t="s">
        <v>1576</v>
      </c>
      <c r="X91" s="73"/>
      <c r="Y91" s="73" t="s">
        <v>1577</v>
      </c>
    </row>
    <row r="92" spans="1:25" ht="45.75">
      <c r="A92" s="116">
        <v>91</v>
      </c>
      <c r="B92" s="73" t="s">
        <v>92</v>
      </c>
      <c r="C92" s="73" t="s">
        <v>1563</v>
      </c>
      <c r="D92" s="73" t="s">
        <v>91</v>
      </c>
      <c r="E92" s="73" t="s">
        <v>1595</v>
      </c>
      <c r="F92" s="73" t="s">
        <v>1565</v>
      </c>
      <c r="G92" s="73" t="s">
        <v>1566</v>
      </c>
      <c r="H92" s="73" t="s">
        <v>1596</v>
      </c>
      <c r="I92" s="53" t="s">
        <v>1597</v>
      </c>
      <c r="J92" s="73" t="s">
        <v>1598</v>
      </c>
      <c r="K92" s="73">
        <v>1</v>
      </c>
      <c r="L92" s="53" t="s">
        <v>1179</v>
      </c>
      <c r="M92" s="53" t="s">
        <v>387</v>
      </c>
      <c r="N92" s="53" t="str">
        <f>IFERROR(VLOOKUP(TRIM(M92),Mapping!$A:$B,2,FALSE),"")</f>
        <v>Project_020</v>
      </c>
      <c r="O92" s="53" t="s">
        <v>1581</v>
      </c>
      <c r="P92" s="73" t="s">
        <v>1582</v>
      </c>
      <c r="Q92" s="73" t="s">
        <v>1599</v>
      </c>
      <c r="R92" s="73" t="s">
        <v>1600</v>
      </c>
      <c r="S92" s="73"/>
      <c r="T92" s="73"/>
      <c r="U92" s="73" t="s">
        <v>1574</v>
      </c>
      <c r="V92" s="73" t="s">
        <v>1575</v>
      </c>
      <c r="W92" s="73" t="s">
        <v>1576</v>
      </c>
      <c r="X92" s="73"/>
      <c r="Y92" s="73" t="s">
        <v>1577</v>
      </c>
    </row>
    <row r="93" spans="1:25" ht="45.75">
      <c r="A93" s="116">
        <v>92</v>
      </c>
      <c r="B93" s="73" t="s">
        <v>92</v>
      </c>
      <c r="C93" s="73" t="s">
        <v>1563</v>
      </c>
      <c r="D93" s="73" t="s">
        <v>91</v>
      </c>
      <c r="E93" s="73" t="s">
        <v>1595</v>
      </c>
      <c r="F93" s="73" t="s">
        <v>1565</v>
      </c>
      <c r="G93" s="73" t="s">
        <v>1566</v>
      </c>
      <c r="H93" s="73" t="s">
        <v>1596</v>
      </c>
      <c r="I93" s="53" t="s">
        <v>1597</v>
      </c>
      <c r="J93" s="73" t="s">
        <v>1598</v>
      </c>
      <c r="K93" s="73">
        <v>1</v>
      </c>
      <c r="L93" s="53" t="s">
        <v>686</v>
      </c>
      <c r="M93" s="53" t="s">
        <v>323</v>
      </c>
      <c r="N93" s="53" t="str">
        <f>IFERROR(VLOOKUP(TRIM(M93),Mapping!$A:$B,2,FALSE),"")</f>
        <v>Project_009</v>
      </c>
      <c r="O93" s="53" t="s">
        <v>14</v>
      </c>
      <c r="P93" s="73" t="s">
        <v>1571</v>
      </c>
      <c r="Q93" s="73" t="s">
        <v>1599</v>
      </c>
      <c r="R93" s="73" t="s">
        <v>1600</v>
      </c>
      <c r="S93" s="73"/>
      <c r="T93" s="73"/>
      <c r="U93" s="73" t="s">
        <v>1574</v>
      </c>
      <c r="V93" s="73" t="s">
        <v>1575</v>
      </c>
      <c r="W93" s="73" t="s">
        <v>1576</v>
      </c>
      <c r="X93" s="73"/>
      <c r="Y93" s="73" t="s">
        <v>1577</v>
      </c>
    </row>
    <row r="94" spans="1:25" ht="45.75">
      <c r="A94" s="116">
        <v>93</v>
      </c>
      <c r="B94" s="73" t="s">
        <v>92</v>
      </c>
      <c r="C94" s="73" t="s">
        <v>1563</v>
      </c>
      <c r="D94" s="73" t="s">
        <v>91</v>
      </c>
      <c r="E94" s="73" t="s">
        <v>1595</v>
      </c>
      <c r="F94" s="73" t="s">
        <v>1565</v>
      </c>
      <c r="G94" s="73" t="s">
        <v>1566</v>
      </c>
      <c r="H94" s="73" t="s">
        <v>1596</v>
      </c>
      <c r="I94" s="53" t="s">
        <v>1597</v>
      </c>
      <c r="J94" s="73" t="s">
        <v>1598</v>
      </c>
      <c r="K94" s="73">
        <v>1</v>
      </c>
      <c r="L94" s="53" t="s">
        <v>1382</v>
      </c>
      <c r="M94" s="53" t="s">
        <v>708</v>
      </c>
      <c r="N94" s="53" t="str">
        <f>IFERROR(VLOOKUP(TRIM(M94),Mapping!$A:$B,2,FALSE),"")</f>
        <v>Project_039</v>
      </c>
      <c r="O94" s="53" t="s">
        <v>18</v>
      </c>
      <c r="P94" s="73" t="s">
        <v>1571</v>
      </c>
      <c r="Q94" s="73" t="s">
        <v>1599</v>
      </c>
      <c r="R94" s="73" t="s">
        <v>1600</v>
      </c>
      <c r="S94" s="73"/>
      <c r="T94" s="73"/>
      <c r="U94" s="73" t="s">
        <v>1574</v>
      </c>
      <c r="V94" s="73" t="s">
        <v>1575</v>
      </c>
      <c r="W94" s="73" t="s">
        <v>1576</v>
      </c>
      <c r="X94" s="73"/>
      <c r="Y94" s="73" t="s">
        <v>1577</v>
      </c>
    </row>
    <row r="95" spans="1:25" ht="45.75">
      <c r="A95" s="116">
        <v>94</v>
      </c>
      <c r="B95" s="73" t="s">
        <v>92</v>
      </c>
      <c r="C95" s="73" t="s">
        <v>1563</v>
      </c>
      <c r="D95" s="73" t="s">
        <v>91</v>
      </c>
      <c r="E95" s="73" t="s">
        <v>1595</v>
      </c>
      <c r="F95" s="73" t="s">
        <v>1565</v>
      </c>
      <c r="G95" s="73" t="s">
        <v>1566</v>
      </c>
      <c r="H95" s="73" t="s">
        <v>1596</v>
      </c>
      <c r="I95" s="53" t="s">
        <v>1597</v>
      </c>
      <c r="J95" s="73" t="s">
        <v>1598</v>
      </c>
      <c r="K95" s="73">
        <v>1</v>
      </c>
      <c r="L95" s="53" t="s">
        <v>517</v>
      </c>
      <c r="M95" s="53" t="s">
        <v>648</v>
      </c>
      <c r="N95" s="53" t="str">
        <f>IFERROR(VLOOKUP(TRIM(M95),Mapping!$A:$B,2,FALSE),"")</f>
        <v>Project_035</v>
      </c>
      <c r="O95" s="53" t="s">
        <v>1581</v>
      </c>
      <c r="P95" s="73" t="s">
        <v>1584</v>
      </c>
      <c r="Q95" s="73" t="s">
        <v>1599</v>
      </c>
      <c r="R95" s="73" t="s">
        <v>1600</v>
      </c>
      <c r="S95" s="73"/>
      <c r="T95" s="73"/>
      <c r="U95" s="73" t="s">
        <v>1574</v>
      </c>
      <c r="V95" s="73" t="s">
        <v>1575</v>
      </c>
      <c r="W95" s="73" t="s">
        <v>1576</v>
      </c>
      <c r="X95" s="73"/>
      <c r="Y95" s="73" t="s">
        <v>1577</v>
      </c>
    </row>
    <row r="96" spans="1:25" ht="45.75">
      <c r="A96" s="116">
        <v>95</v>
      </c>
      <c r="B96" s="73" t="s">
        <v>92</v>
      </c>
      <c r="C96" s="73" t="s">
        <v>1563</v>
      </c>
      <c r="D96" s="73" t="s">
        <v>91</v>
      </c>
      <c r="E96" s="73" t="s">
        <v>1595</v>
      </c>
      <c r="F96" s="73" t="s">
        <v>1565</v>
      </c>
      <c r="G96" s="73" t="s">
        <v>1566</v>
      </c>
      <c r="H96" s="73" t="s">
        <v>1596</v>
      </c>
      <c r="I96" s="53" t="s">
        <v>1597</v>
      </c>
      <c r="J96" s="73" t="s">
        <v>1598</v>
      </c>
      <c r="K96" s="73">
        <v>1</v>
      </c>
      <c r="L96" s="53" t="s">
        <v>977</v>
      </c>
      <c r="M96" s="53" t="s">
        <v>298</v>
      </c>
      <c r="N96" s="53" t="str">
        <f>IFERROR(VLOOKUP(TRIM(M96),Mapping!$A:$B,2,FALSE),"")</f>
        <v>Project_003</v>
      </c>
      <c r="O96" s="53" t="s">
        <v>18</v>
      </c>
      <c r="P96" s="73" t="s">
        <v>1585</v>
      </c>
      <c r="Q96" s="73" t="s">
        <v>1599</v>
      </c>
      <c r="R96" s="73" t="s">
        <v>1600</v>
      </c>
      <c r="S96" s="73"/>
      <c r="T96" s="73"/>
      <c r="U96" s="73" t="s">
        <v>1574</v>
      </c>
      <c r="V96" s="73" t="s">
        <v>1575</v>
      </c>
      <c r="W96" s="73" t="s">
        <v>1576</v>
      </c>
      <c r="X96" s="73"/>
      <c r="Y96" s="73" t="s">
        <v>1577</v>
      </c>
    </row>
    <row r="97" spans="1:25" ht="45.75">
      <c r="A97" s="116">
        <v>96</v>
      </c>
      <c r="B97" s="73" t="s">
        <v>92</v>
      </c>
      <c r="C97" s="73" t="s">
        <v>1563</v>
      </c>
      <c r="D97" s="73" t="s">
        <v>91</v>
      </c>
      <c r="E97" s="73" t="s">
        <v>1595</v>
      </c>
      <c r="F97" s="73" t="s">
        <v>1565</v>
      </c>
      <c r="G97" s="73" t="s">
        <v>1566</v>
      </c>
      <c r="H97" s="73" t="s">
        <v>1596</v>
      </c>
      <c r="I97" s="53" t="s">
        <v>1597</v>
      </c>
      <c r="J97" s="73" t="s">
        <v>1598</v>
      </c>
      <c r="K97" s="73">
        <v>1</v>
      </c>
      <c r="L97" s="53" t="s">
        <v>773</v>
      </c>
      <c r="M97" s="53" t="s">
        <v>318</v>
      </c>
      <c r="N97" s="53" t="str">
        <f>IFERROR(VLOOKUP(TRIM(M97),Mapping!$A:$B,2,FALSE),"")</f>
        <v>Project_008</v>
      </c>
      <c r="O97" s="53" t="s">
        <v>26</v>
      </c>
      <c r="P97" s="73" t="s">
        <v>1584</v>
      </c>
      <c r="Q97" s="73" t="s">
        <v>1599</v>
      </c>
      <c r="R97" s="73" t="s">
        <v>1600</v>
      </c>
      <c r="S97" s="73"/>
      <c r="T97" s="73"/>
      <c r="U97" s="73" t="s">
        <v>1574</v>
      </c>
      <c r="V97" s="73" t="s">
        <v>1575</v>
      </c>
      <c r="W97" s="73" t="s">
        <v>1576</v>
      </c>
      <c r="X97" s="73"/>
      <c r="Y97" s="73" t="s">
        <v>1577</v>
      </c>
    </row>
    <row r="98" spans="1:25" ht="45.75">
      <c r="A98" s="116">
        <v>97</v>
      </c>
      <c r="B98" s="73" t="s">
        <v>92</v>
      </c>
      <c r="C98" s="73" t="s">
        <v>1563</v>
      </c>
      <c r="D98" s="73" t="s">
        <v>91</v>
      </c>
      <c r="E98" s="73" t="s">
        <v>1595</v>
      </c>
      <c r="F98" s="73" t="s">
        <v>1565</v>
      </c>
      <c r="G98" s="73" t="s">
        <v>1566</v>
      </c>
      <c r="H98" s="73" t="s">
        <v>1596</v>
      </c>
      <c r="I98" s="53" t="s">
        <v>1597</v>
      </c>
      <c r="J98" s="73" t="s">
        <v>1598</v>
      </c>
      <c r="K98" s="73">
        <v>1</v>
      </c>
      <c r="L98" s="53" t="s">
        <v>1284</v>
      </c>
      <c r="M98" s="53" t="s">
        <v>301</v>
      </c>
      <c r="N98" s="53" t="str">
        <f>IFERROR(VLOOKUP(TRIM(M98),Mapping!$A:$B,2,FALSE),"")</f>
        <v>Project_004</v>
      </c>
      <c r="O98" s="53" t="s">
        <v>18</v>
      </c>
      <c r="P98" s="73" t="s">
        <v>1584</v>
      </c>
      <c r="Q98" s="73" t="s">
        <v>1599</v>
      </c>
      <c r="R98" s="73" t="s">
        <v>1600</v>
      </c>
      <c r="S98" s="73"/>
      <c r="T98" s="73"/>
      <c r="U98" s="73" t="s">
        <v>1574</v>
      </c>
      <c r="V98" s="73" t="s">
        <v>1575</v>
      </c>
      <c r="W98" s="73" t="s">
        <v>1576</v>
      </c>
      <c r="X98" s="73"/>
      <c r="Y98" s="73" t="s">
        <v>1577</v>
      </c>
    </row>
    <row r="99" spans="1:25" ht="45.75">
      <c r="A99" s="116">
        <v>98</v>
      </c>
      <c r="B99" s="73" t="s">
        <v>92</v>
      </c>
      <c r="C99" s="73" t="s">
        <v>1563</v>
      </c>
      <c r="D99" s="73" t="s">
        <v>91</v>
      </c>
      <c r="E99" s="73" t="s">
        <v>1595</v>
      </c>
      <c r="F99" s="73" t="s">
        <v>1565</v>
      </c>
      <c r="G99" s="73" t="s">
        <v>1566</v>
      </c>
      <c r="H99" s="73" t="s">
        <v>1596</v>
      </c>
      <c r="I99" s="53" t="s">
        <v>1597</v>
      </c>
      <c r="J99" s="73" t="s">
        <v>1598</v>
      </c>
      <c r="K99" s="73">
        <v>1</v>
      </c>
      <c r="L99" s="53" t="s">
        <v>232</v>
      </c>
      <c r="M99" s="53" t="s">
        <v>434</v>
      </c>
      <c r="N99" s="53" t="str">
        <f>IFERROR(VLOOKUP(TRIM(M99),Mapping!$A:$B,2,FALSE),"")</f>
        <v>Project_024</v>
      </c>
      <c r="O99" s="53" t="s">
        <v>1592</v>
      </c>
      <c r="P99" s="73" t="s">
        <v>1584</v>
      </c>
      <c r="Q99" s="73" t="s">
        <v>1599</v>
      </c>
      <c r="R99" s="73" t="s">
        <v>1600</v>
      </c>
      <c r="S99" s="73"/>
      <c r="T99" s="73"/>
      <c r="U99" s="73" t="s">
        <v>1574</v>
      </c>
      <c r="V99" s="73" t="s">
        <v>1575</v>
      </c>
      <c r="W99" s="73" t="s">
        <v>1576</v>
      </c>
      <c r="X99" s="73"/>
      <c r="Y99" s="73" t="s">
        <v>1577</v>
      </c>
    </row>
    <row r="100" spans="1:25" ht="45.75">
      <c r="A100" s="116">
        <v>99</v>
      </c>
      <c r="B100" s="73" t="s">
        <v>92</v>
      </c>
      <c r="C100" s="73" t="s">
        <v>1563</v>
      </c>
      <c r="D100" s="73" t="s">
        <v>91</v>
      </c>
      <c r="E100" s="73" t="s">
        <v>1595</v>
      </c>
      <c r="F100" s="73" t="s">
        <v>1565</v>
      </c>
      <c r="G100" s="73" t="s">
        <v>1566</v>
      </c>
      <c r="H100" s="73" t="s">
        <v>1596</v>
      </c>
      <c r="I100" s="53" t="s">
        <v>1597</v>
      </c>
      <c r="J100" s="73" t="s">
        <v>1598</v>
      </c>
      <c r="K100" s="73">
        <v>1</v>
      </c>
      <c r="L100" s="53" t="s">
        <v>1128</v>
      </c>
      <c r="M100" s="53" t="s">
        <v>575</v>
      </c>
      <c r="N100" s="53" t="str">
        <f>IFERROR(VLOOKUP(TRIM(M100),Mapping!$A:$B,2,FALSE),"")</f>
        <v>Project_033</v>
      </c>
      <c r="O100" s="73" t="s">
        <v>1601</v>
      </c>
      <c r="P100" s="73" t="s">
        <v>1571</v>
      </c>
      <c r="Q100" s="73" t="s">
        <v>1599</v>
      </c>
      <c r="R100" s="73" t="s">
        <v>1600</v>
      </c>
      <c r="S100" s="73"/>
      <c r="T100" s="73"/>
      <c r="U100" s="73" t="s">
        <v>1574</v>
      </c>
      <c r="V100" s="73" t="s">
        <v>1575</v>
      </c>
      <c r="W100" s="73" t="s">
        <v>1576</v>
      </c>
      <c r="X100" s="73"/>
      <c r="Y100" s="73" t="s">
        <v>1577</v>
      </c>
    </row>
    <row r="101" spans="1:25" ht="45.75">
      <c r="A101" s="116">
        <v>100</v>
      </c>
      <c r="B101" s="73" t="s">
        <v>92</v>
      </c>
      <c r="C101" s="73" t="s">
        <v>1563</v>
      </c>
      <c r="D101" s="73" t="s">
        <v>91</v>
      </c>
      <c r="E101" s="73" t="s">
        <v>1595</v>
      </c>
      <c r="F101" s="73" t="s">
        <v>1565</v>
      </c>
      <c r="G101" s="73" t="s">
        <v>1566</v>
      </c>
      <c r="H101" s="73" t="s">
        <v>1596</v>
      </c>
      <c r="I101" s="53" t="s">
        <v>1597</v>
      </c>
      <c r="J101" s="73" t="s">
        <v>1598</v>
      </c>
      <c r="K101" s="73">
        <v>1</v>
      </c>
      <c r="L101" s="53" t="s">
        <v>647</v>
      </c>
      <c r="M101" s="53" t="s">
        <v>341</v>
      </c>
      <c r="N101" s="53" t="str">
        <f>IFERROR(VLOOKUP(TRIM(M101),Mapping!$A:$B,2,FALSE),"")</f>
        <v>Project_013</v>
      </c>
      <c r="O101" s="73" t="s">
        <v>1601</v>
      </c>
      <c r="P101" s="73" t="s">
        <v>1571</v>
      </c>
      <c r="Q101" s="73" t="s">
        <v>1599</v>
      </c>
      <c r="R101" s="73" t="s">
        <v>1600</v>
      </c>
      <c r="S101" s="73"/>
      <c r="T101" s="73"/>
      <c r="U101" s="73" t="s">
        <v>1574</v>
      </c>
      <c r="V101" s="73" t="s">
        <v>1575</v>
      </c>
      <c r="W101" s="73" t="s">
        <v>1576</v>
      </c>
      <c r="X101" s="73"/>
      <c r="Y101" s="73" t="s">
        <v>1577</v>
      </c>
    </row>
  </sheetData>
  <hyperlinks>
    <hyperlink ref="I2" r:id="rId1" xr:uid="{3672BB03-C7DB-4709-BD4B-8E94F8B1EF7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186C-CE87-4281-B1B7-F3A4147E9B66}">
  <dimension ref="A1:O50"/>
  <sheetViews>
    <sheetView workbookViewId="0">
      <selection activeCell="B2" sqref="B2"/>
    </sheetView>
  </sheetViews>
  <sheetFormatPr defaultRowHeight="15"/>
  <cols>
    <col min="1" max="1" width="12.7109375" bestFit="1" customWidth="1"/>
    <col min="2" max="2" width="18.28515625" bestFit="1" customWidth="1"/>
    <col min="3" max="3" width="16.140625" bestFit="1" customWidth="1"/>
    <col min="4" max="4" width="14.42578125" bestFit="1" customWidth="1"/>
    <col min="5" max="5" width="15" bestFit="1" customWidth="1"/>
    <col min="6" max="6" width="27.5703125" bestFit="1" customWidth="1"/>
    <col min="7" max="7" width="10.5703125" bestFit="1" customWidth="1"/>
    <col min="8" max="8" width="17.7109375" bestFit="1" customWidth="1"/>
    <col min="9" max="9" width="15.28515625" bestFit="1" customWidth="1"/>
    <col min="10" max="10" width="22.140625" bestFit="1" customWidth="1"/>
    <col min="11" max="11" width="15.7109375" bestFit="1" customWidth="1"/>
    <col min="12" max="12" width="16.140625" bestFit="1" customWidth="1"/>
    <col min="13" max="13" width="13.5703125" bestFit="1" customWidth="1"/>
    <col min="14" max="14" width="18.28515625" bestFit="1" customWidth="1"/>
    <col min="15" max="15" width="18" bestFit="1" customWidth="1"/>
  </cols>
  <sheetData>
    <row r="1" spans="1:15">
      <c r="A1" s="86" t="s">
        <v>68</v>
      </c>
      <c r="B1" s="102" t="s">
        <v>1602</v>
      </c>
      <c r="C1" s="102" t="s">
        <v>1603</v>
      </c>
      <c r="D1" s="102" t="s">
        <v>1604</v>
      </c>
      <c r="E1" s="102" t="s">
        <v>1605</v>
      </c>
      <c r="F1" s="102" t="s">
        <v>1606</v>
      </c>
      <c r="G1" s="102" t="s">
        <v>1607</v>
      </c>
      <c r="H1" s="102" t="s">
        <v>1608</v>
      </c>
      <c r="I1" s="102" t="s">
        <v>1609</v>
      </c>
      <c r="J1" s="102" t="s">
        <v>1610</v>
      </c>
      <c r="K1" s="102" t="s">
        <v>1611</v>
      </c>
      <c r="L1" s="102" t="s">
        <v>1612</v>
      </c>
      <c r="M1" s="102" t="s">
        <v>1613</v>
      </c>
      <c r="N1" s="102" t="s">
        <v>1510</v>
      </c>
      <c r="O1" s="102" t="s">
        <v>1614</v>
      </c>
    </row>
    <row r="2" spans="1:15">
      <c r="A2" s="99">
        <v>1</v>
      </c>
      <c r="B2" s="53" t="s">
        <v>1615</v>
      </c>
      <c r="C2" s="53">
        <v>88</v>
      </c>
      <c r="D2" s="53">
        <v>18</v>
      </c>
      <c r="E2" s="53">
        <v>2</v>
      </c>
      <c r="F2" s="53">
        <v>87</v>
      </c>
      <c r="G2" s="53">
        <v>89</v>
      </c>
      <c r="H2" s="53" t="s">
        <v>1577</v>
      </c>
      <c r="I2" s="53">
        <v>3.8</v>
      </c>
      <c r="J2" s="53">
        <v>0</v>
      </c>
      <c r="K2" s="53">
        <v>2</v>
      </c>
      <c r="L2" s="53">
        <v>1</v>
      </c>
      <c r="M2" s="53">
        <v>88</v>
      </c>
      <c r="N2" s="53">
        <v>90</v>
      </c>
      <c r="O2" s="53" t="s">
        <v>1616</v>
      </c>
    </row>
    <row r="3" spans="1:15">
      <c r="A3" s="99">
        <v>2</v>
      </c>
      <c r="B3" s="53" t="s">
        <v>1617</v>
      </c>
      <c r="C3" s="53">
        <v>18</v>
      </c>
      <c r="D3" s="53">
        <v>4</v>
      </c>
      <c r="E3" s="53">
        <v>16</v>
      </c>
      <c r="F3" s="53">
        <v>20</v>
      </c>
      <c r="G3" s="53">
        <v>24</v>
      </c>
      <c r="H3" s="53" t="s">
        <v>1539</v>
      </c>
      <c r="I3" s="53">
        <v>1.9</v>
      </c>
      <c r="J3" s="53">
        <v>3</v>
      </c>
      <c r="K3" s="53">
        <v>15</v>
      </c>
      <c r="L3" s="53">
        <v>15</v>
      </c>
      <c r="M3" s="53">
        <v>20</v>
      </c>
      <c r="N3" s="53">
        <v>5</v>
      </c>
      <c r="O3" s="53" t="s">
        <v>1618</v>
      </c>
    </row>
    <row r="4" spans="1:15">
      <c r="A4" s="99">
        <v>3</v>
      </c>
      <c r="B4" s="53" t="s">
        <v>1615</v>
      </c>
      <c r="C4" s="53">
        <v>86</v>
      </c>
      <c r="D4" s="53">
        <v>17</v>
      </c>
      <c r="E4" s="53">
        <v>3</v>
      </c>
      <c r="F4" s="53">
        <v>81</v>
      </c>
      <c r="G4" s="53">
        <v>76</v>
      </c>
      <c r="H4" s="53" t="s">
        <v>1577</v>
      </c>
      <c r="I4" s="53">
        <v>3.9</v>
      </c>
      <c r="J4" s="53">
        <v>0</v>
      </c>
      <c r="K4" s="53">
        <v>4</v>
      </c>
      <c r="L4" s="53">
        <v>5</v>
      </c>
      <c r="M4" s="53">
        <v>81</v>
      </c>
      <c r="N4" s="53">
        <v>78</v>
      </c>
      <c r="O4" s="53" t="s">
        <v>1616</v>
      </c>
    </row>
    <row r="5" spans="1:15">
      <c r="A5" s="99">
        <v>4</v>
      </c>
      <c r="B5" s="53" t="s">
        <v>1615</v>
      </c>
      <c r="C5" s="53">
        <v>80</v>
      </c>
      <c r="D5" s="53">
        <v>16</v>
      </c>
      <c r="E5" s="53">
        <v>4</v>
      </c>
      <c r="F5" s="53">
        <v>76</v>
      </c>
      <c r="G5" s="53">
        <v>86</v>
      </c>
      <c r="H5" s="53" t="s">
        <v>1577</v>
      </c>
      <c r="I5" s="53">
        <v>4.0999999999999996</v>
      </c>
      <c r="J5" s="53">
        <v>1</v>
      </c>
      <c r="K5" s="53">
        <v>4</v>
      </c>
      <c r="L5" s="53">
        <v>2</v>
      </c>
      <c r="M5" s="53">
        <v>80</v>
      </c>
      <c r="N5" s="53">
        <v>81</v>
      </c>
      <c r="O5" s="53" t="s">
        <v>1616</v>
      </c>
    </row>
    <row r="6" spans="1:15">
      <c r="A6" s="100">
        <v>5</v>
      </c>
      <c r="B6" s="53" t="s">
        <v>1615</v>
      </c>
      <c r="C6" s="53">
        <v>91</v>
      </c>
      <c r="D6" s="53">
        <v>18</v>
      </c>
      <c r="E6" s="53">
        <v>2</v>
      </c>
      <c r="F6" s="53">
        <v>82</v>
      </c>
      <c r="G6" s="53">
        <v>85</v>
      </c>
      <c r="H6" s="53" t="s">
        <v>1577</v>
      </c>
      <c r="I6" s="53">
        <v>4.4000000000000004</v>
      </c>
      <c r="J6" s="53">
        <v>1</v>
      </c>
      <c r="K6" s="53">
        <v>4</v>
      </c>
      <c r="L6" s="53">
        <v>0</v>
      </c>
      <c r="M6" s="53">
        <v>86</v>
      </c>
      <c r="N6" s="53">
        <v>80</v>
      </c>
      <c r="O6" s="53" t="s">
        <v>1616</v>
      </c>
    </row>
    <row r="7" spans="1:15">
      <c r="A7" s="101">
        <v>6</v>
      </c>
      <c r="B7" s="53" t="s">
        <v>1615</v>
      </c>
      <c r="C7" s="53">
        <v>66</v>
      </c>
      <c r="D7" s="53">
        <v>13</v>
      </c>
      <c r="E7" s="53">
        <v>7</v>
      </c>
      <c r="F7" s="53">
        <v>66</v>
      </c>
      <c r="G7" s="53">
        <v>61</v>
      </c>
      <c r="H7" s="53" t="s">
        <v>1577</v>
      </c>
      <c r="I7" s="53">
        <v>4.5999999999999996</v>
      </c>
      <c r="J7" s="53">
        <v>5</v>
      </c>
      <c r="K7" s="53">
        <v>8</v>
      </c>
      <c r="L7" s="53">
        <v>1</v>
      </c>
      <c r="M7" s="53">
        <v>64</v>
      </c>
      <c r="N7" s="53">
        <v>53</v>
      </c>
      <c r="O7" s="53" t="s">
        <v>1618</v>
      </c>
    </row>
    <row r="8" spans="1:15">
      <c r="A8" s="99">
        <v>7</v>
      </c>
      <c r="B8" s="53" t="s">
        <v>1615</v>
      </c>
      <c r="C8" s="53">
        <v>70</v>
      </c>
      <c r="D8" s="53">
        <v>14</v>
      </c>
      <c r="E8" s="53">
        <v>6</v>
      </c>
      <c r="F8" s="53">
        <v>71</v>
      </c>
      <c r="G8" s="53">
        <v>64</v>
      </c>
      <c r="H8" s="53" t="s">
        <v>1539</v>
      </c>
      <c r="I8" s="53">
        <v>4.5999999999999996</v>
      </c>
      <c r="J8" s="53">
        <v>6</v>
      </c>
      <c r="K8" s="53">
        <v>4</v>
      </c>
      <c r="L8" s="53">
        <v>3</v>
      </c>
      <c r="M8" s="53">
        <v>68</v>
      </c>
      <c r="N8" s="53">
        <v>59</v>
      </c>
      <c r="O8" s="53" t="s">
        <v>1619</v>
      </c>
    </row>
    <row r="9" spans="1:15">
      <c r="A9" s="99">
        <v>8</v>
      </c>
      <c r="B9" s="53" t="s">
        <v>1615</v>
      </c>
      <c r="C9" s="53">
        <v>79</v>
      </c>
      <c r="D9" s="53">
        <v>16</v>
      </c>
      <c r="E9" s="53">
        <v>4</v>
      </c>
      <c r="F9" s="53">
        <v>89</v>
      </c>
      <c r="G9" s="53">
        <v>89</v>
      </c>
      <c r="H9" s="53" t="s">
        <v>1577</v>
      </c>
      <c r="I9" s="53">
        <v>4.0999999999999996</v>
      </c>
      <c r="J9" s="53">
        <v>1</v>
      </c>
      <c r="K9" s="53">
        <v>0</v>
      </c>
      <c r="L9" s="53">
        <v>2</v>
      </c>
      <c r="M9" s="53">
        <v>85</v>
      </c>
      <c r="N9" s="53">
        <v>82</v>
      </c>
      <c r="O9" s="53" t="s">
        <v>1616</v>
      </c>
    </row>
    <row r="10" spans="1:15">
      <c r="A10" s="99">
        <v>9</v>
      </c>
      <c r="B10" s="53" t="s">
        <v>1617</v>
      </c>
      <c r="C10" s="53">
        <v>32</v>
      </c>
      <c r="D10" s="53">
        <v>6</v>
      </c>
      <c r="E10" s="53">
        <v>14</v>
      </c>
      <c r="F10" s="53">
        <v>35</v>
      </c>
      <c r="G10" s="53">
        <v>37</v>
      </c>
      <c r="H10" s="53" t="s">
        <v>1539</v>
      </c>
      <c r="I10" s="53">
        <v>2.5</v>
      </c>
      <c r="J10" s="53">
        <v>9</v>
      </c>
      <c r="K10" s="53">
        <v>6</v>
      </c>
      <c r="L10" s="53">
        <v>15</v>
      </c>
      <c r="M10" s="53">
        <v>34</v>
      </c>
      <c r="N10" s="53">
        <v>28</v>
      </c>
      <c r="O10" s="53" t="s">
        <v>1618</v>
      </c>
    </row>
    <row r="11" spans="1:15">
      <c r="A11" s="99">
        <v>10</v>
      </c>
      <c r="B11" s="53" t="s">
        <v>1615</v>
      </c>
      <c r="C11" s="53">
        <v>64</v>
      </c>
      <c r="D11" s="53">
        <v>13</v>
      </c>
      <c r="E11" s="53">
        <v>7</v>
      </c>
      <c r="F11" s="53">
        <v>70</v>
      </c>
      <c r="G11" s="53">
        <v>75</v>
      </c>
      <c r="H11" s="53" t="s">
        <v>1539</v>
      </c>
      <c r="I11" s="53">
        <v>4.7</v>
      </c>
      <c r="J11" s="53">
        <v>5</v>
      </c>
      <c r="K11" s="53">
        <v>10</v>
      </c>
      <c r="L11" s="53">
        <v>2</v>
      </c>
      <c r="M11" s="53">
        <v>69</v>
      </c>
      <c r="N11" s="53">
        <v>64</v>
      </c>
      <c r="O11" s="53" t="s">
        <v>1619</v>
      </c>
    </row>
    <row r="12" spans="1:15">
      <c r="A12" s="99">
        <v>11</v>
      </c>
      <c r="B12" s="53" t="s">
        <v>1615</v>
      </c>
      <c r="C12" s="53">
        <v>57</v>
      </c>
      <c r="D12" s="53">
        <v>11</v>
      </c>
      <c r="E12" s="53">
        <v>9</v>
      </c>
      <c r="F12" s="53">
        <v>53</v>
      </c>
      <c r="G12" s="53">
        <v>52</v>
      </c>
      <c r="H12" s="53" t="s">
        <v>1539</v>
      </c>
      <c r="I12" s="53">
        <v>3.4</v>
      </c>
      <c r="J12" s="53">
        <v>4</v>
      </c>
      <c r="K12" s="53">
        <v>8</v>
      </c>
      <c r="L12" s="53">
        <v>5</v>
      </c>
      <c r="M12" s="53">
        <v>54</v>
      </c>
      <c r="N12" s="53">
        <v>42</v>
      </c>
      <c r="O12" s="53" t="s">
        <v>1618</v>
      </c>
    </row>
    <row r="13" spans="1:15">
      <c r="A13" s="99">
        <v>12</v>
      </c>
      <c r="B13" s="53" t="s">
        <v>1615</v>
      </c>
      <c r="C13" s="53">
        <v>51</v>
      </c>
      <c r="D13" s="53">
        <v>10</v>
      </c>
      <c r="E13" s="53">
        <v>10</v>
      </c>
      <c r="F13" s="53">
        <v>59</v>
      </c>
      <c r="G13" s="53">
        <v>57</v>
      </c>
      <c r="H13" s="53" t="s">
        <v>1539</v>
      </c>
      <c r="I13" s="53">
        <v>3.1</v>
      </c>
      <c r="J13" s="53">
        <v>10</v>
      </c>
      <c r="K13" s="53">
        <v>15</v>
      </c>
      <c r="L13" s="53">
        <v>1</v>
      </c>
      <c r="M13" s="53">
        <v>55</v>
      </c>
      <c r="N13" s="53">
        <v>42</v>
      </c>
      <c r="O13" s="53" t="s">
        <v>1618</v>
      </c>
    </row>
    <row r="14" spans="1:15">
      <c r="A14" s="99">
        <v>13</v>
      </c>
      <c r="B14" s="53" t="s">
        <v>1615</v>
      </c>
      <c r="C14" s="53">
        <v>47</v>
      </c>
      <c r="D14" s="53">
        <v>9</v>
      </c>
      <c r="E14" s="53">
        <v>11</v>
      </c>
      <c r="F14" s="53">
        <v>45</v>
      </c>
      <c r="G14" s="53">
        <v>39</v>
      </c>
      <c r="H14" s="53" t="s">
        <v>1539</v>
      </c>
      <c r="I14" s="53">
        <v>1.7</v>
      </c>
      <c r="J14" s="53">
        <v>10</v>
      </c>
      <c r="K14" s="53">
        <v>12</v>
      </c>
      <c r="L14" s="53">
        <v>3</v>
      </c>
      <c r="M14" s="53">
        <v>44</v>
      </c>
      <c r="N14" s="53">
        <v>34</v>
      </c>
      <c r="O14" s="53" t="s">
        <v>1618</v>
      </c>
    </row>
    <row r="15" spans="1:15">
      <c r="A15" s="99">
        <v>14</v>
      </c>
      <c r="B15" s="53" t="s">
        <v>1615</v>
      </c>
      <c r="C15" s="53">
        <v>51</v>
      </c>
      <c r="D15" s="53">
        <v>10</v>
      </c>
      <c r="E15" s="53">
        <v>10</v>
      </c>
      <c r="F15" s="53">
        <v>61</v>
      </c>
      <c r="G15" s="53">
        <v>50</v>
      </c>
      <c r="H15" s="53" t="s">
        <v>1539</v>
      </c>
      <c r="I15" s="53">
        <v>2.8</v>
      </c>
      <c r="J15" s="53">
        <v>8</v>
      </c>
      <c r="K15" s="53">
        <v>5</v>
      </c>
      <c r="L15" s="53">
        <v>3</v>
      </c>
      <c r="M15" s="53">
        <v>53</v>
      </c>
      <c r="N15" s="53">
        <v>52</v>
      </c>
      <c r="O15" s="53" t="s">
        <v>1618</v>
      </c>
    </row>
    <row r="16" spans="1:15">
      <c r="A16" s="99">
        <v>15</v>
      </c>
      <c r="B16" s="53" t="s">
        <v>1615</v>
      </c>
      <c r="C16" s="53">
        <v>85</v>
      </c>
      <c r="D16" s="53">
        <v>17</v>
      </c>
      <c r="E16" s="53">
        <v>3</v>
      </c>
      <c r="F16" s="53">
        <v>94</v>
      </c>
      <c r="G16" s="53">
        <v>96</v>
      </c>
      <c r="H16" s="53" t="s">
        <v>1577</v>
      </c>
      <c r="I16" s="53">
        <v>4.9000000000000004</v>
      </c>
      <c r="J16" s="53">
        <v>1</v>
      </c>
      <c r="K16" s="53">
        <v>0</v>
      </c>
      <c r="L16" s="53">
        <v>3</v>
      </c>
      <c r="M16" s="53">
        <v>91</v>
      </c>
      <c r="N16" s="53">
        <v>87</v>
      </c>
      <c r="O16" s="53" t="s">
        <v>1619</v>
      </c>
    </row>
    <row r="17" spans="1:15">
      <c r="A17" s="99">
        <v>16</v>
      </c>
      <c r="B17" s="53" t="s">
        <v>1615</v>
      </c>
      <c r="C17" s="53">
        <v>71</v>
      </c>
      <c r="D17" s="53">
        <v>14</v>
      </c>
      <c r="E17" s="53">
        <v>6</v>
      </c>
      <c r="F17" s="53">
        <v>75</v>
      </c>
      <c r="G17" s="53">
        <v>79</v>
      </c>
      <c r="H17" s="53" t="s">
        <v>1577</v>
      </c>
      <c r="I17" s="53">
        <v>4.4000000000000004</v>
      </c>
      <c r="J17" s="53">
        <v>5</v>
      </c>
      <c r="K17" s="53">
        <v>0</v>
      </c>
      <c r="L17" s="53">
        <v>2</v>
      </c>
      <c r="M17" s="53">
        <v>74</v>
      </c>
      <c r="N17" s="53">
        <v>74</v>
      </c>
      <c r="O17" s="53" t="s">
        <v>1616</v>
      </c>
    </row>
    <row r="18" spans="1:15">
      <c r="A18" s="99">
        <v>17</v>
      </c>
      <c r="B18" s="53" t="s">
        <v>1615</v>
      </c>
      <c r="C18" s="53">
        <v>66</v>
      </c>
      <c r="D18" s="53">
        <v>13</v>
      </c>
      <c r="E18" s="53">
        <v>7</v>
      </c>
      <c r="F18" s="53">
        <v>76</v>
      </c>
      <c r="G18" s="53">
        <v>73</v>
      </c>
      <c r="H18" s="53" t="s">
        <v>1577</v>
      </c>
      <c r="I18" s="53">
        <v>3.6</v>
      </c>
      <c r="J18" s="53">
        <v>9</v>
      </c>
      <c r="K18" s="53">
        <v>11</v>
      </c>
      <c r="L18" s="53">
        <v>5</v>
      </c>
      <c r="M18" s="53">
        <v>71</v>
      </c>
      <c r="N18" s="53">
        <v>61</v>
      </c>
      <c r="O18" s="53" t="s">
        <v>1618</v>
      </c>
    </row>
    <row r="19" spans="1:15">
      <c r="A19" s="99">
        <v>18</v>
      </c>
      <c r="B19" s="53" t="s">
        <v>1617</v>
      </c>
      <c r="C19" s="53">
        <v>47</v>
      </c>
      <c r="D19" s="53">
        <v>9</v>
      </c>
      <c r="E19" s="53">
        <v>11</v>
      </c>
      <c r="F19" s="53">
        <v>55</v>
      </c>
      <c r="G19" s="53">
        <v>47</v>
      </c>
      <c r="H19" s="53" t="s">
        <v>1539</v>
      </c>
      <c r="I19" s="53">
        <v>2.2999999999999998</v>
      </c>
      <c r="J19" s="53">
        <v>5</v>
      </c>
      <c r="K19" s="53">
        <v>14</v>
      </c>
      <c r="L19" s="53">
        <v>26</v>
      </c>
      <c r="M19" s="53">
        <v>49</v>
      </c>
      <c r="N19" s="53">
        <v>40</v>
      </c>
      <c r="O19" s="53" t="s">
        <v>1618</v>
      </c>
    </row>
    <row r="20" spans="1:15">
      <c r="A20" s="99">
        <v>19</v>
      </c>
      <c r="B20" s="53" t="s">
        <v>1615</v>
      </c>
      <c r="C20" s="53">
        <v>74</v>
      </c>
      <c r="D20" s="53">
        <v>15</v>
      </c>
      <c r="E20" s="53">
        <v>5</v>
      </c>
      <c r="F20" s="53">
        <v>84</v>
      </c>
      <c r="G20" s="53">
        <v>81</v>
      </c>
      <c r="H20" s="53" t="s">
        <v>1577</v>
      </c>
      <c r="I20" s="53">
        <v>4.5</v>
      </c>
      <c r="J20" s="53">
        <v>4</v>
      </c>
      <c r="K20" s="53">
        <v>1</v>
      </c>
      <c r="L20" s="53">
        <v>5</v>
      </c>
      <c r="M20" s="53">
        <v>79</v>
      </c>
      <c r="N20" s="53">
        <v>83</v>
      </c>
      <c r="O20" s="53" t="s">
        <v>1616</v>
      </c>
    </row>
    <row r="21" spans="1:15">
      <c r="A21" s="99">
        <v>20</v>
      </c>
      <c r="B21" s="53" t="s">
        <v>1615</v>
      </c>
      <c r="C21" s="53">
        <v>83</v>
      </c>
      <c r="D21" s="53">
        <v>17</v>
      </c>
      <c r="E21" s="53">
        <v>3</v>
      </c>
      <c r="F21" s="53">
        <v>73</v>
      </c>
      <c r="G21" s="53">
        <v>81</v>
      </c>
      <c r="H21" s="53" t="s">
        <v>1577</v>
      </c>
      <c r="I21" s="53">
        <v>4.9000000000000004</v>
      </c>
      <c r="J21" s="53">
        <v>2</v>
      </c>
      <c r="K21" s="53">
        <v>0</v>
      </c>
      <c r="L21" s="53">
        <v>2</v>
      </c>
      <c r="M21" s="53">
        <v>79</v>
      </c>
      <c r="N21" s="53">
        <v>81</v>
      </c>
      <c r="O21" s="53" t="s">
        <v>1616</v>
      </c>
    </row>
    <row r="22" spans="1:15">
      <c r="A22" s="99">
        <v>21</v>
      </c>
      <c r="B22" s="53" t="s">
        <v>1620</v>
      </c>
      <c r="C22" s="53">
        <v>16</v>
      </c>
      <c r="D22" s="53">
        <v>3</v>
      </c>
      <c r="E22" s="53">
        <v>17</v>
      </c>
      <c r="F22" s="53">
        <v>22</v>
      </c>
      <c r="G22" s="53">
        <v>27</v>
      </c>
      <c r="H22" s="53" t="s">
        <v>1539</v>
      </c>
      <c r="I22" s="53">
        <v>2.2999999999999998</v>
      </c>
      <c r="J22" s="53">
        <v>4</v>
      </c>
      <c r="K22" s="53">
        <v>7</v>
      </c>
      <c r="L22" s="53">
        <v>30</v>
      </c>
      <c r="M22" s="53">
        <v>21</v>
      </c>
      <c r="N22" s="53">
        <v>18</v>
      </c>
      <c r="O22" s="53" t="s">
        <v>1618</v>
      </c>
    </row>
    <row r="23" spans="1:15">
      <c r="A23" s="99">
        <v>22</v>
      </c>
      <c r="B23" s="53" t="s">
        <v>1615</v>
      </c>
      <c r="C23" s="53">
        <v>55</v>
      </c>
      <c r="D23" s="53">
        <v>11</v>
      </c>
      <c r="E23" s="53">
        <v>9</v>
      </c>
      <c r="F23" s="53">
        <v>50</v>
      </c>
      <c r="G23" s="53">
        <v>49</v>
      </c>
      <c r="H23" s="53" t="s">
        <v>1539</v>
      </c>
      <c r="I23" s="53">
        <v>1.6</v>
      </c>
      <c r="J23" s="53">
        <v>9</v>
      </c>
      <c r="K23" s="53">
        <v>14</v>
      </c>
      <c r="L23" s="53">
        <v>2</v>
      </c>
      <c r="M23" s="53">
        <v>51</v>
      </c>
      <c r="N23" s="53">
        <v>42</v>
      </c>
      <c r="O23" s="53" t="s">
        <v>1618</v>
      </c>
    </row>
    <row r="24" spans="1:15">
      <c r="A24" s="99">
        <v>23</v>
      </c>
      <c r="B24" s="53" t="s">
        <v>1615</v>
      </c>
      <c r="C24" s="53">
        <v>57</v>
      </c>
      <c r="D24" s="53">
        <v>11</v>
      </c>
      <c r="E24" s="53">
        <v>9</v>
      </c>
      <c r="F24" s="53">
        <v>61</v>
      </c>
      <c r="G24" s="53">
        <v>58</v>
      </c>
      <c r="H24" s="53" t="s">
        <v>1539</v>
      </c>
      <c r="I24" s="53">
        <v>2.2999999999999998</v>
      </c>
      <c r="J24" s="53">
        <v>7</v>
      </c>
      <c r="K24" s="53">
        <v>12</v>
      </c>
      <c r="L24" s="53">
        <v>3</v>
      </c>
      <c r="M24" s="53">
        <v>58</v>
      </c>
      <c r="N24" s="53">
        <v>44</v>
      </c>
      <c r="O24" s="53" t="s">
        <v>1619</v>
      </c>
    </row>
    <row r="25" spans="1:15">
      <c r="A25" s="99">
        <v>24</v>
      </c>
      <c r="B25" s="53" t="s">
        <v>1615</v>
      </c>
      <c r="C25" s="53">
        <v>70</v>
      </c>
      <c r="D25" s="53">
        <v>14</v>
      </c>
      <c r="E25" s="53">
        <v>6</v>
      </c>
      <c r="F25" s="53">
        <v>72</v>
      </c>
      <c r="G25" s="53">
        <v>79</v>
      </c>
      <c r="H25" s="53" t="s">
        <v>1539</v>
      </c>
      <c r="I25" s="53">
        <v>4.9000000000000004</v>
      </c>
      <c r="J25" s="53">
        <v>10</v>
      </c>
      <c r="K25" s="53">
        <v>4</v>
      </c>
      <c r="L25" s="53">
        <v>1</v>
      </c>
      <c r="M25" s="53">
        <v>73</v>
      </c>
      <c r="N25" s="53">
        <v>73</v>
      </c>
      <c r="O25" s="53" t="s">
        <v>1618</v>
      </c>
    </row>
    <row r="26" spans="1:15">
      <c r="A26" s="99">
        <v>25</v>
      </c>
      <c r="B26" s="53" t="s">
        <v>1615</v>
      </c>
      <c r="C26" s="53">
        <v>54</v>
      </c>
      <c r="D26" s="53">
        <v>11</v>
      </c>
      <c r="E26" s="53">
        <v>9</v>
      </c>
      <c r="F26" s="53">
        <v>61</v>
      </c>
      <c r="G26" s="53">
        <v>52</v>
      </c>
      <c r="H26" s="53" t="s">
        <v>1539</v>
      </c>
      <c r="I26" s="53">
        <v>2.8</v>
      </c>
      <c r="J26" s="53">
        <v>3</v>
      </c>
      <c r="K26" s="53">
        <v>9</v>
      </c>
      <c r="L26" s="53">
        <v>0</v>
      </c>
      <c r="M26" s="53">
        <v>55</v>
      </c>
      <c r="N26" s="53">
        <v>45</v>
      </c>
      <c r="O26" s="53" t="s">
        <v>1618</v>
      </c>
    </row>
    <row r="27" spans="1:15">
      <c r="A27" s="99">
        <v>26</v>
      </c>
      <c r="B27" s="53" t="s">
        <v>1615</v>
      </c>
      <c r="C27" s="53">
        <v>50</v>
      </c>
      <c r="D27" s="53">
        <v>10</v>
      </c>
      <c r="E27" s="53">
        <v>10</v>
      </c>
      <c r="F27" s="53">
        <v>44</v>
      </c>
      <c r="G27" s="53">
        <v>52</v>
      </c>
      <c r="H27" s="53" t="s">
        <v>1539</v>
      </c>
      <c r="I27" s="53">
        <v>3.8</v>
      </c>
      <c r="J27" s="53">
        <v>7</v>
      </c>
      <c r="K27" s="53">
        <v>7</v>
      </c>
      <c r="L27" s="53">
        <v>3</v>
      </c>
      <c r="M27" s="53">
        <v>48</v>
      </c>
      <c r="N27" s="53">
        <v>41</v>
      </c>
      <c r="O27" s="53" t="s">
        <v>1618</v>
      </c>
    </row>
    <row r="28" spans="1:15">
      <c r="A28" s="99">
        <v>27</v>
      </c>
      <c r="B28" s="53" t="s">
        <v>1615</v>
      </c>
      <c r="C28" s="53">
        <v>47</v>
      </c>
      <c r="D28" s="53">
        <v>9</v>
      </c>
      <c r="E28" s="53">
        <v>11</v>
      </c>
      <c r="F28" s="53">
        <v>44</v>
      </c>
      <c r="G28" s="53">
        <v>49</v>
      </c>
      <c r="H28" s="53" t="s">
        <v>1539</v>
      </c>
      <c r="I28" s="53">
        <v>2.4</v>
      </c>
      <c r="J28" s="53">
        <v>3</v>
      </c>
      <c r="K28" s="53">
        <v>11</v>
      </c>
      <c r="L28" s="53">
        <v>0</v>
      </c>
      <c r="M28" s="53">
        <v>46</v>
      </c>
      <c r="N28" s="53">
        <v>35</v>
      </c>
      <c r="O28" s="53" t="s">
        <v>1618</v>
      </c>
    </row>
    <row r="29" spans="1:15">
      <c r="A29" s="99">
        <v>28</v>
      </c>
      <c r="B29" s="53" t="s">
        <v>1620</v>
      </c>
      <c r="C29" s="53">
        <v>50</v>
      </c>
      <c r="D29" s="53">
        <v>10</v>
      </c>
      <c r="E29" s="53">
        <v>10</v>
      </c>
      <c r="F29" s="53">
        <v>49</v>
      </c>
      <c r="G29" s="53">
        <v>56</v>
      </c>
      <c r="H29" s="53" t="s">
        <v>1539</v>
      </c>
      <c r="I29" s="53">
        <v>1.8</v>
      </c>
      <c r="J29" s="53">
        <v>5</v>
      </c>
      <c r="K29" s="53">
        <v>10</v>
      </c>
      <c r="L29" s="53">
        <v>28</v>
      </c>
      <c r="M29" s="53">
        <v>51</v>
      </c>
      <c r="N29" s="53">
        <v>43</v>
      </c>
      <c r="O29" s="53" t="s">
        <v>1618</v>
      </c>
    </row>
    <row r="30" spans="1:15">
      <c r="A30" s="99">
        <v>29</v>
      </c>
      <c r="B30" s="53" t="s">
        <v>1615</v>
      </c>
      <c r="C30" s="53">
        <v>78</v>
      </c>
      <c r="D30" s="53">
        <v>16</v>
      </c>
      <c r="E30" s="53">
        <v>4</v>
      </c>
      <c r="F30" s="53">
        <v>76</v>
      </c>
      <c r="G30" s="53">
        <v>75</v>
      </c>
      <c r="H30" s="53" t="s">
        <v>1577</v>
      </c>
      <c r="I30" s="53">
        <v>4.3</v>
      </c>
      <c r="J30" s="53">
        <v>0</v>
      </c>
      <c r="K30" s="53">
        <v>4</v>
      </c>
      <c r="L30" s="53">
        <v>5</v>
      </c>
      <c r="M30" s="53">
        <v>76</v>
      </c>
      <c r="N30" s="53">
        <v>76</v>
      </c>
      <c r="O30" s="53" t="s">
        <v>1616</v>
      </c>
    </row>
    <row r="31" spans="1:15">
      <c r="A31" s="99">
        <v>30</v>
      </c>
      <c r="B31" s="53" t="s">
        <v>1615</v>
      </c>
      <c r="C31" s="53">
        <v>82</v>
      </c>
      <c r="D31" s="53">
        <v>16</v>
      </c>
      <c r="E31" s="53">
        <v>4</v>
      </c>
      <c r="F31" s="53">
        <v>81</v>
      </c>
      <c r="G31" s="53">
        <v>76</v>
      </c>
      <c r="H31" s="53" t="s">
        <v>1577</v>
      </c>
      <c r="I31" s="53">
        <v>4.0999999999999996</v>
      </c>
      <c r="J31" s="53">
        <v>0</v>
      </c>
      <c r="K31" s="53">
        <v>3</v>
      </c>
      <c r="L31" s="53">
        <v>4</v>
      </c>
      <c r="M31" s="53">
        <v>79</v>
      </c>
      <c r="N31" s="53">
        <v>78</v>
      </c>
      <c r="O31" s="53" t="s">
        <v>1616</v>
      </c>
    </row>
    <row r="32" spans="1:15">
      <c r="A32" s="99">
        <v>31</v>
      </c>
      <c r="B32" s="53" t="s">
        <v>1615</v>
      </c>
      <c r="C32" s="53">
        <v>53</v>
      </c>
      <c r="D32" s="53">
        <v>11</v>
      </c>
      <c r="E32" s="53">
        <v>9</v>
      </c>
      <c r="F32" s="53">
        <v>47</v>
      </c>
      <c r="G32" s="53">
        <v>51</v>
      </c>
      <c r="H32" s="53" t="s">
        <v>1539</v>
      </c>
      <c r="I32" s="53">
        <v>3</v>
      </c>
      <c r="J32" s="53">
        <v>10</v>
      </c>
      <c r="K32" s="53">
        <v>6</v>
      </c>
      <c r="L32" s="53">
        <v>1</v>
      </c>
      <c r="M32" s="53">
        <v>50</v>
      </c>
      <c r="N32" s="53">
        <v>48</v>
      </c>
      <c r="O32" s="53" t="s">
        <v>1619</v>
      </c>
    </row>
    <row r="33" spans="1:15">
      <c r="A33" s="99">
        <v>32</v>
      </c>
      <c r="B33" s="53" t="s">
        <v>1615</v>
      </c>
      <c r="C33" s="53">
        <v>76</v>
      </c>
      <c r="D33" s="53">
        <v>15</v>
      </c>
      <c r="E33" s="53">
        <v>5</v>
      </c>
      <c r="F33" s="53">
        <v>68</v>
      </c>
      <c r="G33" s="53">
        <v>80</v>
      </c>
      <c r="H33" s="53" t="s">
        <v>1577</v>
      </c>
      <c r="I33" s="53">
        <v>4.7</v>
      </c>
      <c r="J33" s="53">
        <v>2</v>
      </c>
      <c r="K33" s="53">
        <v>1</v>
      </c>
      <c r="L33" s="53">
        <v>4</v>
      </c>
      <c r="M33" s="53">
        <v>74</v>
      </c>
      <c r="N33" s="53">
        <v>76</v>
      </c>
      <c r="O33" s="53" t="s">
        <v>1616</v>
      </c>
    </row>
    <row r="34" spans="1:15">
      <c r="A34" s="99">
        <v>33</v>
      </c>
      <c r="B34" s="53" t="s">
        <v>1620</v>
      </c>
      <c r="C34" s="53">
        <v>37</v>
      </c>
      <c r="D34" s="53">
        <v>7</v>
      </c>
      <c r="E34" s="53">
        <v>13</v>
      </c>
      <c r="F34" s="53">
        <v>27</v>
      </c>
      <c r="G34" s="53">
        <v>35</v>
      </c>
      <c r="H34" s="53" t="s">
        <v>1539</v>
      </c>
      <c r="I34" s="53">
        <v>2.4</v>
      </c>
      <c r="J34" s="53">
        <v>9</v>
      </c>
      <c r="K34" s="53">
        <v>5</v>
      </c>
      <c r="L34" s="53">
        <v>29</v>
      </c>
      <c r="M34" s="53">
        <v>33</v>
      </c>
      <c r="N34" s="53">
        <v>41</v>
      </c>
      <c r="O34" s="53" t="s">
        <v>1618</v>
      </c>
    </row>
    <row r="35" spans="1:15">
      <c r="A35" s="99">
        <v>34</v>
      </c>
      <c r="B35" s="53" t="s">
        <v>1615</v>
      </c>
      <c r="C35" s="53">
        <v>95</v>
      </c>
      <c r="D35" s="53">
        <v>19</v>
      </c>
      <c r="E35" s="53">
        <v>1</v>
      </c>
      <c r="F35" s="53">
        <v>86</v>
      </c>
      <c r="G35" s="53">
        <v>93</v>
      </c>
      <c r="H35" s="53" t="s">
        <v>1577</v>
      </c>
      <c r="I35" s="53">
        <v>4.7</v>
      </c>
      <c r="J35" s="53">
        <v>2</v>
      </c>
      <c r="K35" s="53">
        <v>0</v>
      </c>
      <c r="L35" s="53">
        <v>1</v>
      </c>
      <c r="M35" s="53">
        <v>91</v>
      </c>
      <c r="N35" s="53">
        <v>100</v>
      </c>
      <c r="O35" s="53" t="s">
        <v>1616</v>
      </c>
    </row>
    <row r="36" spans="1:15">
      <c r="A36" s="99">
        <v>35</v>
      </c>
      <c r="B36" s="53" t="s">
        <v>1615</v>
      </c>
      <c r="C36" s="53">
        <v>89</v>
      </c>
      <c r="D36" s="53">
        <v>18</v>
      </c>
      <c r="E36" s="53">
        <v>2</v>
      </c>
      <c r="F36" s="53">
        <v>81</v>
      </c>
      <c r="G36" s="53">
        <v>91</v>
      </c>
      <c r="H36" s="53" t="s">
        <v>1577</v>
      </c>
      <c r="I36" s="53">
        <v>3.8</v>
      </c>
      <c r="J36" s="53">
        <v>2</v>
      </c>
      <c r="K36" s="53">
        <v>3</v>
      </c>
      <c r="L36" s="53">
        <v>1</v>
      </c>
      <c r="M36" s="53">
        <v>87</v>
      </c>
      <c r="N36" s="53">
        <v>87</v>
      </c>
      <c r="O36" s="53" t="s">
        <v>1616</v>
      </c>
    </row>
    <row r="37" spans="1:15">
      <c r="A37" s="99">
        <v>36</v>
      </c>
      <c r="B37" s="53" t="s">
        <v>1615</v>
      </c>
      <c r="C37" s="53">
        <v>84</v>
      </c>
      <c r="D37" s="53">
        <v>17</v>
      </c>
      <c r="E37" s="53">
        <v>3</v>
      </c>
      <c r="F37" s="53">
        <v>82</v>
      </c>
      <c r="G37" s="53">
        <v>76</v>
      </c>
      <c r="H37" s="53" t="s">
        <v>1577</v>
      </c>
      <c r="I37" s="53">
        <v>3.8</v>
      </c>
      <c r="J37" s="53">
        <v>2</v>
      </c>
      <c r="K37" s="53">
        <v>2</v>
      </c>
      <c r="L37" s="53">
        <v>2</v>
      </c>
      <c r="M37" s="53">
        <v>81</v>
      </c>
      <c r="N37" s="53">
        <v>82</v>
      </c>
      <c r="O37" s="53" t="s">
        <v>1616</v>
      </c>
    </row>
    <row r="38" spans="1:15">
      <c r="A38" s="99">
        <v>37</v>
      </c>
      <c r="B38" s="53" t="s">
        <v>1615</v>
      </c>
      <c r="C38" s="53">
        <v>95</v>
      </c>
      <c r="D38" s="53">
        <v>19</v>
      </c>
      <c r="E38" s="53">
        <v>1</v>
      </c>
      <c r="F38" s="53">
        <v>98</v>
      </c>
      <c r="G38" s="53">
        <v>100</v>
      </c>
      <c r="H38" s="53" t="s">
        <v>1577</v>
      </c>
      <c r="I38" s="53">
        <v>4.8</v>
      </c>
      <c r="J38" s="53">
        <v>1</v>
      </c>
      <c r="K38" s="53">
        <v>2</v>
      </c>
      <c r="L38" s="53">
        <v>3</v>
      </c>
      <c r="M38" s="53">
        <v>97</v>
      </c>
      <c r="N38" s="53">
        <v>100</v>
      </c>
      <c r="O38" s="53" t="s">
        <v>1616</v>
      </c>
    </row>
    <row r="39" spans="1:15">
      <c r="A39" s="99">
        <v>38</v>
      </c>
      <c r="B39" s="53" t="s">
        <v>1615</v>
      </c>
      <c r="C39" s="53">
        <v>79</v>
      </c>
      <c r="D39" s="53">
        <v>16</v>
      </c>
      <c r="E39" s="53">
        <v>4</v>
      </c>
      <c r="F39" s="53">
        <v>85</v>
      </c>
      <c r="G39" s="53">
        <v>82</v>
      </c>
      <c r="H39" s="53" t="s">
        <v>1577</v>
      </c>
      <c r="I39" s="53">
        <v>4.5999999999999996</v>
      </c>
      <c r="J39" s="53">
        <v>2</v>
      </c>
      <c r="K39" s="53">
        <v>3</v>
      </c>
      <c r="L39" s="53">
        <v>0</v>
      </c>
      <c r="M39" s="53">
        <v>81</v>
      </c>
      <c r="N39" s="53">
        <v>87</v>
      </c>
      <c r="O39" s="53" t="s">
        <v>1616</v>
      </c>
    </row>
    <row r="40" spans="1:15">
      <c r="A40" s="99">
        <v>39</v>
      </c>
      <c r="B40" s="53" t="s">
        <v>1615</v>
      </c>
      <c r="C40" s="53">
        <v>94</v>
      </c>
      <c r="D40" s="53">
        <v>19</v>
      </c>
      <c r="E40" s="53">
        <v>1</v>
      </c>
      <c r="F40" s="53">
        <v>87</v>
      </c>
      <c r="G40" s="53">
        <v>84</v>
      </c>
      <c r="H40" s="53" t="s">
        <v>1577</v>
      </c>
      <c r="I40" s="53">
        <v>3.9</v>
      </c>
      <c r="J40" s="53">
        <v>2</v>
      </c>
      <c r="K40" s="53">
        <v>1</v>
      </c>
      <c r="L40" s="53">
        <v>3</v>
      </c>
      <c r="M40" s="53">
        <v>88</v>
      </c>
      <c r="N40" s="53">
        <v>99</v>
      </c>
      <c r="O40" s="53" t="s">
        <v>1616</v>
      </c>
    </row>
    <row r="41" spans="1:15">
      <c r="A41" s="99">
        <v>40</v>
      </c>
      <c r="B41" s="53" t="s">
        <v>1615</v>
      </c>
      <c r="C41" s="53">
        <v>96</v>
      </c>
      <c r="D41" s="53">
        <v>19</v>
      </c>
      <c r="E41" s="53">
        <v>1</v>
      </c>
      <c r="F41" s="53">
        <v>100</v>
      </c>
      <c r="G41" s="53">
        <v>91</v>
      </c>
      <c r="H41" s="53" t="s">
        <v>1577</v>
      </c>
      <c r="I41" s="53">
        <v>4.9000000000000004</v>
      </c>
      <c r="J41" s="53">
        <v>0</v>
      </c>
      <c r="K41" s="53">
        <v>3</v>
      </c>
      <c r="L41" s="53">
        <v>4</v>
      </c>
      <c r="M41" s="53">
        <v>95</v>
      </c>
      <c r="N41" s="53">
        <v>100</v>
      </c>
      <c r="O41" s="53" t="s">
        <v>1616</v>
      </c>
    </row>
    <row r="42" spans="1:15">
      <c r="A42" s="99">
        <v>41</v>
      </c>
      <c r="B42" s="53" t="s">
        <v>1617</v>
      </c>
      <c r="C42" s="53">
        <v>10</v>
      </c>
      <c r="D42" s="53">
        <v>2</v>
      </c>
      <c r="E42" s="53">
        <v>18</v>
      </c>
      <c r="F42" s="53">
        <v>0</v>
      </c>
      <c r="G42" s="53">
        <v>1</v>
      </c>
      <c r="H42" s="53" t="s">
        <v>1539</v>
      </c>
      <c r="I42" s="53">
        <v>3.2</v>
      </c>
      <c r="J42" s="53">
        <v>9</v>
      </c>
      <c r="K42" s="53">
        <v>6</v>
      </c>
      <c r="L42" s="53">
        <v>20</v>
      </c>
      <c r="M42" s="53">
        <v>4</v>
      </c>
      <c r="N42" s="53">
        <v>1</v>
      </c>
      <c r="O42" s="53" t="s">
        <v>1618</v>
      </c>
    </row>
    <row r="43" spans="1:15">
      <c r="A43" s="99">
        <v>42</v>
      </c>
      <c r="B43" s="53" t="s">
        <v>1620</v>
      </c>
      <c r="C43" s="53">
        <v>19</v>
      </c>
      <c r="D43" s="53">
        <v>4</v>
      </c>
      <c r="E43" s="53">
        <v>16</v>
      </c>
      <c r="F43" s="53">
        <v>27</v>
      </c>
      <c r="G43" s="53">
        <v>16</v>
      </c>
      <c r="H43" s="53" t="s">
        <v>1539</v>
      </c>
      <c r="I43" s="53">
        <v>3.2</v>
      </c>
      <c r="J43" s="53">
        <v>8</v>
      </c>
      <c r="K43" s="53">
        <v>15</v>
      </c>
      <c r="L43" s="53">
        <v>17</v>
      </c>
      <c r="M43" s="53">
        <v>20</v>
      </c>
      <c r="N43" s="53">
        <v>13</v>
      </c>
      <c r="O43" s="53" t="s">
        <v>1618</v>
      </c>
    </row>
    <row r="44" spans="1:15">
      <c r="A44" s="99">
        <v>43</v>
      </c>
      <c r="B44" s="53" t="s">
        <v>1615</v>
      </c>
      <c r="C44" s="53">
        <v>89</v>
      </c>
      <c r="D44" s="53">
        <v>18</v>
      </c>
      <c r="E44" s="53">
        <v>2</v>
      </c>
      <c r="F44" s="53">
        <v>91</v>
      </c>
      <c r="G44" s="53">
        <v>92</v>
      </c>
      <c r="H44" s="53" t="s">
        <v>1577</v>
      </c>
      <c r="I44" s="53">
        <v>3.9</v>
      </c>
      <c r="J44" s="53">
        <v>2</v>
      </c>
      <c r="K44" s="53">
        <v>0</v>
      </c>
      <c r="L44" s="53">
        <v>0</v>
      </c>
      <c r="M44" s="53">
        <v>90</v>
      </c>
      <c r="N44" s="53">
        <v>93</v>
      </c>
      <c r="O44" s="53" t="s">
        <v>1619</v>
      </c>
    </row>
    <row r="45" spans="1:15">
      <c r="A45" s="99">
        <v>44</v>
      </c>
      <c r="B45" s="53" t="s">
        <v>1615</v>
      </c>
      <c r="C45" s="53">
        <v>98</v>
      </c>
      <c r="D45" s="53">
        <v>20</v>
      </c>
      <c r="E45" s="53">
        <v>0</v>
      </c>
      <c r="F45" s="53">
        <v>96</v>
      </c>
      <c r="G45" s="53">
        <v>97</v>
      </c>
      <c r="H45" s="53" t="s">
        <v>1577</v>
      </c>
      <c r="I45" s="53">
        <v>3.8</v>
      </c>
      <c r="J45" s="53">
        <v>1</v>
      </c>
      <c r="K45" s="53">
        <v>1</v>
      </c>
      <c r="L45" s="53">
        <v>4</v>
      </c>
      <c r="M45" s="53">
        <v>97</v>
      </c>
      <c r="N45" s="53">
        <v>100</v>
      </c>
      <c r="O45" s="53" t="s">
        <v>1616</v>
      </c>
    </row>
    <row r="46" spans="1:15">
      <c r="A46" s="99">
        <v>45</v>
      </c>
      <c r="B46" s="53" t="s">
        <v>1615</v>
      </c>
      <c r="C46" s="53">
        <v>97</v>
      </c>
      <c r="D46" s="53">
        <v>19</v>
      </c>
      <c r="E46" s="53">
        <v>1</v>
      </c>
      <c r="F46" s="53">
        <v>89</v>
      </c>
      <c r="G46" s="53">
        <v>99</v>
      </c>
      <c r="H46" s="53" t="s">
        <v>1577</v>
      </c>
      <c r="I46" s="53">
        <v>4.5999999999999996</v>
      </c>
      <c r="J46" s="53">
        <v>0</v>
      </c>
      <c r="K46" s="53">
        <v>3</v>
      </c>
      <c r="L46" s="53">
        <v>0</v>
      </c>
      <c r="M46" s="53">
        <v>95</v>
      </c>
      <c r="N46" s="53">
        <v>100</v>
      </c>
      <c r="O46" s="53" t="s">
        <v>1616</v>
      </c>
    </row>
    <row r="47" spans="1:15">
      <c r="A47" s="99">
        <v>46</v>
      </c>
      <c r="B47" s="53" t="s">
        <v>1615</v>
      </c>
      <c r="C47" s="53">
        <v>85</v>
      </c>
      <c r="D47" s="53">
        <v>17</v>
      </c>
      <c r="E47" s="53">
        <v>3</v>
      </c>
      <c r="F47" s="53">
        <v>84</v>
      </c>
      <c r="G47" s="53">
        <v>81</v>
      </c>
      <c r="H47" s="53" t="s">
        <v>1577</v>
      </c>
      <c r="I47" s="53">
        <v>4.9000000000000004</v>
      </c>
      <c r="J47" s="53">
        <v>2</v>
      </c>
      <c r="K47" s="53">
        <v>2</v>
      </c>
      <c r="L47" s="53">
        <v>5</v>
      </c>
      <c r="M47" s="53">
        <v>83</v>
      </c>
      <c r="N47" s="53">
        <v>86</v>
      </c>
      <c r="O47" s="53" t="s">
        <v>1616</v>
      </c>
    </row>
    <row r="48" spans="1:15">
      <c r="A48" s="99">
        <v>47</v>
      </c>
      <c r="B48" s="53" t="s">
        <v>1615</v>
      </c>
      <c r="C48" s="53">
        <v>86</v>
      </c>
      <c r="D48" s="53">
        <v>17</v>
      </c>
      <c r="E48" s="53">
        <v>3</v>
      </c>
      <c r="F48" s="53">
        <v>80</v>
      </c>
      <c r="G48" s="53">
        <v>82</v>
      </c>
      <c r="H48" s="53" t="s">
        <v>1577</v>
      </c>
      <c r="I48" s="53">
        <v>3.5</v>
      </c>
      <c r="J48" s="53">
        <v>0</v>
      </c>
      <c r="K48" s="53">
        <v>4</v>
      </c>
      <c r="L48" s="53">
        <v>4</v>
      </c>
      <c r="M48" s="53">
        <v>83</v>
      </c>
      <c r="N48" s="53">
        <v>91</v>
      </c>
      <c r="O48" s="53" t="s">
        <v>1616</v>
      </c>
    </row>
    <row r="49" spans="1:15">
      <c r="A49" s="99">
        <v>48</v>
      </c>
      <c r="B49" s="53" t="s">
        <v>1615</v>
      </c>
      <c r="C49" s="53">
        <v>86</v>
      </c>
      <c r="D49" s="53">
        <v>17</v>
      </c>
      <c r="E49" s="53">
        <v>3</v>
      </c>
      <c r="F49" s="53">
        <v>78</v>
      </c>
      <c r="G49" s="53">
        <v>83</v>
      </c>
      <c r="H49" s="53" t="s">
        <v>1577</v>
      </c>
      <c r="I49" s="53">
        <v>4.5999999999999996</v>
      </c>
      <c r="J49" s="53">
        <v>2</v>
      </c>
      <c r="K49" s="53">
        <v>3</v>
      </c>
      <c r="L49" s="53">
        <v>3</v>
      </c>
      <c r="M49" s="53">
        <v>82</v>
      </c>
      <c r="N49" s="53">
        <v>90</v>
      </c>
      <c r="O49" s="53" t="s">
        <v>1616</v>
      </c>
    </row>
    <row r="50" spans="1:15">
      <c r="A50" s="99">
        <v>49</v>
      </c>
      <c r="B50" s="53" t="s">
        <v>1617</v>
      </c>
      <c r="C50" s="53">
        <v>44</v>
      </c>
      <c r="D50" s="53">
        <v>9</v>
      </c>
      <c r="E50" s="53">
        <v>11</v>
      </c>
      <c r="F50" s="53">
        <v>48</v>
      </c>
      <c r="G50" s="53">
        <v>52</v>
      </c>
      <c r="H50" s="53" t="s">
        <v>1539</v>
      </c>
      <c r="I50" s="53">
        <v>2.4</v>
      </c>
      <c r="J50" s="53">
        <v>5</v>
      </c>
      <c r="K50" s="53">
        <v>6</v>
      </c>
      <c r="L50" s="53">
        <v>30</v>
      </c>
      <c r="M50" s="53">
        <v>47</v>
      </c>
      <c r="N50" s="53">
        <v>52</v>
      </c>
      <c r="O50" s="53" t="s">
        <v>1618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AB29-E228-466C-AE0E-6F79675C5291}">
  <dimension ref="A1:AP391"/>
  <sheetViews>
    <sheetView workbookViewId="0">
      <selection activeCell="F399" sqref="F399"/>
    </sheetView>
  </sheetViews>
  <sheetFormatPr defaultRowHeight="15"/>
  <cols>
    <col min="2" max="2" width="27.5703125" bestFit="1" customWidth="1"/>
    <col min="3" max="3" width="14.7109375" bestFit="1" customWidth="1"/>
    <col min="4" max="4" width="14.7109375" customWidth="1"/>
    <col min="5" max="5" width="16.85546875" bestFit="1" customWidth="1"/>
    <col min="6" max="6" width="18.5703125" bestFit="1" customWidth="1"/>
    <col min="7" max="7" width="29.85546875" bestFit="1" customWidth="1"/>
    <col min="8" max="8" width="14.140625" bestFit="1" customWidth="1"/>
    <col min="9" max="9" width="30.7109375" bestFit="1" customWidth="1"/>
    <col min="10" max="10" width="14.42578125" bestFit="1" customWidth="1"/>
    <col min="11" max="11" width="11.5703125" bestFit="1" customWidth="1"/>
    <col min="12" max="12" width="21.42578125" bestFit="1" customWidth="1"/>
    <col min="13" max="13" width="20.28515625" bestFit="1" customWidth="1"/>
    <col min="14" max="14" width="28.5703125" bestFit="1" customWidth="1"/>
    <col min="15" max="15" width="18.140625" bestFit="1" customWidth="1"/>
    <col min="16" max="16" width="30.7109375" bestFit="1" customWidth="1"/>
    <col min="17" max="17" width="20.85546875" bestFit="1" customWidth="1"/>
    <col min="18" max="18" width="19.28515625" bestFit="1" customWidth="1"/>
    <col min="19" max="19" width="30.7109375" bestFit="1" customWidth="1"/>
    <col min="20" max="20" width="14" bestFit="1" customWidth="1"/>
    <col min="21" max="21" width="18.28515625" bestFit="1" customWidth="1"/>
    <col min="22" max="22" width="12.5703125" bestFit="1" customWidth="1"/>
    <col min="23" max="23" width="12.28515625" bestFit="1" customWidth="1"/>
    <col min="24" max="25" width="22" bestFit="1" customWidth="1"/>
    <col min="26" max="26" width="22.28515625" bestFit="1" customWidth="1"/>
    <col min="27" max="27" width="18.5703125" bestFit="1" customWidth="1"/>
    <col min="28" max="29" width="18" bestFit="1" customWidth="1"/>
    <col min="30" max="30" width="18.42578125" bestFit="1" customWidth="1"/>
    <col min="31" max="31" width="15.7109375" bestFit="1" customWidth="1"/>
    <col min="32" max="32" width="17.85546875" bestFit="1" customWidth="1"/>
    <col min="33" max="33" width="22.7109375" bestFit="1" customWidth="1"/>
    <col min="34" max="34" width="26.7109375" bestFit="1" customWidth="1"/>
    <col min="35" max="35" width="15.28515625" bestFit="1" customWidth="1"/>
    <col min="36" max="38" width="13" bestFit="1" customWidth="1"/>
    <col min="39" max="41" width="12.42578125" bestFit="1" customWidth="1"/>
  </cols>
  <sheetData>
    <row r="1" spans="1:42">
      <c r="A1" s="14" t="s">
        <v>1506</v>
      </c>
      <c r="B1" s="15" t="s">
        <v>255</v>
      </c>
      <c r="C1" s="15" t="s">
        <v>256</v>
      </c>
      <c r="D1" s="15" t="s">
        <v>1551</v>
      </c>
      <c r="E1" s="15" t="s">
        <v>257</v>
      </c>
      <c r="F1" s="15" t="s">
        <v>258</v>
      </c>
      <c r="G1" s="15" t="s">
        <v>259</v>
      </c>
      <c r="H1" s="15" t="s">
        <v>260</v>
      </c>
      <c r="I1" s="15" t="s">
        <v>261</v>
      </c>
      <c r="J1" s="15" t="s">
        <v>262</v>
      </c>
      <c r="K1" s="15" t="s">
        <v>263</v>
      </c>
      <c r="L1" s="15" t="s">
        <v>264</v>
      </c>
      <c r="M1" s="15" t="s">
        <v>265</v>
      </c>
      <c r="N1" s="15" t="s">
        <v>266</v>
      </c>
      <c r="O1" s="15" t="s">
        <v>267</v>
      </c>
      <c r="P1" s="15" t="s">
        <v>268</v>
      </c>
      <c r="Q1" s="15" t="s">
        <v>269</v>
      </c>
      <c r="R1" s="15" t="s">
        <v>1621</v>
      </c>
      <c r="S1" s="15" t="s">
        <v>1622</v>
      </c>
      <c r="T1" s="15" t="s">
        <v>1623</v>
      </c>
      <c r="U1" s="15" t="s">
        <v>1624</v>
      </c>
      <c r="V1" s="15" t="s">
        <v>1625</v>
      </c>
      <c r="W1" s="15" t="s">
        <v>270</v>
      </c>
      <c r="X1" s="15" t="s">
        <v>1626</v>
      </c>
      <c r="Y1" s="15" t="s">
        <v>1627</v>
      </c>
      <c r="Z1" s="15" t="s">
        <v>1628</v>
      </c>
      <c r="AA1" s="15" t="s">
        <v>1629</v>
      </c>
      <c r="AB1" s="15" t="s">
        <v>1630</v>
      </c>
      <c r="AC1" s="15" t="s">
        <v>1631</v>
      </c>
      <c r="AD1" s="15" t="s">
        <v>1632</v>
      </c>
      <c r="AE1" s="15" t="s">
        <v>1633</v>
      </c>
      <c r="AF1" s="15" t="s">
        <v>1634</v>
      </c>
      <c r="AG1" s="15" t="s">
        <v>273</v>
      </c>
      <c r="AH1" s="15" t="s">
        <v>1635</v>
      </c>
      <c r="AI1" s="15" t="s">
        <v>278</v>
      </c>
      <c r="AJ1" s="15" t="s">
        <v>1636</v>
      </c>
      <c r="AK1" s="15" t="s">
        <v>1637</v>
      </c>
      <c r="AL1" s="15" t="s">
        <v>1638</v>
      </c>
      <c r="AM1" s="15" t="s">
        <v>1639</v>
      </c>
      <c r="AN1" s="15" t="s">
        <v>1640</v>
      </c>
      <c r="AO1" s="16" t="s">
        <v>1641</v>
      </c>
      <c r="AP1" s="5"/>
    </row>
    <row r="2" spans="1:42">
      <c r="A2" s="12">
        <v>1</v>
      </c>
      <c r="B2" s="6" t="s">
        <v>279</v>
      </c>
      <c r="C2" s="6" t="s">
        <v>1642</v>
      </c>
      <c r="D2" s="6" t="s">
        <v>284</v>
      </c>
      <c r="E2" s="6" t="s">
        <v>86</v>
      </c>
      <c r="F2" s="7">
        <v>45398</v>
      </c>
      <c r="G2" s="6" t="s">
        <v>111</v>
      </c>
      <c r="H2" s="6" t="s">
        <v>252</v>
      </c>
      <c r="I2" s="6" t="s">
        <v>280</v>
      </c>
      <c r="J2" s="6" t="s">
        <v>90</v>
      </c>
      <c r="K2" s="6" t="s">
        <v>91</v>
      </c>
      <c r="L2" s="6" t="s">
        <v>92</v>
      </c>
      <c r="M2" s="6" t="s">
        <v>90</v>
      </c>
      <c r="N2" s="6" t="s">
        <v>131</v>
      </c>
      <c r="O2" s="6" t="s">
        <v>95</v>
      </c>
      <c r="P2" s="6" t="s">
        <v>131</v>
      </c>
      <c r="Q2" s="6" t="s">
        <v>122</v>
      </c>
      <c r="R2" s="6" t="s">
        <v>1643</v>
      </c>
      <c r="S2" s="6" t="s">
        <v>1644</v>
      </c>
      <c r="T2" s="6" t="s">
        <v>94</v>
      </c>
      <c r="U2" s="6" t="s">
        <v>94</v>
      </c>
      <c r="V2" s="6" t="s">
        <v>94</v>
      </c>
      <c r="W2" s="6" t="s">
        <v>281</v>
      </c>
      <c r="X2" s="6" t="s">
        <v>1643</v>
      </c>
      <c r="Y2" s="6" t="s">
        <v>1643</v>
      </c>
      <c r="Z2" s="6" t="s">
        <v>1643</v>
      </c>
      <c r="AA2" s="8">
        <v>1</v>
      </c>
      <c r="AB2" s="8">
        <v>1</v>
      </c>
      <c r="AC2" s="8">
        <v>1</v>
      </c>
      <c r="AD2" s="8">
        <v>1</v>
      </c>
      <c r="AE2" s="8">
        <v>100</v>
      </c>
      <c r="AF2" s="6" t="s">
        <v>282</v>
      </c>
      <c r="AG2" s="6" t="s">
        <v>283</v>
      </c>
      <c r="AH2" s="6" t="s">
        <v>285</v>
      </c>
      <c r="AI2" s="6" t="s">
        <v>286</v>
      </c>
      <c r="AJ2" s="9">
        <v>40</v>
      </c>
      <c r="AK2" s="8">
        <v>40</v>
      </c>
      <c r="AL2" s="8">
        <v>40</v>
      </c>
      <c r="AM2" s="8">
        <v>40</v>
      </c>
      <c r="AN2" s="8">
        <v>40</v>
      </c>
      <c r="AO2" s="13">
        <v>40</v>
      </c>
      <c r="AP2" s="5"/>
    </row>
    <row r="3" spans="1:42">
      <c r="A3" s="12">
        <v>2</v>
      </c>
      <c r="B3" s="6" t="s">
        <v>287</v>
      </c>
      <c r="C3" s="6" t="s">
        <v>1645</v>
      </c>
      <c r="D3" s="6" t="s">
        <v>292</v>
      </c>
      <c r="E3" s="6" t="s">
        <v>86</v>
      </c>
      <c r="F3" s="7">
        <v>44896</v>
      </c>
      <c r="G3" s="6" t="s">
        <v>288</v>
      </c>
      <c r="H3" s="6" t="s">
        <v>175</v>
      </c>
      <c r="I3" s="6" t="s">
        <v>289</v>
      </c>
      <c r="J3" s="6" t="s">
        <v>90</v>
      </c>
      <c r="K3" s="6" t="s">
        <v>91</v>
      </c>
      <c r="L3" s="6" t="s">
        <v>92</v>
      </c>
      <c r="M3" s="6" t="s">
        <v>90</v>
      </c>
      <c r="N3" s="6" t="s">
        <v>131</v>
      </c>
      <c r="O3" s="6" t="s">
        <v>104</v>
      </c>
      <c r="P3" s="6" t="s">
        <v>290</v>
      </c>
      <c r="Q3" s="6" t="s">
        <v>104</v>
      </c>
      <c r="R3" s="6" t="s">
        <v>1643</v>
      </c>
      <c r="S3" s="6" t="s">
        <v>1646</v>
      </c>
      <c r="T3" s="6" t="s">
        <v>94</v>
      </c>
      <c r="U3" s="6" t="s">
        <v>94</v>
      </c>
      <c r="V3" s="6" t="s">
        <v>94</v>
      </c>
      <c r="W3" s="6" t="s">
        <v>291</v>
      </c>
      <c r="X3" s="6" t="s">
        <v>1643</v>
      </c>
      <c r="Y3" s="6" t="s">
        <v>1643</v>
      </c>
      <c r="Z3" s="6" t="s">
        <v>1643</v>
      </c>
      <c r="AA3" s="8">
        <v>1</v>
      </c>
      <c r="AB3" s="8">
        <v>1</v>
      </c>
      <c r="AC3" s="8">
        <v>1</v>
      </c>
      <c r="AD3" s="8">
        <v>1</v>
      </c>
      <c r="AE3" s="8">
        <v>100</v>
      </c>
      <c r="AF3" s="6" t="s">
        <v>282</v>
      </c>
      <c r="AG3" s="6" t="s">
        <v>283</v>
      </c>
      <c r="AH3" s="6" t="s">
        <v>284</v>
      </c>
      <c r="AI3" s="6" t="s">
        <v>286</v>
      </c>
      <c r="AJ3" s="9">
        <v>40</v>
      </c>
      <c r="AK3" s="8">
        <v>40</v>
      </c>
      <c r="AL3" s="8">
        <v>40</v>
      </c>
      <c r="AM3" s="8">
        <v>40</v>
      </c>
      <c r="AN3" s="8">
        <v>40</v>
      </c>
      <c r="AO3" s="13">
        <v>40</v>
      </c>
      <c r="AP3" s="5"/>
    </row>
    <row r="4" spans="1:42">
      <c r="A4" s="12">
        <v>3</v>
      </c>
      <c r="B4" s="6" t="s">
        <v>293</v>
      </c>
      <c r="C4" s="6" t="s">
        <v>1647</v>
      </c>
      <c r="D4" s="6" t="s">
        <v>298</v>
      </c>
      <c r="E4" s="6" t="s">
        <v>86</v>
      </c>
      <c r="F4" s="7">
        <v>44902</v>
      </c>
      <c r="G4" s="6" t="s">
        <v>26</v>
      </c>
      <c r="H4" s="6" t="s">
        <v>294</v>
      </c>
      <c r="I4" s="6" t="s">
        <v>295</v>
      </c>
      <c r="J4" s="6" t="s">
        <v>90</v>
      </c>
      <c r="K4" s="6" t="s">
        <v>91</v>
      </c>
      <c r="L4" s="6" t="s">
        <v>92</v>
      </c>
      <c r="M4" s="6" t="s">
        <v>90</v>
      </c>
      <c r="N4" s="6" t="s">
        <v>27</v>
      </c>
      <c r="O4" s="6" t="s">
        <v>104</v>
      </c>
      <c r="P4" s="6" t="s">
        <v>27</v>
      </c>
      <c r="Q4" s="6" t="s">
        <v>95</v>
      </c>
      <c r="R4" s="6" t="s">
        <v>1643</v>
      </c>
      <c r="S4" s="6" t="s">
        <v>94</v>
      </c>
      <c r="T4" s="6" t="s">
        <v>94</v>
      </c>
      <c r="U4" s="6" t="s">
        <v>94</v>
      </c>
      <c r="V4" s="6" t="s">
        <v>94</v>
      </c>
      <c r="W4" s="6" t="s">
        <v>296</v>
      </c>
      <c r="X4" s="6" t="s">
        <v>1643</v>
      </c>
      <c r="Y4" s="6" t="s">
        <v>1643</v>
      </c>
      <c r="Z4" s="6" t="s">
        <v>1643</v>
      </c>
      <c r="AA4" s="8">
        <v>1</v>
      </c>
      <c r="AB4" s="8">
        <v>1</v>
      </c>
      <c r="AC4" s="8">
        <v>1</v>
      </c>
      <c r="AD4" s="8">
        <v>1</v>
      </c>
      <c r="AE4" s="8">
        <v>100</v>
      </c>
      <c r="AF4" s="6" t="s">
        <v>297</v>
      </c>
      <c r="AG4" s="6" t="s">
        <v>283</v>
      </c>
      <c r="AH4" s="6" t="s">
        <v>292</v>
      </c>
      <c r="AI4" s="6" t="s">
        <v>286</v>
      </c>
      <c r="AJ4" s="9">
        <v>40</v>
      </c>
      <c r="AK4" s="8">
        <v>40</v>
      </c>
      <c r="AL4" s="8">
        <v>40</v>
      </c>
      <c r="AM4" s="8">
        <v>40</v>
      </c>
      <c r="AN4" s="8">
        <v>40</v>
      </c>
      <c r="AO4" s="13">
        <v>40</v>
      </c>
      <c r="AP4" s="5"/>
    </row>
    <row r="5" spans="1:42">
      <c r="A5" s="12">
        <v>4</v>
      </c>
      <c r="B5" s="6" t="s">
        <v>299</v>
      </c>
      <c r="C5" s="6" t="s">
        <v>17</v>
      </c>
      <c r="D5" s="6" t="s">
        <v>301</v>
      </c>
      <c r="E5" s="6" t="s">
        <v>86</v>
      </c>
      <c r="F5" s="7">
        <v>44028</v>
      </c>
      <c r="G5" s="6" t="s">
        <v>111</v>
      </c>
      <c r="H5" s="6" t="s">
        <v>88</v>
      </c>
      <c r="I5" s="6" t="s">
        <v>130</v>
      </c>
      <c r="J5" s="6" t="s">
        <v>90</v>
      </c>
      <c r="K5" s="6" t="s">
        <v>91</v>
      </c>
      <c r="L5" s="6" t="s">
        <v>92</v>
      </c>
      <c r="M5" s="6" t="s">
        <v>90</v>
      </c>
      <c r="N5" s="6" t="s">
        <v>131</v>
      </c>
      <c r="O5" s="6" t="s">
        <v>95</v>
      </c>
      <c r="P5" s="6" t="s">
        <v>131</v>
      </c>
      <c r="Q5" s="6" t="s">
        <v>95</v>
      </c>
      <c r="R5" s="6" t="s">
        <v>1643</v>
      </c>
      <c r="S5" s="6" t="s">
        <v>94</v>
      </c>
      <c r="T5" s="6" t="s">
        <v>94</v>
      </c>
      <c r="U5" s="6" t="s">
        <v>94</v>
      </c>
      <c r="V5" s="6" t="s">
        <v>94</v>
      </c>
      <c r="W5" s="6" t="s">
        <v>281</v>
      </c>
      <c r="X5" s="6" t="s">
        <v>1643</v>
      </c>
      <c r="Y5" s="6" t="s">
        <v>1643</v>
      </c>
      <c r="Z5" s="6" t="s">
        <v>1643</v>
      </c>
      <c r="AA5" s="8">
        <v>1</v>
      </c>
      <c r="AB5" s="8">
        <v>1</v>
      </c>
      <c r="AC5" s="8">
        <v>1</v>
      </c>
      <c r="AD5" s="8">
        <v>1</v>
      </c>
      <c r="AE5" s="8">
        <v>100</v>
      </c>
      <c r="AF5" s="6" t="s">
        <v>300</v>
      </c>
      <c r="AG5" s="6" t="s">
        <v>283</v>
      </c>
      <c r="AH5" s="6" t="s">
        <v>298</v>
      </c>
      <c r="AI5" s="6" t="s">
        <v>286</v>
      </c>
      <c r="AJ5" s="9">
        <v>40</v>
      </c>
      <c r="AK5" s="8">
        <v>40</v>
      </c>
      <c r="AL5" s="8">
        <v>40</v>
      </c>
      <c r="AM5" s="8">
        <v>40</v>
      </c>
      <c r="AN5" s="8">
        <v>40</v>
      </c>
      <c r="AO5" s="13">
        <v>40</v>
      </c>
      <c r="AP5" s="5"/>
    </row>
    <row r="6" spans="1:42">
      <c r="A6" s="12">
        <v>5</v>
      </c>
      <c r="B6" s="6" t="s">
        <v>302</v>
      </c>
      <c r="C6" s="6" t="s">
        <v>1648</v>
      </c>
      <c r="D6" s="6" t="s">
        <v>305</v>
      </c>
      <c r="E6" s="6" t="s">
        <v>86</v>
      </c>
      <c r="F6" s="7">
        <v>46082</v>
      </c>
      <c r="G6" s="6" t="s">
        <v>100</v>
      </c>
      <c r="H6" s="6" t="s">
        <v>94</v>
      </c>
      <c r="I6" s="6" t="s">
        <v>303</v>
      </c>
      <c r="J6" s="6" t="s">
        <v>90</v>
      </c>
      <c r="K6" s="6" t="s">
        <v>91</v>
      </c>
      <c r="L6" s="6" t="s">
        <v>92</v>
      </c>
      <c r="M6" s="6" t="s">
        <v>90</v>
      </c>
      <c r="N6" s="6" t="s">
        <v>93</v>
      </c>
      <c r="O6" s="6" t="s">
        <v>104</v>
      </c>
      <c r="P6" s="6" t="s">
        <v>93</v>
      </c>
      <c r="Q6" s="6" t="s">
        <v>104</v>
      </c>
      <c r="R6" s="6" t="s">
        <v>1643</v>
      </c>
      <c r="S6" s="6" t="s">
        <v>1649</v>
      </c>
      <c r="T6" s="6" t="s">
        <v>94</v>
      </c>
      <c r="U6" s="6" t="s">
        <v>94</v>
      </c>
      <c r="V6" s="6" t="s">
        <v>94</v>
      </c>
      <c r="W6" s="6" t="s">
        <v>304</v>
      </c>
      <c r="X6" s="6" t="s">
        <v>1643</v>
      </c>
      <c r="Y6" s="6" t="s">
        <v>1643</v>
      </c>
      <c r="Z6" s="6" t="s">
        <v>1643</v>
      </c>
      <c r="AA6" s="8">
        <v>1</v>
      </c>
      <c r="AB6" s="8">
        <v>1</v>
      </c>
      <c r="AC6" s="8">
        <v>1</v>
      </c>
      <c r="AD6" s="8">
        <v>1</v>
      </c>
      <c r="AE6" s="8">
        <v>100</v>
      </c>
      <c r="AF6" s="6" t="s">
        <v>282</v>
      </c>
      <c r="AG6" s="6" t="s">
        <v>283</v>
      </c>
      <c r="AH6" s="6" t="s">
        <v>301</v>
      </c>
      <c r="AI6" s="6" t="s">
        <v>286</v>
      </c>
      <c r="AJ6" s="9">
        <v>40</v>
      </c>
      <c r="AK6" s="8">
        <v>40</v>
      </c>
      <c r="AL6" s="8">
        <v>40</v>
      </c>
      <c r="AM6" s="8">
        <v>40</v>
      </c>
      <c r="AN6" s="8">
        <v>40</v>
      </c>
      <c r="AO6" s="13">
        <v>40</v>
      </c>
      <c r="AP6" s="5"/>
    </row>
    <row r="7" spans="1:42">
      <c r="A7" s="12">
        <v>6</v>
      </c>
      <c r="B7" s="6" t="s">
        <v>306</v>
      </c>
      <c r="C7" s="6" t="s">
        <v>1650</v>
      </c>
      <c r="D7" s="6" t="s">
        <v>309</v>
      </c>
      <c r="E7" s="6" t="s">
        <v>86</v>
      </c>
      <c r="F7" s="7">
        <v>45673</v>
      </c>
      <c r="G7" s="6" t="s">
        <v>288</v>
      </c>
      <c r="H7" s="6" t="s">
        <v>94</v>
      </c>
      <c r="I7" s="6" t="s">
        <v>307</v>
      </c>
      <c r="J7" s="6" t="s">
        <v>90</v>
      </c>
      <c r="K7" s="6" t="s">
        <v>91</v>
      </c>
      <c r="L7" s="6" t="s">
        <v>92</v>
      </c>
      <c r="M7" s="6" t="s">
        <v>90</v>
      </c>
      <c r="N7" s="6" t="s">
        <v>131</v>
      </c>
      <c r="O7" s="6" t="s">
        <v>104</v>
      </c>
      <c r="P7" s="6" t="s">
        <v>131</v>
      </c>
      <c r="Q7" s="6" t="s">
        <v>95</v>
      </c>
      <c r="R7" s="6" t="s">
        <v>1643</v>
      </c>
      <c r="S7" s="6" t="s">
        <v>94</v>
      </c>
      <c r="T7" s="6" t="s">
        <v>94</v>
      </c>
      <c r="U7" s="6" t="s">
        <v>94</v>
      </c>
      <c r="V7" s="6" t="s">
        <v>94</v>
      </c>
      <c r="W7" s="6" t="s">
        <v>291</v>
      </c>
      <c r="X7" s="6" t="s">
        <v>1643</v>
      </c>
      <c r="Y7" s="6" t="s">
        <v>1643</v>
      </c>
      <c r="Z7" s="6" t="s">
        <v>1643</v>
      </c>
      <c r="AA7" s="8">
        <v>1</v>
      </c>
      <c r="AB7" s="8">
        <v>1</v>
      </c>
      <c r="AC7" s="8">
        <v>1</v>
      </c>
      <c r="AD7" s="8">
        <v>1</v>
      </c>
      <c r="AE7" s="8">
        <v>100</v>
      </c>
      <c r="AF7" s="6" t="s">
        <v>308</v>
      </c>
      <c r="AG7" s="6" t="s">
        <v>283</v>
      </c>
      <c r="AH7" s="6" t="s">
        <v>305</v>
      </c>
      <c r="AI7" s="6" t="s">
        <v>286</v>
      </c>
      <c r="AJ7" s="9">
        <v>40</v>
      </c>
      <c r="AK7" s="8">
        <v>40</v>
      </c>
      <c r="AL7" s="8">
        <v>40</v>
      </c>
      <c r="AM7" s="8">
        <v>40</v>
      </c>
      <c r="AN7" s="8">
        <v>40</v>
      </c>
      <c r="AO7" s="13">
        <v>40</v>
      </c>
      <c r="AP7" s="5"/>
    </row>
    <row r="8" spans="1:42">
      <c r="A8" s="12">
        <v>7</v>
      </c>
      <c r="B8" s="6" t="s">
        <v>310</v>
      </c>
      <c r="C8" s="6" t="s">
        <v>1651</v>
      </c>
      <c r="D8" s="6" t="s">
        <v>315</v>
      </c>
      <c r="E8" s="6" t="s">
        <v>86</v>
      </c>
      <c r="F8" s="7">
        <v>44667</v>
      </c>
      <c r="G8" s="6" t="s">
        <v>288</v>
      </c>
      <c r="H8" s="6" t="s">
        <v>311</v>
      </c>
      <c r="I8" s="6" t="s">
        <v>312</v>
      </c>
      <c r="J8" s="6" t="s">
        <v>90</v>
      </c>
      <c r="K8" s="6" t="s">
        <v>91</v>
      </c>
      <c r="L8" s="6" t="s">
        <v>92</v>
      </c>
      <c r="M8" s="6" t="s">
        <v>90</v>
      </c>
      <c r="N8" s="6" t="s">
        <v>313</v>
      </c>
      <c r="O8" s="6" t="s">
        <v>94</v>
      </c>
      <c r="P8" s="6" t="s">
        <v>184</v>
      </c>
      <c r="Q8" s="6" t="s">
        <v>95</v>
      </c>
      <c r="R8" s="6" t="s">
        <v>1643</v>
      </c>
      <c r="S8" s="6" t="s">
        <v>94</v>
      </c>
      <c r="T8" s="6" t="s">
        <v>94</v>
      </c>
      <c r="U8" s="6" t="s">
        <v>94</v>
      </c>
      <c r="V8" s="6" t="s">
        <v>94</v>
      </c>
      <c r="W8" s="6" t="s">
        <v>291</v>
      </c>
      <c r="X8" s="6" t="s">
        <v>1643</v>
      </c>
      <c r="Y8" s="6" t="s">
        <v>1643</v>
      </c>
      <c r="Z8" s="6" t="s">
        <v>1652</v>
      </c>
      <c r="AA8" s="8">
        <v>1</v>
      </c>
      <c r="AB8" s="8">
        <v>1</v>
      </c>
      <c r="AC8" s="8">
        <v>1</v>
      </c>
      <c r="AD8" s="8">
        <v>0</v>
      </c>
      <c r="AE8" s="8">
        <v>100</v>
      </c>
      <c r="AF8" s="6" t="s">
        <v>314</v>
      </c>
      <c r="AG8" s="6" t="s">
        <v>283</v>
      </c>
      <c r="AH8" s="6" t="s">
        <v>309</v>
      </c>
      <c r="AI8" s="6" t="s">
        <v>286</v>
      </c>
      <c r="AJ8" s="9">
        <v>40</v>
      </c>
      <c r="AK8" s="8">
        <v>40</v>
      </c>
      <c r="AL8" s="8">
        <v>40</v>
      </c>
      <c r="AM8" s="8">
        <v>40</v>
      </c>
      <c r="AN8" s="8">
        <v>40</v>
      </c>
      <c r="AO8" s="13">
        <v>40</v>
      </c>
      <c r="AP8" s="5"/>
    </row>
    <row r="9" spans="1:42">
      <c r="A9" s="12">
        <v>8</v>
      </c>
      <c r="B9" s="6" t="s">
        <v>316</v>
      </c>
      <c r="C9" s="6" t="s">
        <v>1653</v>
      </c>
      <c r="D9" s="6" t="s">
        <v>318</v>
      </c>
      <c r="E9" s="6" t="s">
        <v>86</v>
      </c>
      <c r="F9" s="7">
        <v>46060</v>
      </c>
      <c r="G9" s="6" t="s">
        <v>100</v>
      </c>
      <c r="H9" s="6" t="s">
        <v>94</v>
      </c>
      <c r="I9" s="6" t="s">
        <v>94</v>
      </c>
      <c r="J9" s="6" t="s">
        <v>213</v>
      </c>
      <c r="K9" s="6" t="s">
        <v>91</v>
      </c>
      <c r="L9" s="6" t="s">
        <v>92</v>
      </c>
      <c r="M9" s="6" t="s">
        <v>213</v>
      </c>
      <c r="N9" s="6" t="s">
        <v>93</v>
      </c>
      <c r="O9" s="6" t="s">
        <v>104</v>
      </c>
      <c r="P9" s="6" t="s">
        <v>93</v>
      </c>
      <c r="Q9" s="6" t="s">
        <v>104</v>
      </c>
      <c r="R9" s="6" t="s">
        <v>1643</v>
      </c>
      <c r="S9" s="6" t="s">
        <v>1654</v>
      </c>
      <c r="T9" s="6" t="s">
        <v>94</v>
      </c>
      <c r="U9" s="6" t="s">
        <v>94</v>
      </c>
      <c r="V9" s="6" t="s">
        <v>94</v>
      </c>
      <c r="W9" s="6" t="s">
        <v>304</v>
      </c>
      <c r="X9" s="6" t="s">
        <v>1643</v>
      </c>
      <c r="Y9" s="6" t="s">
        <v>1643</v>
      </c>
      <c r="Z9" s="6" t="s">
        <v>1643</v>
      </c>
      <c r="AA9" s="8">
        <v>1</v>
      </c>
      <c r="AB9" s="8">
        <v>1</v>
      </c>
      <c r="AC9" s="8">
        <v>1</v>
      </c>
      <c r="AD9" s="8">
        <v>1</v>
      </c>
      <c r="AE9" s="8">
        <v>100</v>
      </c>
      <c r="AF9" s="6" t="s">
        <v>317</v>
      </c>
      <c r="AG9" s="6" t="s">
        <v>283</v>
      </c>
      <c r="AH9" s="6" t="s">
        <v>315</v>
      </c>
      <c r="AI9" s="6" t="s">
        <v>286</v>
      </c>
      <c r="AJ9" s="9">
        <v>40</v>
      </c>
      <c r="AK9" s="8">
        <v>40</v>
      </c>
      <c r="AL9" s="8">
        <v>40</v>
      </c>
      <c r="AM9" s="8">
        <v>40</v>
      </c>
      <c r="AN9" s="8">
        <v>40</v>
      </c>
      <c r="AO9" s="13">
        <v>40</v>
      </c>
      <c r="AP9" s="5"/>
    </row>
    <row r="10" spans="1:42">
      <c r="A10" s="12">
        <v>9</v>
      </c>
      <c r="B10" s="6" t="s">
        <v>319</v>
      </c>
      <c r="C10" s="6" t="s">
        <v>1655</v>
      </c>
      <c r="D10" s="6" t="s">
        <v>298</v>
      </c>
      <c r="E10" s="6" t="s">
        <v>86</v>
      </c>
      <c r="F10" s="7">
        <v>45200</v>
      </c>
      <c r="G10" s="6" t="s">
        <v>204</v>
      </c>
      <c r="H10" s="6" t="s">
        <v>134</v>
      </c>
      <c r="I10" s="6" t="s">
        <v>320</v>
      </c>
      <c r="J10" s="6" t="s">
        <v>90</v>
      </c>
      <c r="K10" s="6" t="s">
        <v>91</v>
      </c>
      <c r="L10" s="6" t="s">
        <v>92</v>
      </c>
      <c r="M10" s="6" t="s">
        <v>90</v>
      </c>
      <c r="N10" s="6" t="s">
        <v>43</v>
      </c>
      <c r="O10" s="6" t="s">
        <v>122</v>
      </c>
      <c r="P10" s="6" t="s">
        <v>43</v>
      </c>
      <c r="Q10" s="6" t="s">
        <v>104</v>
      </c>
      <c r="R10" s="6" t="s">
        <v>1643</v>
      </c>
      <c r="S10" s="6" t="s">
        <v>94</v>
      </c>
      <c r="T10" s="6" t="s">
        <v>94</v>
      </c>
      <c r="U10" s="6" t="s">
        <v>94</v>
      </c>
      <c r="V10" s="6" t="s">
        <v>94</v>
      </c>
      <c r="W10" s="6" t="s">
        <v>321</v>
      </c>
      <c r="X10" s="6" t="s">
        <v>1643</v>
      </c>
      <c r="Y10" s="6" t="s">
        <v>1643</v>
      </c>
      <c r="Z10" s="6" t="s">
        <v>1643</v>
      </c>
      <c r="AA10" s="8">
        <v>1</v>
      </c>
      <c r="AB10" s="8">
        <v>1</v>
      </c>
      <c r="AC10" s="8">
        <v>1</v>
      </c>
      <c r="AD10" s="8">
        <v>1</v>
      </c>
      <c r="AE10" s="8">
        <v>100</v>
      </c>
      <c r="AF10" s="6" t="s">
        <v>308</v>
      </c>
      <c r="AG10" s="6" t="s">
        <v>283</v>
      </c>
      <c r="AH10" s="6" t="s">
        <v>318</v>
      </c>
      <c r="AI10" s="6" t="s">
        <v>286</v>
      </c>
      <c r="AJ10" s="9">
        <v>40</v>
      </c>
      <c r="AK10" s="8">
        <v>40</v>
      </c>
      <c r="AL10" s="8">
        <v>40</v>
      </c>
      <c r="AM10" s="8">
        <v>40</v>
      </c>
      <c r="AN10" s="8">
        <v>40</v>
      </c>
      <c r="AO10" s="13">
        <v>40</v>
      </c>
      <c r="AP10" s="5"/>
    </row>
    <row r="11" spans="1:42">
      <c r="A11" s="12">
        <v>10</v>
      </c>
      <c r="B11" s="6" t="s">
        <v>322</v>
      </c>
      <c r="C11" s="6" t="s">
        <v>22</v>
      </c>
      <c r="D11" s="6" t="s">
        <v>323</v>
      </c>
      <c r="E11" s="6" t="s">
        <v>86</v>
      </c>
      <c r="F11" s="7">
        <v>46007</v>
      </c>
      <c r="G11" s="6" t="s">
        <v>111</v>
      </c>
      <c r="H11" s="6" t="s">
        <v>94</v>
      </c>
      <c r="I11" s="6" t="s">
        <v>94</v>
      </c>
      <c r="J11" s="6" t="s">
        <v>90</v>
      </c>
      <c r="K11" s="6" t="s">
        <v>91</v>
      </c>
      <c r="L11" s="6" t="s">
        <v>92</v>
      </c>
      <c r="M11" s="6" t="s">
        <v>90</v>
      </c>
      <c r="N11" s="6" t="s">
        <v>103</v>
      </c>
      <c r="O11" s="6" t="s">
        <v>95</v>
      </c>
      <c r="P11" s="6" t="s">
        <v>131</v>
      </c>
      <c r="Q11" s="6" t="s">
        <v>104</v>
      </c>
      <c r="R11" s="6" t="s">
        <v>1643</v>
      </c>
      <c r="S11" s="6" t="s">
        <v>94</v>
      </c>
      <c r="T11" s="6" t="s">
        <v>94</v>
      </c>
      <c r="U11" s="6" t="s">
        <v>94</v>
      </c>
      <c r="V11" s="6" t="s">
        <v>94</v>
      </c>
      <c r="W11" s="6" t="s">
        <v>281</v>
      </c>
      <c r="X11" s="6" t="s">
        <v>1643</v>
      </c>
      <c r="Y11" s="6" t="s">
        <v>1643</v>
      </c>
      <c r="Z11" s="6" t="s">
        <v>1643</v>
      </c>
      <c r="AA11" s="8">
        <v>1</v>
      </c>
      <c r="AB11" s="8">
        <v>1</v>
      </c>
      <c r="AC11" s="8">
        <v>1</v>
      </c>
      <c r="AD11" s="8">
        <v>1</v>
      </c>
      <c r="AE11" s="8">
        <v>100</v>
      </c>
      <c r="AF11" s="6" t="s">
        <v>300</v>
      </c>
      <c r="AG11" s="6" t="s">
        <v>283</v>
      </c>
      <c r="AH11" s="6" t="s">
        <v>298</v>
      </c>
      <c r="AI11" s="6" t="s">
        <v>286</v>
      </c>
      <c r="AJ11" s="9">
        <v>40</v>
      </c>
      <c r="AK11" s="8">
        <v>40</v>
      </c>
      <c r="AL11" s="8">
        <v>40</v>
      </c>
      <c r="AM11" s="8">
        <v>40</v>
      </c>
      <c r="AN11" s="8">
        <v>40</v>
      </c>
      <c r="AO11" s="13">
        <v>40</v>
      </c>
      <c r="AP11" s="5"/>
    </row>
    <row r="12" spans="1:42">
      <c r="A12" s="12">
        <v>11</v>
      </c>
      <c r="B12" s="6" t="s">
        <v>324</v>
      </c>
      <c r="C12" s="6" t="s">
        <v>1656</v>
      </c>
      <c r="D12" s="6" t="s">
        <v>327</v>
      </c>
      <c r="E12" s="6" t="s">
        <v>86</v>
      </c>
      <c r="F12" s="7">
        <v>45114</v>
      </c>
      <c r="G12" s="6" t="s">
        <v>288</v>
      </c>
      <c r="H12" s="6" t="s">
        <v>252</v>
      </c>
      <c r="I12" s="6" t="s">
        <v>325</v>
      </c>
      <c r="J12" s="6" t="s">
        <v>90</v>
      </c>
      <c r="K12" s="6" t="s">
        <v>91</v>
      </c>
      <c r="L12" s="6" t="s">
        <v>92</v>
      </c>
      <c r="M12" s="6" t="s">
        <v>90</v>
      </c>
      <c r="N12" s="6" t="s">
        <v>136</v>
      </c>
      <c r="O12" s="6" t="s">
        <v>94</v>
      </c>
      <c r="P12" s="6" t="s">
        <v>136</v>
      </c>
      <c r="Q12" s="6" t="s">
        <v>104</v>
      </c>
      <c r="R12" s="6" t="s">
        <v>1643</v>
      </c>
      <c r="S12" s="6" t="s">
        <v>94</v>
      </c>
      <c r="T12" s="6" t="s">
        <v>94</v>
      </c>
      <c r="U12" s="6" t="s">
        <v>94</v>
      </c>
      <c r="V12" s="6" t="s">
        <v>94</v>
      </c>
      <c r="W12" s="6" t="s">
        <v>291</v>
      </c>
      <c r="X12" s="6" t="s">
        <v>1643</v>
      </c>
      <c r="Y12" s="6" t="s">
        <v>1643</v>
      </c>
      <c r="Z12" s="6" t="s">
        <v>1643</v>
      </c>
      <c r="AA12" s="8">
        <v>1</v>
      </c>
      <c r="AB12" s="8">
        <v>1</v>
      </c>
      <c r="AC12" s="8">
        <v>1</v>
      </c>
      <c r="AD12" s="8">
        <v>1</v>
      </c>
      <c r="AE12" s="8">
        <v>0</v>
      </c>
      <c r="AF12" s="6" t="s">
        <v>326</v>
      </c>
      <c r="AG12" s="6" t="s">
        <v>283</v>
      </c>
      <c r="AH12" s="6" t="s">
        <v>323</v>
      </c>
      <c r="AI12" s="6" t="s">
        <v>286</v>
      </c>
      <c r="AJ12" s="9">
        <v>40</v>
      </c>
      <c r="AK12" s="8">
        <v>40</v>
      </c>
      <c r="AL12" s="8">
        <v>40</v>
      </c>
      <c r="AM12" s="8">
        <v>40</v>
      </c>
      <c r="AN12" s="8">
        <v>40</v>
      </c>
      <c r="AO12" s="13">
        <v>40</v>
      </c>
      <c r="AP12" s="5"/>
    </row>
    <row r="13" spans="1:42">
      <c r="A13" s="12">
        <v>12</v>
      </c>
      <c r="B13" s="6" t="s">
        <v>328</v>
      </c>
      <c r="C13" s="6" t="s">
        <v>1657</v>
      </c>
      <c r="D13" s="6" t="s">
        <v>331</v>
      </c>
      <c r="E13" s="6" t="s">
        <v>86</v>
      </c>
      <c r="F13" s="7">
        <v>44400</v>
      </c>
      <c r="G13" s="6" t="s">
        <v>111</v>
      </c>
      <c r="H13" s="6" t="s">
        <v>175</v>
      </c>
      <c r="I13" s="6" t="s">
        <v>329</v>
      </c>
      <c r="J13" s="6" t="s">
        <v>90</v>
      </c>
      <c r="K13" s="6" t="s">
        <v>91</v>
      </c>
      <c r="L13" s="6" t="s">
        <v>92</v>
      </c>
      <c r="M13" s="6" t="s">
        <v>90</v>
      </c>
      <c r="N13" s="6" t="s">
        <v>103</v>
      </c>
      <c r="O13" s="6" t="s">
        <v>95</v>
      </c>
      <c r="P13" s="6" t="s">
        <v>117</v>
      </c>
      <c r="Q13" s="6" t="s">
        <v>122</v>
      </c>
      <c r="R13" s="6" t="s">
        <v>1643</v>
      </c>
      <c r="S13" s="6" t="s">
        <v>1658</v>
      </c>
      <c r="T13" s="6" t="s">
        <v>94</v>
      </c>
      <c r="U13" s="6" t="s">
        <v>94</v>
      </c>
      <c r="V13" s="6" t="s">
        <v>94</v>
      </c>
      <c r="W13" s="6" t="s">
        <v>281</v>
      </c>
      <c r="X13" s="6" t="s">
        <v>1643</v>
      </c>
      <c r="Y13" s="6" t="s">
        <v>1643</v>
      </c>
      <c r="Z13" s="6" t="s">
        <v>1643</v>
      </c>
      <c r="AA13" s="8">
        <v>1</v>
      </c>
      <c r="AB13" s="8">
        <v>1</v>
      </c>
      <c r="AC13" s="8">
        <v>1</v>
      </c>
      <c r="AD13" s="8">
        <v>1</v>
      </c>
      <c r="AE13" s="8">
        <v>100</v>
      </c>
      <c r="AF13" s="6" t="s">
        <v>330</v>
      </c>
      <c r="AG13" s="6" t="s">
        <v>283</v>
      </c>
      <c r="AH13" s="6" t="s">
        <v>327</v>
      </c>
      <c r="AI13" s="6" t="s">
        <v>286</v>
      </c>
      <c r="AJ13" s="9">
        <v>40</v>
      </c>
      <c r="AK13" s="8">
        <v>40</v>
      </c>
      <c r="AL13" s="8">
        <v>40</v>
      </c>
      <c r="AM13" s="8">
        <v>40</v>
      </c>
      <c r="AN13" s="8">
        <v>40</v>
      </c>
      <c r="AO13" s="13">
        <v>40</v>
      </c>
      <c r="AP13" s="5"/>
    </row>
    <row r="14" spans="1:42">
      <c r="A14" s="12">
        <v>13</v>
      </c>
      <c r="B14" s="6" t="s">
        <v>332</v>
      </c>
      <c r="C14" s="6" t="s">
        <v>1659</v>
      </c>
      <c r="D14" s="6" t="s">
        <v>301</v>
      </c>
      <c r="E14" s="6" t="s">
        <v>86</v>
      </c>
      <c r="F14" s="7">
        <v>45754</v>
      </c>
      <c r="G14" s="6" t="s">
        <v>288</v>
      </c>
      <c r="H14" s="6" t="s">
        <v>94</v>
      </c>
      <c r="I14" s="6" t="s">
        <v>333</v>
      </c>
      <c r="J14" s="6" t="s">
        <v>90</v>
      </c>
      <c r="K14" s="6" t="s">
        <v>91</v>
      </c>
      <c r="L14" s="6" t="s">
        <v>92</v>
      </c>
      <c r="M14" s="6" t="s">
        <v>90</v>
      </c>
      <c r="N14" s="6" t="s">
        <v>131</v>
      </c>
      <c r="O14" s="6" t="s">
        <v>104</v>
      </c>
      <c r="P14" s="6" t="s">
        <v>131</v>
      </c>
      <c r="Q14" s="6" t="s">
        <v>95</v>
      </c>
      <c r="R14" s="6" t="s">
        <v>1643</v>
      </c>
      <c r="S14" s="6" t="s">
        <v>1660</v>
      </c>
      <c r="T14" s="6" t="s">
        <v>94</v>
      </c>
      <c r="U14" s="6" t="s">
        <v>94</v>
      </c>
      <c r="V14" s="6" t="s">
        <v>94</v>
      </c>
      <c r="W14" s="6" t="s">
        <v>291</v>
      </c>
      <c r="X14" s="6" t="s">
        <v>1643</v>
      </c>
      <c r="Y14" s="6" t="s">
        <v>1643</v>
      </c>
      <c r="Z14" s="6" t="s">
        <v>1643</v>
      </c>
      <c r="AA14" s="8">
        <v>1</v>
      </c>
      <c r="AB14" s="8">
        <v>1</v>
      </c>
      <c r="AC14" s="8">
        <v>1</v>
      </c>
      <c r="AD14" s="8">
        <v>1</v>
      </c>
      <c r="AE14" s="8">
        <v>95.238095239999993</v>
      </c>
      <c r="AF14" s="6" t="s">
        <v>334</v>
      </c>
      <c r="AG14" s="6" t="s">
        <v>335</v>
      </c>
      <c r="AH14" s="6" t="s">
        <v>331</v>
      </c>
      <c r="AI14" s="6" t="s">
        <v>286</v>
      </c>
      <c r="AJ14" s="9">
        <v>40</v>
      </c>
      <c r="AK14" s="8">
        <v>40</v>
      </c>
      <c r="AL14" s="8">
        <v>40</v>
      </c>
      <c r="AM14" s="8">
        <v>40</v>
      </c>
      <c r="AN14" s="8">
        <v>40</v>
      </c>
      <c r="AO14" s="13">
        <v>40</v>
      </c>
      <c r="AP14" s="5"/>
    </row>
    <row r="15" spans="1:42">
      <c r="A15" s="12">
        <v>14</v>
      </c>
      <c r="B15" s="6" t="s">
        <v>336</v>
      </c>
      <c r="C15" s="6" t="s">
        <v>1661</v>
      </c>
      <c r="D15" s="6" t="s">
        <v>339</v>
      </c>
      <c r="E15" s="6" t="s">
        <v>86</v>
      </c>
      <c r="F15" s="7">
        <v>46060</v>
      </c>
      <c r="G15" s="6" t="s">
        <v>337</v>
      </c>
      <c r="H15" s="6" t="s">
        <v>94</v>
      </c>
      <c r="I15" s="6" t="s">
        <v>303</v>
      </c>
      <c r="J15" s="6" t="s">
        <v>90</v>
      </c>
      <c r="K15" s="6" t="s">
        <v>91</v>
      </c>
      <c r="L15" s="6" t="s">
        <v>92</v>
      </c>
      <c r="M15" s="6" t="s">
        <v>90</v>
      </c>
      <c r="N15" s="6" t="s">
        <v>131</v>
      </c>
      <c r="O15" s="6" t="s">
        <v>104</v>
      </c>
      <c r="P15" s="6" t="s">
        <v>131</v>
      </c>
      <c r="Q15" s="6" t="s">
        <v>104</v>
      </c>
      <c r="R15" s="6" t="s">
        <v>1643</v>
      </c>
      <c r="S15" s="6" t="s">
        <v>94</v>
      </c>
      <c r="T15" s="6" t="s">
        <v>94</v>
      </c>
      <c r="U15" s="6" t="s">
        <v>94</v>
      </c>
      <c r="V15" s="6" t="s">
        <v>94</v>
      </c>
      <c r="W15" s="6" t="s">
        <v>338</v>
      </c>
      <c r="X15" s="6" t="s">
        <v>1643</v>
      </c>
      <c r="Y15" s="6" t="s">
        <v>1643</v>
      </c>
      <c r="Z15" s="6" t="s">
        <v>1643</v>
      </c>
      <c r="AA15" s="8">
        <v>1</v>
      </c>
      <c r="AB15" s="8">
        <v>1</v>
      </c>
      <c r="AC15" s="8">
        <v>1</v>
      </c>
      <c r="AD15" s="8">
        <v>1</v>
      </c>
      <c r="AE15" s="8">
        <v>100</v>
      </c>
      <c r="AF15" s="6" t="s">
        <v>282</v>
      </c>
      <c r="AG15" s="6" t="s">
        <v>283</v>
      </c>
      <c r="AH15" s="6" t="s">
        <v>301</v>
      </c>
      <c r="AI15" s="6" t="s">
        <v>286</v>
      </c>
      <c r="AJ15" s="9">
        <v>40</v>
      </c>
      <c r="AK15" s="8">
        <v>40</v>
      </c>
      <c r="AL15" s="8">
        <v>40</v>
      </c>
      <c r="AM15" s="8">
        <v>40</v>
      </c>
      <c r="AN15" s="8">
        <v>40</v>
      </c>
      <c r="AO15" s="13">
        <v>40</v>
      </c>
      <c r="AP15" s="5"/>
    </row>
    <row r="16" spans="1:42">
      <c r="A16" s="12">
        <v>15</v>
      </c>
      <c r="B16" s="6" t="s">
        <v>340</v>
      </c>
      <c r="C16" s="6" t="s">
        <v>1662</v>
      </c>
      <c r="D16" s="6" t="s">
        <v>341</v>
      </c>
      <c r="E16" s="6" t="s">
        <v>86</v>
      </c>
      <c r="F16" s="7">
        <v>45419</v>
      </c>
      <c r="G16" s="6" t="s">
        <v>337</v>
      </c>
      <c r="H16" s="6" t="s">
        <v>252</v>
      </c>
      <c r="I16" s="6" t="s">
        <v>135</v>
      </c>
      <c r="J16" s="6" t="s">
        <v>90</v>
      </c>
      <c r="K16" s="6" t="s">
        <v>91</v>
      </c>
      <c r="L16" s="6" t="s">
        <v>92</v>
      </c>
      <c r="M16" s="6" t="s">
        <v>90</v>
      </c>
      <c r="N16" s="6" t="s">
        <v>131</v>
      </c>
      <c r="O16" s="6" t="s">
        <v>104</v>
      </c>
      <c r="P16" s="6" t="s">
        <v>103</v>
      </c>
      <c r="Q16" s="6" t="s">
        <v>95</v>
      </c>
      <c r="R16" s="6" t="s">
        <v>1643</v>
      </c>
      <c r="S16" s="6" t="s">
        <v>94</v>
      </c>
      <c r="T16" s="6" t="s">
        <v>94</v>
      </c>
      <c r="U16" s="6" t="s">
        <v>94</v>
      </c>
      <c r="V16" s="6" t="s">
        <v>94</v>
      </c>
      <c r="W16" s="6" t="s">
        <v>338</v>
      </c>
      <c r="X16" s="6" t="s">
        <v>1643</v>
      </c>
      <c r="Y16" s="6" t="s">
        <v>1643</v>
      </c>
      <c r="Z16" s="6" t="s">
        <v>1643</v>
      </c>
      <c r="AA16" s="8">
        <v>1</v>
      </c>
      <c r="AB16" s="8">
        <v>1</v>
      </c>
      <c r="AC16" s="8">
        <v>1</v>
      </c>
      <c r="AD16" s="8">
        <v>1</v>
      </c>
      <c r="AE16" s="8">
        <v>100</v>
      </c>
      <c r="AF16" s="6" t="s">
        <v>334</v>
      </c>
      <c r="AG16" s="6" t="s">
        <v>335</v>
      </c>
      <c r="AH16" s="6" t="s">
        <v>339</v>
      </c>
      <c r="AI16" s="6" t="s">
        <v>286</v>
      </c>
      <c r="AJ16" s="9">
        <v>40</v>
      </c>
      <c r="AK16" s="8">
        <v>40</v>
      </c>
      <c r="AL16" s="8">
        <v>40</v>
      </c>
      <c r="AM16" s="8">
        <v>40</v>
      </c>
      <c r="AN16" s="8">
        <v>40</v>
      </c>
      <c r="AO16" s="13">
        <v>40</v>
      </c>
      <c r="AP16" s="5"/>
    </row>
    <row r="17" spans="1:42">
      <c r="A17" s="12">
        <v>16</v>
      </c>
      <c r="B17" s="6" t="s">
        <v>342</v>
      </c>
      <c r="C17" s="6" t="s">
        <v>1663</v>
      </c>
      <c r="D17" s="6" t="s">
        <v>348</v>
      </c>
      <c r="E17" s="6" t="s">
        <v>86</v>
      </c>
      <c r="F17" s="7">
        <v>45480</v>
      </c>
      <c r="G17" s="6" t="s">
        <v>343</v>
      </c>
      <c r="H17" s="6" t="s">
        <v>344</v>
      </c>
      <c r="I17" s="6" t="s">
        <v>345</v>
      </c>
      <c r="J17" s="6" t="s">
        <v>90</v>
      </c>
      <c r="K17" s="6" t="s">
        <v>91</v>
      </c>
      <c r="L17" s="6" t="s">
        <v>92</v>
      </c>
      <c r="M17" s="6" t="s">
        <v>90</v>
      </c>
      <c r="N17" s="6" t="s">
        <v>346</v>
      </c>
      <c r="O17" s="6" t="s">
        <v>94</v>
      </c>
      <c r="P17" s="6" t="s">
        <v>131</v>
      </c>
      <c r="Q17" s="6" t="s">
        <v>122</v>
      </c>
      <c r="R17" s="6" t="s">
        <v>1643</v>
      </c>
      <c r="S17" s="6" t="s">
        <v>1664</v>
      </c>
      <c r="T17" s="6" t="s">
        <v>94</v>
      </c>
      <c r="U17" s="6" t="s">
        <v>94</v>
      </c>
      <c r="V17" s="6" t="s">
        <v>94</v>
      </c>
      <c r="W17" s="6" t="s">
        <v>347</v>
      </c>
      <c r="X17" s="6" t="s">
        <v>1643</v>
      </c>
      <c r="Y17" s="6" t="s">
        <v>1643</v>
      </c>
      <c r="Z17" s="6" t="s">
        <v>1652</v>
      </c>
      <c r="AA17" s="8">
        <v>1</v>
      </c>
      <c r="AB17" s="8">
        <v>1</v>
      </c>
      <c r="AC17" s="8">
        <v>1</v>
      </c>
      <c r="AD17" s="8">
        <v>0</v>
      </c>
      <c r="AE17" s="8">
        <v>100</v>
      </c>
      <c r="AF17" s="6" t="s">
        <v>282</v>
      </c>
      <c r="AG17" s="6" t="s">
        <v>283</v>
      </c>
      <c r="AH17" s="6" t="s">
        <v>341</v>
      </c>
      <c r="AI17" s="6" t="s">
        <v>286</v>
      </c>
      <c r="AJ17" s="9">
        <v>40</v>
      </c>
      <c r="AK17" s="8">
        <v>40</v>
      </c>
      <c r="AL17" s="8">
        <v>40</v>
      </c>
      <c r="AM17" s="8">
        <v>40</v>
      </c>
      <c r="AN17" s="8">
        <v>40</v>
      </c>
      <c r="AO17" s="13">
        <v>40</v>
      </c>
      <c r="AP17" s="5"/>
    </row>
    <row r="18" spans="1:42">
      <c r="A18" s="12">
        <v>17</v>
      </c>
      <c r="B18" s="6" t="s">
        <v>349</v>
      </c>
      <c r="C18" s="6" t="s">
        <v>1665</v>
      </c>
      <c r="D18" s="6" t="s">
        <v>298</v>
      </c>
      <c r="E18" s="6" t="s">
        <v>86</v>
      </c>
      <c r="F18" s="7">
        <v>44013</v>
      </c>
      <c r="G18" s="6" t="s">
        <v>100</v>
      </c>
      <c r="H18" s="6" t="s">
        <v>344</v>
      </c>
      <c r="I18" s="6" t="s">
        <v>350</v>
      </c>
      <c r="J18" s="6" t="s">
        <v>90</v>
      </c>
      <c r="K18" s="6" t="s">
        <v>91</v>
      </c>
      <c r="L18" s="6" t="s">
        <v>92</v>
      </c>
      <c r="M18" s="6" t="s">
        <v>90</v>
      </c>
      <c r="N18" s="6" t="s">
        <v>43</v>
      </c>
      <c r="O18" s="6" t="s">
        <v>122</v>
      </c>
      <c r="P18" s="6" t="s">
        <v>43</v>
      </c>
      <c r="Q18" s="6" t="s">
        <v>104</v>
      </c>
      <c r="R18" s="6" t="s">
        <v>1643</v>
      </c>
      <c r="S18" s="6" t="s">
        <v>1666</v>
      </c>
      <c r="T18" s="6" t="s">
        <v>94</v>
      </c>
      <c r="U18" s="6" t="s">
        <v>94</v>
      </c>
      <c r="V18" s="6" t="s">
        <v>94</v>
      </c>
      <c r="W18" s="6" t="s">
        <v>304</v>
      </c>
      <c r="X18" s="6" t="s">
        <v>1643</v>
      </c>
      <c r="Y18" s="6" t="s">
        <v>1643</v>
      </c>
      <c r="Z18" s="6" t="s">
        <v>1643</v>
      </c>
      <c r="AA18" s="8">
        <v>1</v>
      </c>
      <c r="AB18" s="8">
        <v>1</v>
      </c>
      <c r="AC18" s="8">
        <v>1</v>
      </c>
      <c r="AD18" s="8">
        <v>1</v>
      </c>
      <c r="AE18" s="8">
        <v>100</v>
      </c>
      <c r="AF18" s="6" t="s">
        <v>351</v>
      </c>
      <c r="AG18" s="6" t="s">
        <v>283</v>
      </c>
      <c r="AH18" s="6" t="s">
        <v>348</v>
      </c>
      <c r="AI18" s="6" t="s">
        <v>286</v>
      </c>
      <c r="AJ18" s="9">
        <v>40</v>
      </c>
      <c r="AK18" s="8">
        <v>40</v>
      </c>
      <c r="AL18" s="8">
        <v>40</v>
      </c>
      <c r="AM18" s="8">
        <v>40</v>
      </c>
      <c r="AN18" s="8">
        <v>40</v>
      </c>
      <c r="AO18" s="13">
        <v>40</v>
      </c>
      <c r="AP18" s="5"/>
    </row>
    <row r="19" spans="1:42">
      <c r="A19" s="12">
        <v>18</v>
      </c>
      <c r="B19" s="6" t="s">
        <v>352</v>
      </c>
      <c r="C19" s="6" t="s">
        <v>16</v>
      </c>
      <c r="D19" s="6" t="s">
        <v>354</v>
      </c>
      <c r="E19" s="6" t="s">
        <v>86</v>
      </c>
      <c r="F19" s="7">
        <v>43366</v>
      </c>
      <c r="G19" s="6" t="s">
        <v>125</v>
      </c>
      <c r="H19" s="6" t="s">
        <v>126</v>
      </c>
      <c r="I19" s="6" t="s">
        <v>127</v>
      </c>
      <c r="J19" s="6" t="s">
        <v>90</v>
      </c>
      <c r="K19" s="6" t="s">
        <v>91</v>
      </c>
      <c r="L19" s="6" t="s">
        <v>92</v>
      </c>
      <c r="M19" s="6" t="s">
        <v>90</v>
      </c>
      <c r="N19" s="6" t="s">
        <v>117</v>
      </c>
      <c r="O19" s="6" t="s">
        <v>94</v>
      </c>
      <c r="P19" s="6" t="s">
        <v>117</v>
      </c>
      <c r="Q19" s="6" t="s">
        <v>122</v>
      </c>
      <c r="R19" s="6" t="s">
        <v>1643</v>
      </c>
      <c r="S19" s="6" t="s">
        <v>1667</v>
      </c>
      <c r="T19" s="6" t="s">
        <v>94</v>
      </c>
      <c r="U19" s="6" t="s">
        <v>94</v>
      </c>
      <c r="V19" s="6" t="s">
        <v>94</v>
      </c>
      <c r="W19" s="6" t="s">
        <v>353</v>
      </c>
      <c r="X19" s="6" t="s">
        <v>1643</v>
      </c>
      <c r="Y19" s="6" t="s">
        <v>1643</v>
      </c>
      <c r="Z19" s="6" t="s">
        <v>1643</v>
      </c>
      <c r="AA19" s="8">
        <v>1</v>
      </c>
      <c r="AB19" s="8">
        <v>1</v>
      </c>
      <c r="AC19" s="8">
        <v>1</v>
      </c>
      <c r="AD19" s="8">
        <v>1</v>
      </c>
      <c r="AE19" s="8">
        <v>90.47619048</v>
      </c>
      <c r="AF19" s="6" t="s">
        <v>300</v>
      </c>
      <c r="AG19" s="6" t="s">
        <v>283</v>
      </c>
      <c r="AH19" s="6" t="s">
        <v>298</v>
      </c>
      <c r="AI19" s="6" t="s">
        <v>286</v>
      </c>
      <c r="AJ19" s="9">
        <v>40</v>
      </c>
      <c r="AK19" s="8">
        <v>40</v>
      </c>
      <c r="AL19" s="8">
        <v>40</v>
      </c>
      <c r="AM19" s="8">
        <v>40</v>
      </c>
      <c r="AN19" s="8">
        <v>40</v>
      </c>
      <c r="AO19" s="13">
        <v>40</v>
      </c>
      <c r="AP19" s="5"/>
    </row>
    <row r="20" spans="1:42">
      <c r="A20" s="12">
        <v>19</v>
      </c>
      <c r="B20" s="6" t="s">
        <v>355</v>
      </c>
      <c r="C20" s="6" t="s">
        <v>1668</v>
      </c>
      <c r="D20" s="6" t="s">
        <v>339</v>
      </c>
      <c r="E20" s="6" t="s">
        <v>86</v>
      </c>
      <c r="F20" s="7">
        <v>45154</v>
      </c>
      <c r="G20" s="6" t="s">
        <v>111</v>
      </c>
      <c r="H20" s="6" t="s">
        <v>175</v>
      </c>
      <c r="I20" s="6" t="s">
        <v>356</v>
      </c>
      <c r="J20" s="6" t="s">
        <v>90</v>
      </c>
      <c r="K20" s="6" t="s">
        <v>91</v>
      </c>
      <c r="L20" s="6" t="s">
        <v>92</v>
      </c>
      <c r="M20" s="6" t="s">
        <v>90</v>
      </c>
      <c r="N20" s="6" t="s">
        <v>103</v>
      </c>
      <c r="O20" s="6" t="s">
        <v>95</v>
      </c>
      <c r="P20" s="6" t="s">
        <v>103</v>
      </c>
      <c r="Q20" s="6" t="s">
        <v>95</v>
      </c>
      <c r="R20" s="6" t="s">
        <v>1643</v>
      </c>
      <c r="S20" s="6" t="s">
        <v>1669</v>
      </c>
      <c r="T20" s="6" t="s">
        <v>94</v>
      </c>
      <c r="U20" s="6" t="s">
        <v>94</v>
      </c>
      <c r="V20" s="6" t="s">
        <v>94</v>
      </c>
      <c r="W20" s="6" t="s">
        <v>281</v>
      </c>
      <c r="X20" s="6" t="s">
        <v>1643</v>
      </c>
      <c r="Y20" s="6" t="s">
        <v>1643</v>
      </c>
      <c r="Z20" s="6" t="s">
        <v>1643</v>
      </c>
      <c r="AA20" s="8">
        <v>1</v>
      </c>
      <c r="AB20" s="8">
        <v>1</v>
      </c>
      <c r="AC20" s="8">
        <v>1</v>
      </c>
      <c r="AD20" s="8">
        <v>1</v>
      </c>
      <c r="AE20" s="8">
        <v>100</v>
      </c>
      <c r="AF20" s="6" t="s">
        <v>357</v>
      </c>
      <c r="AG20" s="6" t="s">
        <v>283</v>
      </c>
      <c r="AH20" s="6" t="s">
        <v>354</v>
      </c>
      <c r="AI20" s="6" t="s">
        <v>286</v>
      </c>
      <c r="AJ20" s="9">
        <v>40</v>
      </c>
      <c r="AK20" s="8">
        <v>40</v>
      </c>
      <c r="AL20" s="8">
        <v>40</v>
      </c>
      <c r="AM20" s="8">
        <v>40</v>
      </c>
      <c r="AN20" s="8">
        <v>40</v>
      </c>
      <c r="AO20" s="13">
        <v>40</v>
      </c>
      <c r="AP20" s="5"/>
    </row>
    <row r="21" spans="1:42">
      <c r="A21" s="12">
        <v>20</v>
      </c>
      <c r="B21" s="6" t="s">
        <v>358</v>
      </c>
      <c r="C21" s="6" t="s">
        <v>1670</v>
      </c>
      <c r="D21" s="6" t="s">
        <v>323</v>
      </c>
      <c r="E21" s="6" t="s">
        <v>86</v>
      </c>
      <c r="F21" s="7">
        <v>44850</v>
      </c>
      <c r="G21" s="6" t="s">
        <v>288</v>
      </c>
      <c r="H21" s="6" t="s">
        <v>359</v>
      </c>
      <c r="I21" s="6" t="s">
        <v>360</v>
      </c>
      <c r="J21" s="6" t="s">
        <v>90</v>
      </c>
      <c r="K21" s="6" t="s">
        <v>91</v>
      </c>
      <c r="L21" s="6" t="s">
        <v>92</v>
      </c>
      <c r="M21" s="6" t="s">
        <v>90</v>
      </c>
      <c r="N21" s="6" t="s">
        <v>103</v>
      </c>
      <c r="O21" s="6" t="s">
        <v>104</v>
      </c>
      <c r="P21" s="6" t="s">
        <v>103</v>
      </c>
      <c r="Q21" s="6" t="s">
        <v>104</v>
      </c>
      <c r="R21" s="6" t="s">
        <v>1643</v>
      </c>
      <c r="S21" s="6" t="s">
        <v>94</v>
      </c>
      <c r="T21" s="6" t="s">
        <v>94</v>
      </c>
      <c r="U21" s="6" t="s">
        <v>94</v>
      </c>
      <c r="V21" s="6" t="s">
        <v>94</v>
      </c>
      <c r="W21" s="6" t="s">
        <v>291</v>
      </c>
      <c r="X21" s="6" t="s">
        <v>1643</v>
      </c>
      <c r="Y21" s="6" t="s">
        <v>1643</v>
      </c>
      <c r="Z21" s="6" t="s">
        <v>1643</v>
      </c>
      <c r="AA21" s="8">
        <v>1</v>
      </c>
      <c r="AB21" s="8">
        <v>1</v>
      </c>
      <c r="AC21" s="8">
        <v>1</v>
      </c>
      <c r="AD21" s="8">
        <v>1</v>
      </c>
      <c r="AE21" s="8">
        <v>100</v>
      </c>
      <c r="AF21" s="6" t="s">
        <v>334</v>
      </c>
      <c r="AG21" s="6" t="s">
        <v>335</v>
      </c>
      <c r="AH21" s="6" t="s">
        <v>339</v>
      </c>
      <c r="AI21" s="6" t="s">
        <v>286</v>
      </c>
      <c r="AJ21" s="9">
        <v>40</v>
      </c>
      <c r="AK21" s="8">
        <v>40</v>
      </c>
      <c r="AL21" s="8">
        <v>40</v>
      </c>
      <c r="AM21" s="8">
        <v>40</v>
      </c>
      <c r="AN21" s="8">
        <v>40</v>
      </c>
      <c r="AO21" s="13">
        <v>40</v>
      </c>
      <c r="AP21" s="5"/>
    </row>
    <row r="22" spans="1:42">
      <c r="A22" s="12">
        <v>21</v>
      </c>
      <c r="B22" s="6" t="s">
        <v>361</v>
      </c>
      <c r="C22" s="6" t="s">
        <v>1671</v>
      </c>
      <c r="D22" s="6" t="s">
        <v>341</v>
      </c>
      <c r="E22" s="6" t="s">
        <v>86</v>
      </c>
      <c r="F22" s="7">
        <v>45642</v>
      </c>
      <c r="G22" s="6" t="s">
        <v>362</v>
      </c>
      <c r="H22" s="6" t="s">
        <v>94</v>
      </c>
      <c r="I22" s="6" t="s">
        <v>363</v>
      </c>
      <c r="J22" s="6" t="s">
        <v>90</v>
      </c>
      <c r="K22" s="6" t="s">
        <v>91</v>
      </c>
      <c r="L22" s="6" t="s">
        <v>92</v>
      </c>
      <c r="M22" s="6" t="s">
        <v>90</v>
      </c>
      <c r="N22" s="6" t="s">
        <v>364</v>
      </c>
      <c r="O22" s="6" t="s">
        <v>104</v>
      </c>
      <c r="P22" s="6" t="s">
        <v>364</v>
      </c>
      <c r="Q22" s="6" t="s">
        <v>95</v>
      </c>
      <c r="R22" s="6" t="s">
        <v>1643</v>
      </c>
      <c r="S22" s="6" t="s">
        <v>94</v>
      </c>
      <c r="T22" s="6" t="s">
        <v>94</v>
      </c>
      <c r="U22" s="6" t="s">
        <v>94</v>
      </c>
      <c r="V22" s="6" t="s">
        <v>94</v>
      </c>
      <c r="W22" s="6" t="s">
        <v>365</v>
      </c>
      <c r="X22" s="6" t="s">
        <v>1643</v>
      </c>
      <c r="Y22" s="6" t="s">
        <v>1643</v>
      </c>
      <c r="Z22" s="6" t="s">
        <v>1643</v>
      </c>
      <c r="AA22" s="8">
        <v>1</v>
      </c>
      <c r="AB22" s="8">
        <v>1</v>
      </c>
      <c r="AC22" s="8">
        <v>1</v>
      </c>
      <c r="AD22" s="8">
        <v>1</v>
      </c>
      <c r="AE22" s="8">
        <v>0</v>
      </c>
      <c r="AF22" s="6" t="s">
        <v>326</v>
      </c>
      <c r="AG22" s="6" t="s">
        <v>283</v>
      </c>
      <c r="AH22" s="6" t="s">
        <v>323</v>
      </c>
      <c r="AI22" s="6" t="s">
        <v>286</v>
      </c>
      <c r="AJ22" s="9">
        <v>40</v>
      </c>
      <c r="AK22" s="8">
        <v>40</v>
      </c>
      <c r="AL22" s="8">
        <v>40</v>
      </c>
      <c r="AM22" s="8">
        <v>40</v>
      </c>
      <c r="AN22" s="8">
        <v>40</v>
      </c>
      <c r="AO22" s="13">
        <v>40</v>
      </c>
      <c r="AP22" s="5"/>
    </row>
    <row r="23" spans="1:42">
      <c r="A23" s="12">
        <v>22</v>
      </c>
      <c r="B23" s="6" t="s">
        <v>366</v>
      </c>
      <c r="C23" s="6" t="s">
        <v>1672</v>
      </c>
      <c r="D23" s="6" t="s">
        <v>323</v>
      </c>
      <c r="E23" s="6" t="s">
        <v>86</v>
      </c>
      <c r="F23" s="7">
        <v>44568</v>
      </c>
      <c r="G23" s="6" t="s">
        <v>111</v>
      </c>
      <c r="H23" s="6" t="s">
        <v>311</v>
      </c>
      <c r="I23" s="6" t="s">
        <v>367</v>
      </c>
      <c r="J23" s="6" t="s">
        <v>90</v>
      </c>
      <c r="K23" s="6" t="s">
        <v>91</v>
      </c>
      <c r="L23" s="6" t="s">
        <v>92</v>
      </c>
      <c r="M23" s="6" t="s">
        <v>90</v>
      </c>
      <c r="N23" s="6" t="s">
        <v>117</v>
      </c>
      <c r="O23" s="6" t="s">
        <v>94</v>
      </c>
      <c r="P23" s="6" t="s">
        <v>117</v>
      </c>
      <c r="Q23" s="6" t="s">
        <v>95</v>
      </c>
      <c r="R23" s="6" t="s">
        <v>1643</v>
      </c>
      <c r="S23" s="6" t="s">
        <v>94</v>
      </c>
      <c r="T23" s="6" t="s">
        <v>94</v>
      </c>
      <c r="U23" s="6" t="s">
        <v>94</v>
      </c>
      <c r="V23" s="6" t="s">
        <v>94</v>
      </c>
      <c r="W23" s="6" t="s">
        <v>281</v>
      </c>
      <c r="X23" s="6" t="s">
        <v>1652</v>
      </c>
      <c r="Y23" s="6" t="s">
        <v>1652</v>
      </c>
      <c r="Z23" s="6" t="s">
        <v>1652</v>
      </c>
      <c r="AA23" s="8">
        <v>0.48</v>
      </c>
      <c r="AB23" s="8">
        <v>0</v>
      </c>
      <c r="AC23" s="8">
        <v>0</v>
      </c>
      <c r="AD23" s="8">
        <v>0</v>
      </c>
      <c r="AE23" s="8">
        <v>47.619047619999996</v>
      </c>
      <c r="AF23" s="6" t="s">
        <v>282</v>
      </c>
      <c r="AG23" s="6" t="s">
        <v>283</v>
      </c>
      <c r="AH23" s="6" t="s">
        <v>341</v>
      </c>
      <c r="AI23" s="6" t="s">
        <v>286</v>
      </c>
      <c r="AJ23" s="9">
        <v>0</v>
      </c>
      <c r="AK23" s="8">
        <v>0</v>
      </c>
      <c r="AL23" s="8">
        <v>0</v>
      </c>
      <c r="AM23" s="8">
        <v>0</v>
      </c>
      <c r="AN23" s="8">
        <v>0</v>
      </c>
      <c r="AO23" s="13">
        <v>0</v>
      </c>
      <c r="AP23" s="5"/>
    </row>
    <row r="24" spans="1:42">
      <c r="A24" s="12">
        <v>23</v>
      </c>
      <c r="B24" s="6" t="s">
        <v>368</v>
      </c>
      <c r="C24" s="6" t="s">
        <v>1673</v>
      </c>
      <c r="D24" s="6" t="s">
        <v>305</v>
      </c>
      <c r="E24" s="6" t="s">
        <v>86</v>
      </c>
      <c r="F24" s="7">
        <v>46113</v>
      </c>
      <c r="G24" s="6" t="s">
        <v>155</v>
      </c>
      <c r="H24" s="6" t="s">
        <v>94</v>
      </c>
      <c r="I24" s="6" t="s">
        <v>162</v>
      </c>
      <c r="J24" s="6" t="s">
        <v>90</v>
      </c>
      <c r="K24" s="6" t="s">
        <v>91</v>
      </c>
      <c r="L24" s="6" t="s">
        <v>92</v>
      </c>
      <c r="M24" s="6" t="s">
        <v>90</v>
      </c>
      <c r="N24" s="6" t="s">
        <v>27</v>
      </c>
      <c r="O24" s="6" t="s">
        <v>104</v>
      </c>
      <c r="P24" s="6" t="s">
        <v>93</v>
      </c>
      <c r="Q24" s="6" t="s">
        <v>104</v>
      </c>
      <c r="R24" s="6" t="s">
        <v>1643</v>
      </c>
      <c r="S24" s="6" t="s">
        <v>1669</v>
      </c>
      <c r="T24" s="6" t="s">
        <v>94</v>
      </c>
      <c r="U24" s="6" t="s">
        <v>94</v>
      </c>
      <c r="V24" s="6" t="s">
        <v>94</v>
      </c>
      <c r="W24" s="6" t="s">
        <v>369</v>
      </c>
      <c r="X24" s="6" t="s">
        <v>1643</v>
      </c>
      <c r="Y24" s="6" t="s">
        <v>1643</v>
      </c>
      <c r="Z24" s="6" t="s">
        <v>1643</v>
      </c>
      <c r="AA24" s="8">
        <v>1</v>
      </c>
      <c r="AB24" s="8">
        <v>1</v>
      </c>
      <c r="AC24" s="8">
        <v>1</v>
      </c>
      <c r="AD24" s="8">
        <v>1</v>
      </c>
      <c r="AE24" s="8">
        <v>0</v>
      </c>
      <c r="AF24" s="6" t="s">
        <v>326</v>
      </c>
      <c r="AG24" s="6" t="s">
        <v>283</v>
      </c>
      <c r="AH24" s="6" t="s">
        <v>323</v>
      </c>
      <c r="AI24" s="6" t="s">
        <v>286</v>
      </c>
      <c r="AJ24" s="9">
        <v>40</v>
      </c>
      <c r="AK24" s="8">
        <v>40</v>
      </c>
      <c r="AL24" s="8">
        <v>40</v>
      </c>
      <c r="AM24" s="8">
        <v>40</v>
      </c>
      <c r="AN24" s="8">
        <v>40</v>
      </c>
      <c r="AO24" s="13">
        <v>40</v>
      </c>
      <c r="AP24" s="5"/>
    </row>
    <row r="25" spans="1:42">
      <c r="A25" s="12">
        <v>24</v>
      </c>
      <c r="B25" s="6" t="s">
        <v>370</v>
      </c>
      <c r="C25" s="6" t="s">
        <v>1674</v>
      </c>
      <c r="D25" s="6" t="s">
        <v>373</v>
      </c>
      <c r="E25" s="6" t="s">
        <v>86</v>
      </c>
      <c r="F25" s="7">
        <v>44621</v>
      </c>
      <c r="G25" s="6" t="s">
        <v>111</v>
      </c>
      <c r="H25" s="6" t="s">
        <v>371</v>
      </c>
      <c r="I25" s="6" t="s">
        <v>372</v>
      </c>
      <c r="J25" s="6" t="s">
        <v>90</v>
      </c>
      <c r="K25" s="6" t="s">
        <v>91</v>
      </c>
      <c r="L25" s="6" t="s">
        <v>92</v>
      </c>
      <c r="M25" s="6" t="s">
        <v>90</v>
      </c>
      <c r="N25" s="6" t="s">
        <v>184</v>
      </c>
      <c r="O25" s="6" t="s">
        <v>94</v>
      </c>
      <c r="P25" s="6" t="s">
        <v>184</v>
      </c>
      <c r="Q25" s="6" t="s">
        <v>95</v>
      </c>
      <c r="R25" s="6" t="s">
        <v>1643</v>
      </c>
      <c r="S25" s="6" t="s">
        <v>94</v>
      </c>
      <c r="T25" s="6" t="s">
        <v>94</v>
      </c>
      <c r="U25" s="6" t="s">
        <v>94</v>
      </c>
      <c r="V25" s="6" t="s">
        <v>94</v>
      </c>
      <c r="W25" s="6" t="s">
        <v>281</v>
      </c>
      <c r="X25" s="6" t="s">
        <v>1643</v>
      </c>
      <c r="Y25" s="6" t="s">
        <v>1643</v>
      </c>
      <c r="Z25" s="6" t="s">
        <v>1643</v>
      </c>
      <c r="AA25" s="8">
        <v>1</v>
      </c>
      <c r="AB25" s="8">
        <v>1</v>
      </c>
      <c r="AC25" s="8">
        <v>1</v>
      </c>
      <c r="AD25" s="8">
        <v>1</v>
      </c>
      <c r="AE25" s="8">
        <v>100</v>
      </c>
      <c r="AF25" s="6" t="s">
        <v>308</v>
      </c>
      <c r="AG25" s="6" t="s">
        <v>283</v>
      </c>
      <c r="AH25" s="6" t="s">
        <v>305</v>
      </c>
      <c r="AI25" s="6" t="s">
        <v>286</v>
      </c>
      <c r="AJ25" s="9">
        <v>40</v>
      </c>
      <c r="AK25" s="8">
        <v>40</v>
      </c>
      <c r="AL25" s="8">
        <v>40</v>
      </c>
      <c r="AM25" s="8">
        <v>40</v>
      </c>
      <c r="AN25" s="8">
        <v>40</v>
      </c>
      <c r="AO25" s="13">
        <v>40</v>
      </c>
      <c r="AP25" s="5"/>
    </row>
    <row r="26" spans="1:42">
      <c r="A26" s="12">
        <v>25</v>
      </c>
      <c r="B26" s="6" t="s">
        <v>374</v>
      </c>
      <c r="C26" s="6" t="s">
        <v>1675</v>
      </c>
      <c r="D26" s="6" t="s">
        <v>285</v>
      </c>
      <c r="E26" s="6" t="s">
        <v>86</v>
      </c>
      <c r="F26" s="7">
        <v>46014</v>
      </c>
      <c r="G26" s="6" t="s">
        <v>111</v>
      </c>
      <c r="H26" s="6" t="s">
        <v>94</v>
      </c>
      <c r="I26" s="6" t="s">
        <v>375</v>
      </c>
      <c r="J26" s="6" t="s">
        <v>90</v>
      </c>
      <c r="K26" s="6" t="s">
        <v>91</v>
      </c>
      <c r="L26" s="6" t="s">
        <v>92</v>
      </c>
      <c r="M26" s="6" t="s">
        <v>90</v>
      </c>
      <c r="N26" s="6" t="s">
        <v>131</v>
      </c>
      <c r="O26" s="6" t="s">
        <v>95</v>
      </c>
      <c r="P26" s="6" t="s">
        <v>131</v>
      </c>
      <c r="Q26" s="6" t="s">
        <v>122</v>
      </c>
      <c r="R26" s="6" t="s">
        <v>1643</v>
      </c>
      <c r="S26" s="6" t="s">
        <v>1676</v>
      </c>
      <c r="T26" s="6" t="s">
        <v>94</v>
      </c>
      <c r="U26" s="6" t="s">
        <v>94</v>
      </c>
      <c r="V26" s="6" t="s">
        <v>94</v>
      </c>
      <c r="W26" s="6" t="s">
        <v>281</v>
      </c>
      <c r="X26" s="6" t="s">
        <v>1643</v>
      </c>
      <c r="Y26" s="6" t="s">
        <v>1643</v>
      </c>
      <c r="Z26" s="6" t="s">
        <v>1643</v>
      </c>
      <c r="AA26" s="8">
        <v>1</v>
      </c>
      <c r="AB26" s="8">
        <v>1</v>
      </c>
      <c r="AC26" s="8">
        <v>1</v>
      </c>
      <c r="AD26" s="8">
        <v>1</v>
      </c>
      <c r="AE26" s="8">
        <v>100</v>
      </c>
      <c r="AF26" s="6" t="s">
        <v>334</v>
      </c>
      <c r="AG26" s="6" t="s">
        <v>335</v>
      </c>
      <c r="AH26" s="6" t="s">
        <v>373</v>
      </c>
      <c r="AI26" s="6" t="s">
        <v>286</v>
      </c>
      <c r="AJ26" s="9">
        <v>40</v>
      </c>
      <c r="AK26" s="8">
        <v>40</v>
      </c>
      <c r="AL26" s="8">
        <v>40</v>
      </c>
      <c r="AM26" s="8">
        <v>40</v>
      </c>
      <c r="AN26" s="8">
        <v>40</v>
      </c>
      <c r="AO26" s="13">
        <v>40</v>
      </c>
      <c r="AP26" s="5"/>
    </row>
    <row r="27" spans="1:42">
      <c r="A27" s="12">
        <v>26</v>
      </c>
      <c r="B27" s="6" t="s">
        <v>376</v>
      </c>
      <c r="C27" s="6" t="s">
        <v>1677</v>
      </c>
      <c r="D27" s="6" t="s">
        <v>378</v>
      </c>
      <c r="E27" s="6" t="s">
        <v>86</v>
      </c>
      <c r="F27" s="7">
        <v>43974</v>
      </c>
      <c r="G27" s="6" t="s">
        <v>111</v>
      </c>
      <c r="H27" s="6" t="s">
        <v>344</v>
      </c>
      <c r="I27" s="6" t="s">
        <v>377</v>
      </c>
      <c r="J27" s="6" t="s">
        <v>90</v>
      </c>
      <c r="K27" s="6" t="s">
        <v>91</v>
      </c>
      <c r="L27" s="6" t="s">
        <v>92</v>
      </c>
      <c r="M27" s="6" t="s">
        <v>90</v>
      </c>
      <c r="N27" s="6" t="s">
        <v>131</v>
      </c>
      <c r="O27" s="6" t="s">
        <v>95</v>
      </c>
      <c r="P27" s="6" t="s">
        <v>131</v>
      </c>
      <c r="Q27" s="6" t="s">
        <v>122</v>
      </c>
      <c r="R27" s="6" t="s">
        <v>1643</v>
      </c>
      <c r="S27" s="6" t="s">
        <v>94</v>
      </c>
      <c r="T27" s="6" t="s">
        <v>94</v>
      </c>
      <c r="U27" s="6" t="s">
        <v>94</v>
      </c>
      <c r="V27" s="6" t="s">
        <v>94</v>
      </c>
      <c r="W27" s="6" t="s">
        <v>281</v>
      </c>
      <c r="X27" s="6" t="s">
        <v>1643</v>
      </c>
      <c r="Y27" s="6" t="s">
        <v>1643</v>
      </c>
      <c r="Z27" s="6" t="s">
        <v>1643</v>
      </c>
      <c r="AA27" s="8">
        <v>1</v>
      </c>
      <c r="AB27" s="8">
        <v>1</v>
      </c>
      <c r="AC27" s="8">
        <v>1</v>
      </c>
      <c r="AD27" s="8">
        <v>1</v>
      </c>
      <c r="AE27" s="8">
        <v>100</v>
      </c>
      <c r="AF27" s="6" t="s">
        <v>282</v>
      </c>
      <c r="AG27" s="6" t="s">
        <v>283</v>
      </c>
      <c r="AH27" s="6" t="s">
        <v>285</v>
      </c>
      <c r="AI27" s="6" t="s">
        <v>286</v>
      </c>
      <c r="AJ27" s="9">
        <v>40</v>
      </c>
      <c r="AK27" s="8">
        <v>40</v>
      </c>
      <c r="AL27" s="8">
        <v>40</v>
      </c>
      <c r="AM27" s="8">
        <v>40</v>
      </c>
      <c r="AN27" s="8">
        <v>40</v>
      </c>
      <c r="AO27" s="13">
        <v>40</v>
      </c>
      <c r="AP27" s="5"/>
    </row>
    <row r="28" spans="1:42">
      <c r="A28" s="12">
        <v>27</v>
      </c>
      <c r="B28" s="6" t="s">
        <v>379</v>
      </c>
      <c r="C28" s="6" t="s">
        <v>1678</v>
      </c>
      <c r="D28" s="6" t="s">
        <v>382</v>
      </c>
      <c r="E28" s="6" t="s">
        <v>86</v>
      </c>
      <c r="F28" s="7">
        <v>45123</v>
      </c>
      <c r="G28" s="6" t="s">
        <v>111</v>
      </c>
      <c r="H28" s="6" t="s">
        <v>146</v>
      </c>
      <c r="I28" s="6" t="s">
        <v>380</v>
      </c>
      <c r="J28" s="6" t="s">
        <v>90</v>
      </c>
      <c r="K28" s="6" t="s">
        <v>91</v>
      </c>
      <c r="L28" s="6" t="s">
        <v>92</v>
      </c>
      <c r="M28" s="6" t="s">
        <v>90</v>
      </c>
      <c r="N28" s="6" t="s">
        <v>131</v>
      </c>
      <c r="O28" s="6" t="s">
        <v>95</v>
      </c>
      <c r="P28" s="6" t="s">
        <v>131</v>
      </c>
      <c r="Q28" s="6" t="s">
        <v>104</v>
      </c>
      <c r="R28" s="6" t="s">
        <v>1643</v>
      </c>
      <c r="S28" s="6" t="s">
        <v>94</v>
      </c>
      <c r="T28" s="6" t="s">
        <v>94</v>
      </c>
      <c r="U28" s="6" t="s">
        <v>94</v>
      </c>
      <c r="V28" s="6" t="s">
        <v>94</v>
      </c>
      <c r="W28" s="6" t="s">
        <v>281</v>
      </c>
      <c r="X28" s="6" t="s">
        <v>1643</v>
      </c>
      <c r="Y28" s="6" t="s">
        <v>1643</v>
      </c>
      <c r="Z28" s="6" t="s">
        <v>1643</v>
      </c>
      <c r="AA28" s="8">
        <v>1</v>
      </c>
      <c r="AB28" s="8">
        <v>1</v>
      </c>
      <c r="AC28" s="8">
        <v>1</v>
      </c>
      <c r="AD28" s="8">
        <v>1</v>
      </c>
      <c r="AE28" s="8">
        <v>100</v>
      </c>
      <c r="AF28" s="6" t="s">
        <v>381</v>
      </c>
      <c r="AG28" s="6" t="s">
        <v>283</v>
      </c>
      <c r="AH28" s="6" t="s">
        <v>378</v>
      </c>
      <c r="AI28" s="6" t="s">
        <v>286</v>
      </c>
      <c r="AJ28" s="9">
        <v>40</v>
      </c>
      <c r="AK28" s="8">
        <v>40</v>
      </c>
      <c r="AL28" s="8">
        <v>40</v>
      </c>
      <c r="AM28" s="8">
        <v>40</v>
      </c>
      <c r="AN28" s="8">
        <v>40</v>
      </c>
      <c r="AO28" s="13">
        <v>40</v>
      </c>
      <c r="AP28" s="5"/>
    </row>
    <row r="29" spans="1:42">
      <c r="A29" s="12">
        <v>28</v>
      </c>
      <c r="B29" s="6" t="s">
        <v>383</v>
      </c>
      <c r="C29" s="6" t="s">
        <v>1679</v>
      </c>
      <c r="D29" s="6" t="s">
        <v>387</v>
      </c>
      <c r="E29" s="6" t="s">
        <v>86</v>
      </c>
      <c r="F29" s="7">
        <v>45496</v>
      </c>
      <c r="G29" s="6" t="s">
        <v>125</v>
      </c>
      <c r="H29" s="6" t="s">
        <v>94</v>
      </c>
      <c r="I29" s="6" t="s">
        <v>384</v>
      </c>
      <c r="J29" s="6" t="s">
        <v>213</v>
      </c>
      <c r="K29" s="6" t="s">
        <v>91</v>
      </c>
      <c r="L29" s="6" t="s">
        <v>92</v>
      </c>
      <c r="M29" s="6" t="s">
        <v>213</v>
      </c>
      <c r="N29" s="6" t="s">
        <v>313</v>
      </c>
      <c r="O29" s="6" t="s">
        <v>94</v>
      </c>
      <c r="P29" s="6" t="s">
        <v>313</v>
      </c>
      <c r="Q29" s="6" t="s">
        <v>95</v>
      </c>
      <c r="R29" s="6" t="s">
        <v>1643</v>
      </c>
      <c r="S29" s="6" t="s">
        <v>94</v>
      </c>
      <c r="T29" s="6" t="s">
        <v>94</v>
      </c>
      <c r="U29" s="6" t="s">
        <v>94</v>
      </c>
      <c r="V29" s="6" t="s">
        <v>94</v>
      </c>
      <c r="W29" s="6" t="s">
        <v>353</v>
      </c>
      <c r="X29" s="6" t="s">
        <v>1643</v>
      </c>
      <c r="Y29" s="6" t="s">
        <v>1643</v>
      </c>
      <c r="Z29" s="6" t="s">
        <v>1643</v>
      </c>
      <c r="AA29" s="8">
        <v>1</v>
      </c>
      <c r="AB29" s="8">
        <v>1</v>
      </c>
      <c r="AC29" s="8">
        <v>1</v>
      </c>
      <c r="AD29" s="8">
        <v>0.7</v>
      </c>
      <c r="AE29" s="8">
        <v>100</v>
      </c>
      <c r="AF29" s="6" t="s">
        <v>385</v>
      </c>
      <c r="AG29" s="6" t="s">
        <v>386</v>
      </c>
      <c r="AH29" s="6" t="s">
        <v>382</v>
      </c>
      <c r="AI29" s="6" t="s">
        <v>286</v>
      </c>
      <c r="AJ29" s="9">
        <v>40</v>
      </c>
      <c r="AK29" s="8">
        <v>40</v>
      </c>
      <c r="AL29" s="8">
        <v>40</v>
      </c>
      <c r="AM29" s="8">
        <v>40</v>
      </c>
      <c r="AN29" s="8">
        <v>40</v>
      </c>
      <c r="AO29" s="13">
        <v>40</v>
      </c>
      <c r="AP29" s="5"/>
    </row>
    <row r="30" spans="1:42">
      <c r="A30" s="12">
        <v>29</v>
      </c>
      <c r="B30" s="6" t="s">
        <v>388</v>
      </c>
      <c r="C30" s="6" t="s">
        <v>1680</v>
      </c>
      <c r="D30" s="6" t="s">
        <v>392</v>
      </c>
      <c r="E30" s="6" t="s">
        <v>86</v>
      </c>
      <c r="F30" s="7">
        <v>44005</v>
      </c>
      <c r="G30" s="6" t="s">
        <v>204</v>
      </c>
      <c r="H30" s="6" t="s">
        <v>389</v>
      </c>
      <c r="I30" s="6" t="s">
        <v>390</v>
      </c>
      <c r="J30" s="6" t="s">
        <v>90</v>
      </c>
      <c r="K30" s="6" t="s">
        <v>91</v>
      </c>
      <c r="L30" s="6" t="s">
        <v>92</v>
      </c>
      <c r="M30" s="6" t="s">
        <v>90</v>
      </c>
      <c r="N30" s="6" t="s">
        <v>43</v>
      </c>
      <c r="O30" s="6" t="s">
        <v>122</v>
      </c>
      <c r="P30" s="6" t="s">
        <v>43</v>
      </c>
      <c r="Q30" s="6" t="s">
        <v>95</v>
      </c>
      <c r="R30" s="6" t="s">
        <v>1643</v>
      </c>
      <c r="S30" s="6" t="s">
        <v>1681</v>
      </c>
      <c r="T30" s="6" t="s">
        <v>94</v>
      </c>
      <c r="U30" s="6" t="s">
        <v>94</v>
      </c>
      <c r="V30" s="6" t="s">
        <v>94</v>
      </c>
      <c r="W30" s="6" t="s">
        <v>321</v>
      </c>
      <c r="X30" s="6" t="s">
        <v>1652</v>
      </c>
      <c r="Y30" s="6" t="s">
        <v>1652</v>
      </c>
      <c r="Z30" s="6" t="s">
        <v>1652</v>
      </c>
      <c r="AA30" s="8">
        <v>0.81</v>
      </c>
      <c r="AB30" s="8">
        <v>0</v>
      </c>
      <c r="AC30" s="8">
        <v>0</v>
      </c>
      <c r="AD30" s="8">
        <v>0</v>
      </c>
      <c r="AE30" s="8">
        <v>85.714285709999999</v>
      </c>
      <c r="AF30" s="6" t="s">
        <v>391</v>
      </c>
      <c r="AG30" s="6" t="s">
        <v>386</v>
      </c>
      <c r="AH30" s="6" t="s">
        <v>387</v>
      </c>
      <c r="AI30" s="6" t="s">
        <v>286</v>
      </c>
      <c r="AJ30" s="9">
        <v>40</v>
      </c>
      <c r="AK30" s="8">
        <v>16</v>
      </c>
      <c r="AL30" s="8">
        <v>0</v>
      </c>
      <c r="AM30" s="8">
        <v>0</v>
      </c>
      <c r="AN30" s="8">
        <v>0</v>
      </c>
      <c r="AO30" s="13">
        <v>0</v>
      </c>
      <c r="AP30" s="5"/>
    </row>
    <row r="31" spans="1:42">
      <c r="A31" s="12">
        <v>30</v>
      </c>
      <c r="B31" s="6" t="s">
        <v>393</v>
      </c>
      <c r="C31" s="6" t="s">
        <v>1682</v>
      </c>
      <c r="D31" s="6" t="s">
        <v>396</v>
      </c>
      <c r="E31" s="6" t="s">
        <v>86</v>
      </c>
      <c r="F31" s="7">
        <v>45246</v>
      </c>
      <c r="G31" s="6" t="s">
        <v>204</v>
      </c>
      <c r="H31" s="6" t="s">
        <v>311</v>
      </c>
      <c r="I31" s="6" t="s">
        <v>394</v>
      </c>
      <c r="J31" s="6" t="s">
        <v>90</v>
      </c>
      <c r="K31" s="6" t="s">
        <v>91</v>
      </c>
      <c r="L31" s="6" t="s">
        <v>92</v>
      </c>
      <c r="M31" s="6" t="s">
        <v>90</v>
      </c>
      <c r="N31" s="6" t="s">
        <v>43</v>
      </c>
      <c r="O31" s="6" t="s">
        <v>122</v>
      </c>
      <c r="P31" s="6" t="s">
        <v>395</v>
      </c>
      <c r="Q31" s="6" t="s">
        <v>95</v>
      </c>
      <c r="R31" s="6" t="s">
        <v>1643</v>
      </c>
      <c r="S31" s="6" t="s">
        <v>94</v>
      </c>
      <c r="T31" s="6" t="s">
        <v>94</v>
      </c>
      <c r="U31" s="6" t="s">
        <v>94</v>
      </c>
      <c r="V31" s="6" t="s">
        <v>94</v>
      </c>
      <c r="W31" s="6" t="s">
        <v>321</v>
      </c>
      <c r="X31" s="6" t="s">
        <v>1643</v>
      </c>
      <c r="Y31" s="6" t="s">
        <v>1643</v>
      </c>
      <c r="Z31" s="6" t="s">
        <v>1652</v>
      </c>
      <c r="AA31" s="8">
        <v>1</v>
      </c>
      <c r="AB31" s="8">
        <v>1</v>
      </c>
      <c r="AC31" s="8">
        <v>1</v>
      </c>
      <c r="AD31" s="8">
        <v>0</v>
      </c>
      <c r="AE31" s="8">
        <v>100</v>
      </c>
      <c r="AF31" s="6" t="s">
        <v>282</v>
      </c>
      <c r="AG31" s="6" t="s">
        <v>283</v>
      </c>
      <c r="AH31" s="6" t="s">
        <v>392</v>
      </c>
      <c r="AI31" s="6" t="s">
        <v>286</v>
      </c>
      <c r="AJ31" s="9">
        <v>40</v>
      </c>
      <c r="AK31" s="8">
        <v>40</v>
      </c>
      <c r="AL31" s="8">
        <v>40</v>
      </c>
      <c r="AM31" s="8">
        <v>40</v>
      </c>
      <c r="AN31" s="8">
        <v>40</v>
      </c>
      <c r="AO31" s="13">
        <v>40</v>
      </c>
      <c r="AP31" s="5"/>
    </row>
    <row r="32" spans="1:42">
      <c r="A32" s="12">
        <v>31</v>
      </c>
      <c r="B32" s="6" t="s">
        <v>397</v>
      </c>
      <c r="C32" s="6" t="s">
        <v>1683</v>
      </c>
      <c r="D32" s="6" t="s">
        <v>318</v>
      </c>
      <c r="E32" s="6" t="s">
        <v>86</v>
      </c>
      <c r="F32" s="7">
        <v>44485</v>
      </c>
      <c r="G32" s="6" t="s">
        <v>4</v>
      </c>
      <c r="H32" s="6" t="s">
        <v>120</v>
      </c>
      <c r="I32" s="6" t="s">
        <v>398</v>
      </c>
      <c r="J32" s="6" t="s">
        <v>90</v>
      </c>
      <c r="K32" s="6" t="s">
        <v>91</v>
      </c>
      <c r="L32" s="6" t="s">
        <v>92</v>
      </c>
      <c r="M32" s="6" t="s">
        <v>90</v>
      </c>
      <c r="N32" s="6" t="s">
        <v>93</v>
      </c>
      <c r="O32" s="6" t="s">
        <v>94</v>
      </c>
      <c r="P32" s="6" t="s">
        <v>290</v>
      </c>
      <c r="Q32" s="6" t="s">
        <v>122</v>
      </c>
      <c r="R32" s="6" t="s">
        <v>1643</v>
      </c>
      <c r="S32" s="6" t="s">
        <v>94</v>
      </c>
      <c r="T32" s="6" t="s">
        <v>94</v>
      </c>
      <c r="U32" s="6" t="s">
        <v>94</v>
      </c>
      <c r="V32" s="6" t="s">
        <v>94</v>
      </c>
      <c r="W32" s="6" t="s">
        <v>399</v>
      </c>
      <c r="X32" s="6" t="s">
        <v>1643</v>
      </c>
      <c r="Y32" s="6" t="s">
        <v>1643</v>
      </c>
      <c r="Z32" s="6" t="s">
        <v>1643</v>
      </c>
      <c r="AA32" s="8">
        <v>0.78</v>
      </c>
      <c r="AB32" s="8">
        <v>0.78</v>
      </c>
      <c r="AC32" s="8">
        <v>0.75</v>
      </c>
      <c r="AD32" s="8">
        <v>0.75</v>
      </c>
      <c r="AE32" s="8">
        <v>78.125</v>
      </c>
      <c r="AF32" s="6" t="s">
        <v>282</v>
      </c>
      <c r="AG32" s="6" t="s">
        <v>283</v>
      </c>
      <c r="AH32" s="6" t="s">
        <v>396</v>
      </c>
      <c r="AI32" s="6" t="s">
        <v>286</v>
      </c>
      <c r="AJ32" s="9">
        <v>31.25</v>
      </c>
      <c r="AK32" s="8">
        <v>31.25</v>
      </c>
      <c r="AL32" s="8">
        <v>31.25</v>
      </c>
      <c r="AM32" s="8">
        <v>31.25</v>
      </c>
      <c r="AN32" s="8">
        <v>31.25</v>
      </c>
      <c r="AO32" s="13">
        <v>31.25</v>
      </c>
      <c r="AP32" s="5"/>
    </row>
    <row r="33" spans="1:42">
      <c r="A33" s="12">
        <v>32</v>
      </c>
      <c r="B33" s="6" t="s">
        <v>400</v>
      </c>
      <c r="C33" s="6" t="s">
        <v>1684</v>
      </c>
      <c r="D33" s="6" t="s">
        <v>305</v>
      </c>
      <c r="E33" s="6" t="s">
        <v>86</v>
      </c>
      <c r="F33" s="7">
        <v>45992</v>
      </c>
      <c r="G33" s="6" t="s">
        <v>337</v>
      </c>
      <c r="H33" s="6" t="s">
        <v>94</v>
      </c>
      <c r="I33" s="6" t="s">
        <v>333</v>
      </c>
      <c r="J33" s="6" t="s">
        <v>90</v>
      </c>
      <c r="K33" s="6" t="s">
        <v>91</v>
      </c>
      <c r="L33" s="6" t="s">
        <v>92</v>
      </c>
      <c r="M33" s="6" t="s">
        <v>90</v>
      </c>
      <c r="N33" s="6" t="s">
        <v>103</v>
      </c>
      <c r="O33" s="6" t="s">
        <v>104</v>
      </c>
      <c r="P33" s="6" t="s">
        <v>131</v>
      </c>
      <c r="Q33" s="6" t="s">
        <v>104</v>
      </c>
      <c r="R33" s="6" t="s">
        <v>1643</v>
      </c>
      <c r="S33" s="6" t="s">
        <v>94</v>
      </c>
      <c r="T33" s="6" t="s">
        <v>94</v>
      </c>
      <c r="U33" s="6" t="s">
        <v>94</v>
      </c>
      <c r="V33" s="6" t="s">
        <v>94</v>
      </c>
      <c r="W33" s="6" t="s">
        <v>338</v>
      </c>
      <c r="X33" s="6" t="s">
        <v>1643</v>
      </c>
      <c r="Y33" s="6" t="s">
        <v>1643</v>
      </c>
      <c r="Z33" s="6" t="s">
        <v>1643</v>
      </c>
      <c r="AA33" s="8">
        <v>1</v>
      </c>
      <c r="AB33" s="8">
        <v>1</v>
      </c>
      <c r="AC33" s="8">
        <v>1</v>
      </c>
      <c r="AD33" s="8">
        <v>1</v>
      </c>
      <c r="AE33" s="8">
        <v>100</v>
      </c>
      <c r="AF33" s="6" t="s">
        <v>308</v>
      </c>
      <c r="AG33" s="6" t="s">
        <v>283</v>
      </c>
      <c r="AH33" s="6" t="s">
        <v>318</v>
      </c>
      <c r="AI33" s="6" t="s">
        <v>286</v>
      </c>
      <c r="AJ33" s="9">
        <v>40</v>
      </c>
      <c r="AK33" s="8">
        <v>40</v>
      </c>
      <c r="AL33" s="8">
        <v>40</v>
      </c>
      <c r="AM33" s="8">
        <v>40</v>
      </c>
      <c r="AN33" s="8">
        <v>40</v>
      </c>
      <c r="AO33" s="13">
        <v>40</v>
      </c>
      <c r="AP33" s="5"/>
    </row>
    <row r="34" spans="1:42">
      <c r="A34" s="12">
        <v>33</v>
      </c>
      <c r="B34" s="6" t="s">
        <v>401</v>
      </c>
      <c r="C34" s="6" t="s">
        <v>1685</v>
      </c>
      <c r="D34" s="6" t="s">
        <v>341</v>
      </c>
      <c r="E34" s="6" t="s">
        <v>86</v>
      </c>
      <c r="F34" s="7">
        <v>44697</v>
      </c>
      <c r="G34" s="6" t="s">
        <v>204</v>
      </c>
      <c r="H34" s="6" t="s">
        <v>187</v>
      </c>
      <c r="I34" s="6" t="s">
        <v>402</v>
      </c>
      <c r="J34" s="6" t="s">
        <v>90</v>
      </c>
      <c r="K34" s="6" t="s">
        <v>91</v>
      </c>
      <c r="L34" s="6" t="s">
        <v>92</v>
      </c>
      <c r="M34" s="6" t="s">
        <v>90</v>
      </c>
      <c r="N34" s="6" t="s">
        <v>43</v>
      </c>
      <c r="O34" s="6" t="s">
        <v>104</v>
      </c>
      <c r="P34" s="6" t="s">
        <v>43</v>
      </c>
      <c r="Q34" s="6" t="s">
        <v>95</v>
      </c>
      <c r="R34" s="6" t="s">
        <v>1643</v>
      </c>
      <c r="S34" s="6" t="s">
        <v>1686</v>
      </c>
      <c r="T34" s="6" t="s">
        <v>94</v>
      </c>
      <c r="U34" s="6" t="s">
        <v>94</v>
      </c>
      <c r="V34" s="6" t="s">
        <v>94</v>
      </c>
      <c r="W34" s="6" t="s">
        <v>403</v>
      </c>
      <c r="X34" s="6" t="s">
        <v>1643</v>
      </c>
      <c r="Y34" s="6" t="s">
        <v>1643</v>
      </c>
      <c r="Z34" s="6" t="s">
        <v>1643</v>
      </c>
      <c r="AA34" s="8">
        <v>1</v>
      </c>
      <c r="AB34" s="8">
        <v>1</v>
      </c>
      <c r="AC34" s="8">
        <v>1</v>
      </c>
      <c r="AD34" s="8">
        <v>1</v>
      </c>
      <c r="AE34" s="8">
        <v>100</v>
      </c>
      <c r="AF34" s="6" t="s">
        <v>308</v>
      </c>
      <c r="AG34" s="6" t="s">
        <v>283</v>
      </c>
      <c r="AH34" s="6" t="s">
        <v>305</v>
      </c>
      <c r="AI34" s="6" t="s">
        <v>286</v>
      </c>
      <c r="AJ34" s="9">
        <v>40</v>
      </c>
      <c r="AK34" s="8">
        <v>40</v>
      </c>
      <c r="AL34" s="8">
        <v>40</v>
      </c>
      <c r="AM34" s="8">
        <v>40</v>
      </c>
      <c r="AN34" s="8">
        <v>40</v>
      </c>
      <c r="AO34" s="13">
        <v>40</v>
      </c>
      <c r="AP34" s="5"/>
    </row>
    <row r="35" spans="1:42">
      <c r="A35" s="12">
        <v>34</v>
      </c>
      <c r="B35" s="6" t="s">
        <v>404</v>
      </c>
      <c r="C35" s="6" t="s">
        <v>1687</v>
      </c>
      <c r="D35" s="6" t="s">
        <v>348</v>
      </c>
      <c r="E35" s="6" t="s">
        <v>86</v>
      </c>
      <c r="F35" s="7">
        <v>46180</v>
      </c>
      <c r="G35" s="6" t="s">
        <v>337</v>
      </c>
      <c r="H35" s="6" t="s">
        <v>94</v>
      </c>
      <c r="I35" s="6" t="s">
        <v>94</v>
      </c>
      <c r="J35" s="6" t="s">
        <v>90</v>
      </c>
      <c r="K35" s="6" t="s">
        <v>91</v>
      </c>
      <c r="L35" s="6" t="s">
        <v>92</v>
      </c>
      <c r="M35" s="6" t="s">
        <v>90</v>
      </c>
      <c r="N35" s="6" t="s">
        <v>94</v>
      </c>
      <c r="O35" s="6" t="s">
        <v>94</v>
      </c>
      <c r="P35" s="6" t="s">
        <v>131</v>
      </c>
      <c r="Q35" s="6" t="s">
        <v>104</v>
      </c>
      <c r="R35" s="6" t="s">
        <v>1643</v>
      </c>
      <c r="S35" s="6" t="s">
        <v>94</v>
      </c>
      <c r="T35" s="6" t="s">
        <v>94</v>
      </c>
      <c r="U35" s="6" t="s">
        <v>94</v>
      </c>
      <c r="V35" s="6" t="s">
        <v>94</v>
      </c>
      <c r="W35" s="6" t="s">
        <v>338</v>
      </c>
      <c r="X35" s="6" t="s">
        <v>1643</v>
      </c>
      <c r="Y35" s="6" t="s">
        <v>1643</v>
      </c>
      <c r="Z35" s="6" t="s">
        <v>1652</v>
      </c>
      <c r="AA35" s="8">
        <v>1</v>
      </c>
      <c r="AB35" s="8">
        <v>1</v>
      </c>
      <c r="AC35" s="8">
        <v>1</v>
      </c>
      <c r="AD35" s="8">
        <v>0</v>
      </c>
      <c r="AE35" s="8">
        <v>100</v>
      </c>
      <c r="AF35" s="6" t="s">
        <v>282</v>
      </c>
      <c r="AG35" s="6" t="s">
        <v>283</v>
      </c>
      <c r="AH35" s="6" t="s">
        <v>341</v>
      </c>
      <c r="AI35" s="6" t="s">
        <v>286</v>
      </c>
      <c r="AJ35" s="9">
        <v>40</v>
      </c>
      <c r="AK35" s="8">
        <v>40</v>
      </c>
      <c r="AL35" s="8">
        <v>40</v>
      </c>
      <c r="AM35" s="8">
        <v>40</v>
      </c>
      <c r="AN35" s="8">
        <v>40</v>
      </c>
      <c r="AO35" s="13">
        <v>40</v>
      </c>
      <c r="AP35" s="5"/>
    </row>
    <row r="36" spans="1:42">
      <c r="A36" s="12">
        <v>35</v>
      </c>
      <c r="B36" s="6" t="s">
        <v>405</v>
      </c>
      <c r="C36" s="6" t="s">
        <v>1688</v>
      </c>
      <c r="D36" s="6" t="s">
        <v>373</v>
      </c>
      <c r="E36" s="6" t="s">
        <v>86</v>
      </c>
      <c r="F36" s="7">
        <v>41928</v>
      </c>
      <c r="G36" s="6" t="s">
        <v>406</v>
      </c>
      <c r="H36" s="6" t="s">
        <v>407</v>
      </c>
      <c r="I36" s="6" t="s">
        <v>408</v>
      </c>
      <c r="J36" s="6" t="s">
        <v>90</v>
      </c>
      <c r="K36" s="6" t="s">
        <v>91</v>
      </c>
      <c r="L36" s="6" t="s">
        <v>92</v>
      </c>
      <c r="M36" s="6" t="s">
        <v>90</v>
      </c>
      <c r="N36" s="6" t="s">
        <v>346</v>
      </c>
      <c r="O36" s="6" t="s">
        <v>94</v>
      </c>
      <c r="P36" s="6" t="s">
        <v>346</v>
      </c>
      <c r="Q36" s="6" t="s">
        <v>122</v>
      </c>
      <c r="R36" s="6" t="s">
        <v>1689</v>
      </c>
      <c r="S36" s="6" t="s">
        <v>1690</v>
      </c>
      <c r="T36" s="6" t="s">
        <v>94</v>
      </c>
      <c r="U36" s="6" t="s">
        <v>94</v>
      </c>
      <c r="V36" s="6" t="s">
        <v>94</v>
      </c>
      <c r="W36" s="6" t="s">
        <v>409</v>
      </c>
      <c r="X36" s="6" t="s">
        <v>1689</v>
      </c>
      <c r="Y36" s="6" t="s">
        <v>1689</v>
      </c>
      <c r="Z36" s="6" t="s">
        <v>1689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6" t="s">
        <v>351</v>
      </c>
      <c r="AG36" s="6" t="s">
        <v>283</v>
      </c>
      <c r="AH36" s="6" t="s">
        <v>348</v>
      </c>
      <c r="AI36" s="6" t="s">
        <v>286</v>
      </c>
      <c r="AJ36" s="9">
        <v>0</v>
      </c>
      <c r="AK36" s="8">
        <v>0</v>
      </c>
      <c r="AL36" s="8">
        <v>0</v>
      </c>
      <c r="AM36" s="8">
        <v>0</v>
      </c>
      <c r="AN36" s="8">
        <v>0</v>
      </c>
      <c r="AO36" s="13">
        <v>0</v>
      </c>
      <c r="AP36" s="5"/>
    </row>
    <row r="37" spans="1:42">
      <c r="A37" s="12">
        <v>36</v>
      </c>
      <c r="B37" s="6" t="s">
        <v>410</v>
      </c>
      <c r="C37" s="6" t="s">
        <v>1691</v>
      </c>
      <c r="D37" s="6" t="s">
        <v>413</v>
      </c>
      <c r="E37" s="6" t="s">
        <v>86</v>
      </c>
      <c r="F37" s="7">
        <v>45338</v>
      </c>
      <c r="G37" s="6" t="s">
        <v>288</v>
      </c>
      <c r="H37" s="6" t="s">
        <v>389</v>
      </c>
      <c r="I37" s="6" t="s">
        <v>411</v>
      </c>
      <c r="J37" s="6" t="s">
        <v>90</v>
      </c>
      <c r="K37" s="6" t="s">
        <v>91</v>
      </c>
      <c r="L37" s="6" t="s">
        <v>92</v>
      </c>
      <c r="M37" s="6" t="s">
        <v>90</v>
      </c>
      <c r="N37" s="6" t="s">
        <v>412</v>
      </c>
      <c r="O37" s="6" t="s">
        <v>104</v>
      </c>
      <c r="P37" s="6" t="s">
        <v>131</v>
      </c>
      <c r="Q37" s="6" t="s">
        <v>95</v>
      </c>
      <c r="R37" s="6" t="s">
        <v>1643</v>
      </c>
      <c r="S37" s="6" t="s">
        <v>94</v>
      </c>
      <c r="T37" s="6" t="s">
        <v>94</v>
      </c>
      <c r="U37" s="6" t="s">
        <v>94</v>
      </c>
      <c r="V37" s="6" t="s">
        <v>94</v>
      </c>
      <c r="W37" s="6" t="s">
        <v>291</v>
      </c>
      <c r="X37" s="6" t="s">
        <v>1643</v>
      </c>
      <c r="Y37" s="6" t="s">
        <v>1643</v>
      </c>
      <c r="Z37" s="6" t="s">
        <v>1643</v>
      </c>
      <c r="AA37" s="8">
        <v>1</v>
      </c>
      <c r="AB37" s="8">
        <v>1</v>
      </c>
      <c r="AC37" s="8">
        <v>1</v>
      </c>
      <c r="AD37" s="8">
        <v>1</v>
      </c>
      <c r="AE37" s="8">
        <v>100</v>
      </c>
      <c r="AF37" s="6" t="s">
        <v>334</v>
      </c>
      <c r="AG37" s="6" t="s">
        <v>335</v>
      </c>
      <c r="AH37" s="6" t="s">
        <v>373</v>
      </c>
      <c r="AI37" s="6" t="s">
        <v>286</v>
      </c>
      <c r="AJ37" s="9">
        <v>40</v>
      </c>
      <c r="AK37" s="8">
        <v>40</v>
      </c>
      <c r="AL37" s="8">
        <v>40</v>
      </c>
      <c r="AM37" s="8">
        <v>40</v>
      </c>
      <c r="AN37" s="8">
        <v>40</v>
      </c>
      <c r="AO37" s="13">
        <v>40</v>
      </c>
      <c r="AP37" s="5"/>
    </row>
    <row r="38" spans="1:42">
      <c r="A38" s="12">
        <v>37</v>
      </c>
      <c r="B38" s="6" t="s">
        <v>414</v>
      </c>
      <c r="C38" s="6" t="s">
        <v>1692</v>
      </c>
      <c r="D38" s="6" t="s">
        <v>285</v>
      </c>
      <c r="E38" s="6" t="s">
        <v>86</v>
      </c>
      <c r="F38" s="7">
        <v>44348</v>
      </c>
      <c r="G38" s="6" t="s">
        <v>111</v>
      </c>
      <c r="H38" s="6" t="s">
        <v>120</v>
      </c>
      <c r="I38" s="6" t="s">
        <v>415</v>
      </c>
      <c r="J38" s="6" t="s">
        <v>90</v>
      </c>
      <c r="K38" s="6" t="s">
        <v>91</v>
      </c>
      <c r="L38" s="6" t="s">
        <v>92</v>
      </c>
      <c r="M38" s="6" t="s">
        <v>90</v>
      </c>
      <c r="N38" s="6" t="s">
        <v>416</v>
      </c>
      <c r="O38" s="6" t="s">
        <v>94</v>
      </c>
      <c r="P38" s="6" t="s">
        <v>290</v>
      </c>
      <c r="Q38" s="6" t="s">
        <v>417</v>
      </c>
      <c r="R38" s="6" t="s">
        <v>1643</v>
      </c>
      <c r="S38" s="6" t="s">
        <v>1693</v>
      </c>
      <c r="T38" s="6" t="s">
        <v>94</v>
      </c>
      <c r="U38" s="6" t="s">
        <v>94</v>
      </c>
      <c r="V38" s="6" t="s">
        <v>94</v>
      </c>
      <c r="W38" s="6" t="s">
        <v>418</v>
      </c>
      <c r="X38" s="6" t="s">
        <v>1643</v>
      </c>
      <c r="Y38" s="6" t="s">
        <v>1643</v>
      </c>
      <c r="Z38" s="6" t="s">
        <v>1643</v>
      </c>
      <c r="AA38" s="8">
        <v>1</v>
      </c>
      <c r="AB38" s="8">
        <v>1</v>
      </c>
      <c r="AC38" s="8">
        <v>1</v>
      </c>
      <c r="AD38" s="8">
        <v>1</v>
      </c>
      <c r="AE38" s="8">
        <v>100</v>
      </c>
      <c r="AF38" s="6" t="s">
        <v>334</v>
      </c>
      <c r="AG38" s="6" t="s">
        <v>335</v>
      </c>
      <c r="AH38" s="6" t="s">
        <v>413</v>
      </c>
      <c r="AI38" s="6" t="s">
        <v>286</v>
      </c>
      <c r="AJ38" s="9">
        <v>40</v>
      </c>
      <c r="AK38" s="8">
        <v>40</v>
      </c>
      <c r="AL38" s="8">
        <v>40</v>
      </c>
      <c r="AM38" s="8">
        <v>40</v>
      </c>
      <c r="AN38" s="8">
        <v>40</v>
      </c>
      <c r="AO38" s="13">
        <v>40</v>
      </c>
      <c r="AP38" s="5"/>
    </row>
    <row r="39" spans="1:42">
      <c r="A39" s="12">
        <v>38</v>
      </c>
      <c r="B39" s="6" t="s">
        <v>419</v>
      </c>
      <c r="C39" s="6" t="s">
        <v>1694</v>
      </c>
      <c r="D39" s="6" t="s">
        <v>284</v>
      </c>
      <c r="E39" s="6" t="s">
        <v>86</v>
      </c>
      <c r="F39" s="7">
        <v>45192</v>
      </c>
      <c r="G39" s="6" t="s">
        <v>14</v>
      </c>
      <c r="H39" s="6" t="s">
        <v>420</v>
      </c>
      <c r="I39" s="6" t="s">
        <v>421</v>
      </c>
      <c r="J39" s="6" t="s">
        <v>90</v>
      </c>
      <c r="K39" s="6" t="s">
        <v>91</v>
      </c>
      <c r="L39" s="6" t="s">
        <v>92</v>
      </c>
      <c r="M39" s="6" t="s">
        <v>90</v>
      </c>
      <c r="N39" s="6" t="s">
        <v>131</v>
      </c>
      <c r="O39" s="6" t="s">
        <v>122</v>
      </c>
      <c r="P39" s="6" t="s">
        <v>313</v>
      </c>
      <c r="Q39" s="6" t="s">
        <v>122</v>
      </c>
      <c r="R39" s="6" t="s">
        <v>1643</v>
      </c>
      <c r="S39" s="6" t="s">
        <v>1695</v>
      </c>
      <c r="T39" s="6" t="s">
        <v>94</v>
      </c>
      <c r="U39" s="6" t="s">
        <v>94</v>
      </c>
      <c r="V39" s="6" t="s">
        <v>94</v>
      </c>
      <c r="W39" s="6" t="s">
        <v>422</v>
      </c>
      <c r="X39" s="6" t="s">
        <v>1643</v>
      </c>
      <c r="Y39" s="6" t="s">
        <v>1643</v>
      </c>
      <c r="Z39" s="6" t="s">
        <v>1643</v>
      </c>
      <c r="AA39" s="8">
        <v>1</v>
      </c>
      <c r="AB39" s="8">
        <v>1</v>
      </c>
      <c r="AC39" s="8">
        <v>1</v>
      </c>
      <c r="AD39" s="8">
        <v>1</v>
      </c>
      <c r="AE39" s="8">
        <v>100</v>
      </c>
      <c r="AF39" s="6" t="s">
        <v>282</v>
      </c>
      <c r="AG39" s="6" t="s">
        <v>283</v>
      </c>
      <c r="AH39" s="6" t="s">
        <v>285</v>
      </c>
      <c r="AI39" s="6" t="s">
        <v>423</v>
      </c>
      <c r="AJ39" s="9">
        <v>40</v>
      </c>
      <c r="AK39" s="8">
        <v>40</v>
      </c>
      <c r="AL39" s="8">
        <v>40</v>
      </c>
      <c r="AM39" s="8">
        <v>40</v>
      </c>
      <c r="AN39" s="8">
        <v>40</v>
      </c>
      <c r="AO39" s="13">
        <v>40</v>
      </c>
      <c r="AP39" s="5"/>
    </row>
    <row r="40" spans="1:42">
      <c r="A40" s="12">
        <v>39</v>
      </c>
      <c r="B40" s="6" t="s">
        <v>424</v>
      </c>
      <c r="C40" s="6" t="s">
        <v>1696</v>
      </c>
      <c r="D40" s="6" t="s">
        <v>305</v>
      </c>
      <c r="E40" s="6" t="s">
        <v>86</v>
      </c>
      <c r="F40" s="7">
        <v>46135</v>
      </c>
      <c r="G40" s="6" t="s">
        <v>425</v>
      </c>
      <c r="H40" s="6" t="s">
        <v>94</v>
      </c>
      <c r="I40" s="6" t="s">
        <v>94</v>
      </c>
      <c r="J40" s="6" t="s">
        <v>90</v>
      </c>
      <c r="K40" s="6" t="s">
        <v>91</v>
      </c>
      <c r="L40" s="6" t="s">
        <v>92</v>
      </c>
      <c r="M40" s="6" t="s">
        <v>90</v>
      </c>
      <c r="N40" s="6" t="s">
        <v>94</v>
      </c>
      <c r="O40" s="6" t="s">
        <v>94</v>
      </c>
      <c r="P40" s="6" t="s">
        <v>43</v>
      </c>
      <c r="Q40" s="6" t="s">
        <v>122</v>
      </c>
      <c r="R40" s="6" t="s">
        <v>1643</v>
      </c>
      <c r="S40" s="6" t="s">
        <v>94</v>
      </c>
      <c r="T40" s="6" t="s">
        <v>94</v>
      </c>
      <c r="U40" s="6" t="s">
        <v>94</v>
      </c>
      <c r="V40" s="6" t="s">
        <v>94</v>
      </c>
      <c r="W40" s="6" t="s">
        <v>426</v>
      </c>
      <c r="X40" s="6" t="s">
        <v>1643</v>
      </c>
      <c r="Y40" s="6" t="s">
        <v>1643</v>
      </c>
      <c r="Z40" s="6" t="s">
        <v>1643</v>
      </c>
      <c r="AA40" s="8">
        <v>1</v>
      </c>
      <c r="AB40" s="8">
        <v>1</v>
      </c>
      <c r="AC40" s="8">
        <v>1</v>
      </c>
      <c r="AD40" s="8">
        <v>1</v>
      </c>
      <c r="AE40" s="8">
        <v>100</v>
      </c>
      <c r="AF40" s="6" t="s">
        <v>282</v>
      </c>
      <c r="AG40" s="6" t="s">
        <v>283</v>
      </c>
      <c r="AH40" s="6" t="s">
        <v>284</v>
      </c>
      <c r="AI40" s="6" t="s">
        <v>286</v>
      </c>
      <c r="AJ40" s="9">
        <v>40</v>
      </c>
      <c r="AK40" s="8">
        <v>40</v>
      </c>
      <c r="AL40" s="8">
        <v>40</v>
      </c>
      <c r="AM40" s="8">
        <v>40</v>
      </c>
      <c r="AN40" s="8">
        <v>40</v>
      </c>
      <c r="AO40" s="13">
        <v>40</v>
      </c>
      <c r="AP40" s="5"/>
    </row>
    <row r="41" spans="1:42">
      <c r="A41" s="12">
        <v>40</v>
      </c>
      <c r="B41" s="6" t="s">
        <v>427</v>
      </c>
      <c r="C41" s="6" t="s">
        <v>1697</v>
      </c>
      <c r="D41" s="6" t="s">
        <v>305</v>
      </c>
      <c r="E41" s="6" t="s">
        <v>86</v>
      </c>
      <c r="F41" s="7">
        <v>46180</v>
      </c>
      <c r="G41" s="6" t="s">
        <v>337</v>
      </c>
      <c r="H41" s="6" t="s">
        <v>94</v>
      </c>
      <c r="I41" s="6" t="s">
        <v>94</v>
      </c>
      <c r="J41" s="6" t="s">
        <v>90</v>
      </c>
      <c r="K41" s="6" t="s">
        <v>91</v>
      </c>
      <c r="L41" s="6" t="s">
        <v>92</v>
      </c>
      <c r="M41" s="6" t="s">
        <v>90</v>
      </c>
      <c r="N41" s="6" t="s">
        <v>94</v>
      </c>
      <c r="O41" s="6" t="s">
        <v>94</v>
      </c>
      <c r="P41" s="6" t="s">
        <v>131</v>
      </c>
      <c r="Q41" s="6" t="s">
        <v>104</v>
      </c>
      <c r="R41" s="6" t="s">
        <v>1643</v>
      </c>
      <c r="S41" s="6" t="s">
        <v>94</v>
      </c>
      <c r="T41" s="6" t="s">
        <v>94</v>
      </c>
      <c r="U41" s="6" t="s">
        <v>94</v>
      </c>
      <c r="V41" s="6" t="s">
        <v>94</v>
      </c>
      <c r="W41" s="6" t="s">
        <v>338</v>
      </c>
      <c r="X41" s="6" t="s">
        <v>1643</v>
      </c>
      <c r="Y41" s="6" t="s">
        <v>1643</v>
      </c>
      <c r="Z41" s="6" t="s">
        <v>1643</v>
      </c>
      <c r="AA41" s="8">
        <v>1</v>
      </c>
      <c r="AB41" s="8">
        <v>1</v>
      </c>
      <c r="AC41" s="8">
        <v>1</v>
      </c>
      <c r="AD41" s="8">
        <v>1</v>
      </c>
      <c r="AE41" s="8">
        <v>100</v>
      </c>
      <c r="AF41" s="6" t="s">
        <v>308</v>
      </c>
      <c r="AG41" s="6" t="s">
        <v>283</v>
      </c>
      <c r="AH41" s="6" t="s">
        <v>305</v>
      </c>
      <c r="AI41" s="6" t="s">
        <v>286</v>
      </c>
      <c r="AJ41" s="9">
        <v>40</v>
      </c>
      <c r="AK41" s="8">
        <v>40</v>
      </c>
      <c r="AL41" s="8">
        <v>40</v>
      </c>
      <c r="AM41" s="8">
        <v>40</v>
      </c>
      <c r="AN41" s="8">
        <v>40</v>
      </c>
      <c r="AO41" s="13">
        <v>40</v>
      </c>
      <c r="AP41" s="5"/>
    </row>
    <row r="42" spans="1:42">
      <c r="A42" s="12">
        <v>41</v>
      </c>
      <c r="B42" s="6" t="s">
        <v>428</v>
      </c>
      <c r="C42" s="6" t="s">
        <v>1698</v>
      </c>
      <c r="D42" s="6" t="s">
        <v>305</v>
      </c>
      <c r="E42" s="6" t="s">
        <v>86</v>
      </c>
      <c r="F42" s="7">
        <v>46189</v>
      </c>
      <c r="G42" s="6" t="s">
        <v>337</v>
      </c>
      <c r="H42" s="6" t="s">
        <v>94</v>
      </c>
      <c r="I42" s="6" t="s">
        <v>94</v>
      </c>
      <c r="J42" s="6" t="s">
        <v>90</v>
      </c>
      <c r="K42" s="6" t="s">
        <v>91</v>
      </c>
      <c r="L42" s="6" t="s">
        <v>92</v>
      </c>
      <c r="M42" s="6" t="s">
        <v>90</v>
      </c>
      <c r="N42" s="6" t="s">
        <v>94</v>
      </c>
      <c r="O42" s="6" t="s">
        <v>94</v>
      </c>
      <c r="P42" s="6" t="s">
        <v>131</v>
      </c>
      <c r="Q42" s="6" t="s">
        <v>104</v>
      </c>
      <c r="R42" s="6" t="s">
        <v>1643</v>
      </c>
      <c r="S42" s="6" t="s">
        <v>1699</v>
      </c>
      <c r="T42" s="6" t="s">
        <v>94</v>
      </c>
      <c r="U42" s="6" t="s">
        <v>94</v>
      </c>
      <c r="V42" s="6" t="s">
        <v>94</v>
      </c>
      <c r="W42" s="6" t="s">
        <v>338</v>
      </c>
      <c r="X42" s="6" t="s">
        <v>1643</v>
      </c>
      <c r="Y42" s="6" t="s">
        <v>1643</v>
      </c>
      <c r="Z42" s="6" t="s">
        <v>1643</v>
      </c>
      <c r="AA42" s="8">
        <v>1</v>
      </c>
      <c r="AB42" s="8">
        <v>1</v>
      </c>
      <c r="AC42" s="8">
        <v>1</v>
      </c>
      <c r="AD42" s="8">
        <v>1</v>
      </c>
      <c r="AE42" s="8">
        <v>100</v>
      </c>
      <c r="AF42" s="6" t="s">
        <v>308</v>
      </c>
      <c r="AG42" s="6" t="s">
        <v>283</v>
      </c>
      <c r="AH42" s="6" t="s">
        <v>305</v>
      </c>
      <c r="AI42" s="6" t="s">
        <v>286</v>
      </c>
      <c r="AJ42" s="9">
        <v>40</v>
      </c>
      <c r="AK42" s="8">
        <v>40</v>
      </c>
      <c r="AL42" s="8">
        <v>40</v>
      </c>
      <c r="AM42" s="8">
        <v>40</v>
      </c>
      <c r="AN42" s="8">
        <v>40</v>
      </c>
      <c r="AO42" s="13">
        <v>40</v>
      </c>
      <c r="AP42" s="5"/>
    </row>
    <row r="43" spans="1:42">
      <c r="A43" s="12">
        <v>42</v>
      </c>
      <c r="B43" s="6" t="s">
        <v>429</v>
      </c>
      <c r="C43" s="6" t="s">
        <v>1700</v>
      </c>
      <c r="D43" s="6" t="s">
        <v>434</v>
      </c>
      <c r="E43" s="6" t="s">
        <v>86</v>
      </c>
      <c r="F43" s="7">
        <v>43617</v>
      </c>
      <c r="G43" s="6" t="s">
        <v>430</v>
      </c>
      <c r="H43" s="6" t="s">
        <v>151</v>
      </c>
      <c r="I43" s="6" t="s">
        <v>431</v>
      </c>
      <c r="J43" s="6" t="s">
        <v>90</v>
      </c>
      <c r="K43" s="6" t="s">
        <v>91</v>
      </c>
      <c r="L43" s="6" t="s">
        <v>92</v>
      </c>
      <c r="M43" s="6" t="s">
        <v>90</v>
      </c>
      <c r="N43" s="6" t="s">
        <v>131</v>
      </c>
      <c r="O43" s="6" t="s">
        <v>122</v>
      </c>
      <c r="P43" s="6" t="s">
        <v>432</v>
      </c>
      <c r="Q43" s="6" t="s">
        <v>122</v>
      </c>
      <c r="R43" s="6" t="s">
        <v>1643</v>
      </c>
      <c r="S43" s="6" t="s">
        <v>94</v>
      </c>
      <c r="T43" s="6" t="s">
        <v>94</v>
      </c>
      <c r="U43" s="6" t="s">
        <v>94</v>
      </c>
      <c r="V43" s="6" t="s">
        <v>94</v>
      </c>
      <c r="W43" s="6" t="s">
        <v>433</v>
      </c>
      <c r="X43" s="6" t="s">
        <v>1643</v>
      </c>
      <c r="Y43" s="6" t="s">
        <v>1643</v>
      </c>
      <c r="Z43" s="6" t="s">
        <v>1643</v>
      </c>
      <c r="AA43" s="8">
        <v>1</v>
      </c>
      <c r="AB43" s="8">
        <v>1</v>
      </c>
      <c r="AC43" s="8">
        <v>1</v>
      </c>
      <c r="AD43" s="8">
        <v>0.75</v>
      </c>
      <c r="AE43" s="8">
        <v>100</v>
      </c>
      <c r="AF43" s="6" t="s">
        <v>308</v>
      </c>
      <c r="AG43" s="6" t="s">
        <v>283</v>
      </c>
      <c r="AH43" s="6" t="s">
        <v>305</v>
      </c>
      <c r="AI43" s="6" t="s">
        <v>286</v>
      </c>
      <c r="AJ43" s="9">
        <v>40</v>
      </c>
      <c r="AK43" s="8">
        <v>40</v>
      </c>
      <c r="AL43" s="8">
        <v>40</v>
      </c>
      <c r="AM43" s="8">
        <v>40</v>
      </c>
      <c r="AN43" s="8">
        <v>40</v>
      </c>
      <c r="AO43" s="13">
        <v>40</v>
      </c>
      <c r="AP43" s="5"/>
    </row>
    <row r="44" spans="1:42">
      <c r="A44" s="12">
        <v>43</v>
      </c>
      <c r="B44" s="6" t="s">
        <v>435</v>
      </c>
      <c r="C44" s="6" t="s">
        <v>1701</v>
      </c>
      <c r="D44" s="6" t="s">
        <v>301</v>
      </c>
      <c r="E44" s="6" t="s">
        <v>86</v>
      </c>
      <c r="F44" s="7">
        <v>42354</v>
      </c>
      <c r="G44" s="6" t="s">
        <v>111</v>
      </c>
      <c r="H44" s="6" t="s">
        <v>146</v>
      </c>
      <c r="I44" s="6" t="s">
        <v>436</v>
      </c>
      <c r="J44" s="6" t="s">
        <v>90</v>
      </c>
      <c r="K44" s="6" t="s">
        <v>91</v>
      </c>
      <c r="L44" s="6" t="s">
        <v>92</v>
      </c>
      <c r="M44" s="6" t="s">
        <v>90</v>
      </c>
      <c r="N44" s="6" t="s">
        <v>437</v>
      </c>
      <c r="O44" s="6" t="s">
        <v>122</v>
      </c>
      <c r="P44" s="6" t="s">
        <v>438</v>
      </c>
      <c r="Q44" s="6" t="s">
        <v>122</v>
      </c>
      <c r="R44" s="6" t="s">
        <v>1643</v>
      </c>
      <c r="S44" s="6" t="s">
        <v>1702</v>
      </c>
      <c r="T44" s="6" t="s">
        <v>94</v>
      </c>
      <c r="U44" s="6" t="s">
        <v>94</v>
      </c>
      <c r="V44" s="6" t="s">
        <v>94</v>
      </c>
      <c r="W44" s="6" t="s">
        <v>418</v>
      </c>
      <c r="X44" s="6" t="s">
        <v>1643</v>
      </c>
      <c r="Y44" s="6" t="s">
        <v>1643</v>
      </c>
      <c r="Z44" s="6" t="s">
        <v>1643</v>
      </c>
      <c r="AA44" s="8">
        <v>1</v>
      </c>
      <c r="AB44" s="8">
        <v>1</v>
      </c>
      <c r="AC44" s="8">
        <v>1</v>
      </c>
      <c r="AD44" s="8">
        <v>1</v>
      </c>
      <c r="AE44" s="8">
        <v>100</v>
      </c>
      <c r="AF44" s="6" t="s">
        <v>334</v>
      </c>
      <c r="AG44" s="6" t="s">
        <v>335</v>
      </c>
      <c r="AH44" s="6" t="s">
        <v>434</v>
      </c>
      <c r="AI44" s="6" t="s">
        <v>286</v>
      </c>
      <c r="AJ44" s="9">
        <v>40</v>
      </c>
      <c r="AK44" s="8">
        <v>40</v>
      </c>
      <c r="AL44" s="8">
        <v>40</v>
      </c>
      <c r="AM44" s="8">
        <v>40</v>
      </c>
      <c r="AN44" s="8">
        <v>40</v>
      </c>
      <c r="AO44" s="13">
        <v>40</v>
      </c>
      <c r="AP44" s="5"/>
    </row>
    <row r="45" spans="1:42">
      <c r="A45" s="12">
        <v>44</v>
      </c>
      <c r="B45" s="6" t="s">
        <v>439</v>
      </c>
      <c r="C45" s="6" t="s">
        <v>1703</v>
      </c>
      <c r="D45" s="6" t="s">
        <v>339</v>
      </c>
      <c r="E45" s="6" t="s">
        <v>86</v>
      </c>
      <c r="F45" s="7">
        <v>45931</v>
      </c>
      <c r="G45" s="6" t="s">
        <v>204</v>
      </c>
      <c r="H45" s="6" t="s">
        <v>94</v>
      </c>
      <c r="I45" s="6" t="s">
        <v>94</v>
      </c>
      <c r="J45" s="6" t="s">
        <v>90</v>
      </c>
      <c r="K45" s="6" t="s">
        <v>91</v>
      </c>
      <c r="L45" s="6" t="s">
        <v>92</v>
      </c>
      <c r="M45" s="6" t="s">
        <v>90</v>
      </c>
      <c r="N45" s="6" t="s">
        <v>94</v>
      </c>
      <c r="O45" s="6" t="s">
        <v>94</v>
      </c>
      <c r="P45" s="6" t="s">
        <v>43</v>
      </c>
      <c r="Q45" s="6" t="s">
        <v>95</v>
      </c>
      <c r="R45" s="6" t="s">
        <v>1643</v>
      </c>
      <c r="S45" s="6" t="s">
        <v>94</v>
      </c>
      <c r="T45" s="6" t="s">
        <v>94</v>
      </c>
      <c r="U45" s="6" t="s">
        <v>94</v>
      </c>
      <c r="V45" s="6" t="s">
        <v>94</v>
      </c>
      <c r="W45" s="6" t="s">
        <v>403</v>
      </c>
      <c r="X45" s="6" t="s">
        <v>1643</v>
      </c>
      <c r="Y45" s="6" t="s">
        <v>1643</v>
      </c>
      <c r="Z45" s="6" t="s">
        <v>1643</v>
      </c>
      <c r="AA45" s="8">
        <v>1</v>
      </c>
      <c r="AB45" s="8">
        <v>1</v>
      </c>
      <c r="AC45" s="8">
        <v>1</v>
      </c>
      <c r="AD45" s="8">
        <v>1</v>
      </c>
      <c r="AE45" s="8">
        <v>100</v>
      </c>
      <c r="AF45" s="6" t="s">
        <v>282</v>
      </c>
      <c r="AG45" s="6" t="s">
        <v>283</v>
      </c>
      <c r="AH45" s="6" t="s">
        <v>301</v>
      </c>
      <c r="AI45" s="6" t="s">
        <v>286</v>
      </c>
      <c r="AJ45" s="9">
        <v>40</v>
      </c>
      <c r="AK45" s="8">
        <v>40</v>
      </c>
      <c r="AL45" s="8">
        <v>40</v>
      </c>
      <c r="AM45" s="8">
        <v>40</v>
      </c>
      <c r="AN45" s="8">
        <v>40</v>
      </c>
      <c r="AO45" s="13">
        <v>40</v>
      </c>
      <c r="AP45" s="5"/>
    </row>
    <row r="46" spans="1:42">
      <c r="A46" s="12">
        <v>45</v>
      </c>
      <c r="B46" s="6" t="s">
        <v>440</v>
      </c>
      <c r="C46" s="6" t="s">
        <v>1704</v>
      </c>
      <c r="D46" s="6" t="s">
        <v>442</v>
      </c>
      <c r="E46" s="6" t="s">
        <v>86</v>
      </c>
      <c r="F46" s="7">
        <v>43102</v>
      </c>
      <c r="G46" s="6" t="s">
        <v>111</v>
      </c>
      <c r="H46" s="6" t="s">
        <v>88</v>
      </c>
      <c r="I46" s="6" t="s">
        <v>441</v>
      </c>
      <c r="J46" s="6" t="s">
        <v>90</v>
      </c>
      <c r="K46" s="6" t="s">
        <v>91</v>
      </c>
      <c r="L46" s="6" t="s">
        <v>92</v>
      </c>
      <c r="M46" s="6" t="s">
        <v>90</v>
      </c>
      <c r="N46" s="6" t="s">
        <v>117</v>
      </c>
      <c r="O46" s="6" t="s">
        <v>94</v>
      </c>
      <c r="P46" s="6" t="s">
        <v>117</v>
      </c>
      <c r="Q46" s="6" t="s">
        <v>122</v>
      </c>
      <c r="R46" s="6" t="s">
        <v>1643</v>
      </c>
      <c r="S46" s="6" t="s">
        <v>94</v>
      </c>
      <c r="T46" s="6" t="s">
        <v>94</v>
      </c>
      <c r="U46" s="6" t="s">
        <v>94</v>
      </c>
      <c r="V46" s="6" t="s">
        <v>94</v>
      </c>
      <c r="W46" s="6" t="s">
        <v>418</v>
      </c>
      <c r="X46" s="6" t="s">
        <v>1643</v>
      </c>
      <c r="Y46" s="6" t="s">
        <v>1643</v>
      </c>
      <c r="Z46" s="6" t="s">
        <v>1643</v>
      </c>
      <c r="AA46" s="8">
        <v>1</v>
      </c>
      <c r="AB46" s="8">
        <v>1</v>
      </c>
      <c r="AC46" s="8">
        <v>1</v>
      </c>
      <c r="AD46" s="8">
        <v>1</v>
      </c>
      <c r="AE46" s="8">
        <v>100</v>
      </c>
      <c r="AF46" s="6" t="s">
        <v>334</v>
      </c>
      <c r="AG46" s="6" t="s">
        <v>335</v>
      </c>
      <c r="AH46" s="6" t="s">
        <v>339</v>
      </c>
      <c r="AI46" s="6" t="s">
        <v>286</v>
      </c>
      <c r="AJ46" s="9">
        <v>40</v>
      </c>
      <c r="AK46" s="8">
        <v>40</v>
      </c>
      <c r="AL46" s="8">
        <v>40</v>
      </c>
      <c r="AM46" s="8">
        <v>40</v>
      </c>
      <c r="AN46" s="8">
        <v>40</v>
      </c>
      <c r="AO46" s="13">
        <v>40</v>
      </c>
      <c r="AP46" s="5"/>
    </row>
    <row r="47" spans="1:42">
      <c r="A47" s="12">
        <v>46</v>
      </c>
      <c r="B47" s="6" t="s">
        <v>443</v>
      </c>
      <c r="C47" s="6" t="s">
        <v>1705</v>
      </c>
      <c r="D47" s="6" t="s">
        <v>341</v>
      </c>
      <c r="E47" s="6" t="s">
        <v>86</v>
      </c>
      <c r="F47" s="7">
        <v>45977</v>
      </c>
      <c r="G47" s="6" t="s">
        <v>150</v>
      </c>
      <c r="H47" s="6" t="s">
        <v>94</v>
      </c>
      <c r="I47" s="6" t="s">
        <v>444</v>
      </c>
      <c r="J47" s="6" t="s">
        <v>213</v>
      </c>
      <c r="K47" s="6" t="s">
        <v>91</v>
      </c>
      <c r="L47" s="6" t="s">
        <v>92</v>
      </c>
      <c r="M47" s="6" t="s">
        <v>213</v>
      </c>
      <c r="N47" s="6" t="s">
        <v>94</v>
      </c>
      <c r="O47" s="6" t="s">
        <v>94</v>
      </c>
      <c r="P47" s="6" t="s">
        <v>93</v>
      </c>
      <c r="Q47" s="6" t="s">
        <v>95</v>
      </c>
      <c r="R47" s="6" t="s">
        <v>1643</v>
      </c>
      <c r="S47" s="6" t="s">
        <v>94</v>
      </c>
      <c r="T47" s="6" t="s">
        <v>94</v>
      </c>
      <c r="U47" s="6" t="s">
        <v>94</v>
      </c>
      <c r="V47" s="6" t="s">
        <v>94</v>
      </c>
      <c r="W47" s="6" t="s">
        <v>445</v>
      </c>
      <c r="X47" s="6" t="s">
        <v>1643</v>
      </c>
      <c r="Y47" s="6" t="s">
        <v>1643</v>
      </c>
      <c r="Z47" s="6" t="s">
        <v>1643</v>
      </c>
      <c r="AA47" s="8">
        <v>1</v>
      </c>
      <c r="AB47" s="8">
        <v>1</v>
      </c>
      <c r="AC47" s="8">
        <v>1</v>
      </c>
      <c r="AD47" s="8">
        <v>1</v>
      </c>
      <c r="AE47" s="8">
        <v>100</v>
      </c>
      <c r="AF47" s="6" t="s">
        <v>446</v>
      </c>
      <c r="AG47" s="6" t="s">
        <v>447</v>
      </c>
      <c r="AH47" s="6" t="s">
        <v>442</v>
      </c>
      <c r="AI47" s="6" t="s">
        <v>448</v>
      </c>
      <c r="AJ47" s="9">
        <v>40</v>
      </c>
      <c r="AK47" s="8">
        <v>40</v>
      </c>
      <c r="AL47" s="8">
        <v>40</v>
      </c>
      <c r="AM47" s="8">
        <v>40</v>
      </c>
      <c r="AN47" s="8">
        <v>40</v>
      </c>
      <c r="AO47" s="13">
        <v>40</v>
      </c>
      <c r="AP47" s="5"/>
    </row>
    <row r="48" spans="1:42">
      <c r="A48" s="12">
        <v>47</v>
      </c>
      <c r="B48" s="6" t="s">
        <v>449</v>
      </c>
      <c r="C48" s="6" t="s">
        <v>1706</v>
      </c>
      <c r="D48" s="6" t="s">
        <v>341</v>
      </c>
      <c r="E48" s="6" t="s">
        <v>86</v>
      </c>
      <c r="F48" s="7">
        <v>45130</v>
      </c>
      <c r="G48" s="6" t="s">
        <v>288</v>
      </c>
      <c r="H48" s="6" t="s">
        <v>151</v>
      </c>
      <c r="I48" s="6" t="s">
        <v>450</v>
      </c>
      <c r="J48" s="6" t="s">
        <v>90</v>
      </c>
      <c r="K48" s="6" t="s">
        <v>91</v>
      </c>
      <c r="L48" s="6" t="s">
        <v>92</v>
      </c>
      <c r="M48" s="6" t="s">
        <v>90</v>
      </c>
      <c r="N48" s="6" t="s">
        <v>451</v>
      </c>
      <c r="O48" s="6" t="s">
        <v>94</v>
      </c>
      <c r="P48" s="6" t="s">
        <v>131</v>
      </c>
      <c r="Q48" s="6" t="s">
        <v>95</v>
      </c>
      <c r="R48" s="6" t="s">
        <v>1643</v>
      </c>
      <c r="S48" s="6" t="s">
        <v>94</v>
      </c>
      <c r="T48" s="6" t="s">
        <v>94</v>
      </c>
      <c r="U48" s="6" t="s">
        <v>94</v>
      </c>
      <c r="V48" s="6" t="s">
        <v>94</v>
      </c>
      <c r="W48" s="6" t="s">
        <v>291</v>
      </c>
      <c r="X48" s="6" t="s">
        <v>1643</v>
      </c>
      <c r="Y48" s="6" t="s">
        <v>1643</v>
      </c>
      <c r="Z48" s="6" t="s">
        <v>1652</v>
      </c>
      <c r="AA48" s="8">
        <v>1</v>
      </c>
      <c r="AB48" s="8">
        <v>1</v>
      </c>
      <c r="AC48" s="8">
        <v>1</v>
      </c>
      <c r="AD48" s="8">
        <v>0</v>
      </c>
      <c r="AE48" s="8">
        <v>100</v>
      </c>
      <c r="AF48" s="6" t="s">
        <v>282</v>
      </c>
      <c r="AG48" s="6" t="s">
        <v>283</v>
      </c>
      <c r="AH48" s="6" t="s">
        <v>341</v>
      </c>
      <c r="AI48" s="6" t="s">
        <v>286</v>
      </c>
      <c r="AJ48" s="9">
        <v>40</v>
      </c>
      <c r="AK48" s="8">
        <v>40</v>
      </c>
      <c r="AL48" s="8">
        <v>40</v>
      </c>
      <c r="AM48" s="8">
        <v>40</v>
      </c>
      <c r="AN48" s="8">
        <v>40</v>
      </c>
      <c r="AO48" s="13">
        <v>40</v>
      </c>
      <c r="AP48" s="5"/>
    </row>
    <row r="49" spans="1:42">
      <c r="A49" s="12">
        <v>48</v>
      </c>
      <c r="B49" s="6" t="s">
        <v>452</v>
      </c>
      <c r="C49" s="6" t="s">
        <v>1707</v>
      </c>
      <c r="D49" s="6" t="s">
        <v>378</v>
      </c>
      <c r="E49" s="6" t="s">
        <v>86</v>
      </c>
      <c r="F49" s="7">
        <v>43822</v>
      </c>
      <c r="G49" s="6" t="s">
        <v>111</v>
      </c>
      <c r="H49" s="6" t="s">
        <v>151</v>
      </c>
      <c r="I49" s="6" t="s">
        <v>453</v>
      </c>
      <c r="J49" s="6" t="s">
        <v>90</v>
      </c>
      <c r="K49" s="6" t="s">
        <v>91</v>
      </c>
      <c r="L49" s="6" t="s">
        <v>92</v>
      </c>
      <c r="M49" s="6" t="s">
        <v>90</v>
      </c>
      <c r="N49" s="6" t="s">
        <v>131</v>
      </c>
      <c r="O49" s="6" t="s">
        <v>95</v>
      </c>
      <c r="P49" s="6" t="s">
        <v>131</v>
      </c>
      <c r="Q49" s="6" t="s">
        <v>122</v>
      </c>
      <c r="R49" s="6" t="s">
        <v>1643</v>
      </c>
      <c r="S49" s="6" t="s">
        <v>94</v>
      </c>
      <c r="T49" s="6" t="s">
        <v>94</v>
      </c>
      <c r="U49" s="6" t="s">
        <v>94</v>
      </c>
      <c r="V49" s="6" t="s">
        <v>94</v>
      </c>
      <c r="W49" s="6" t="s">
        <v>281</v>
      </c>
      <c r="X49" s="6" t="s">
        <v>1643</v>
      </c>
      <c r="Y49" s="6" t="s">
        <v>1643</v>
      </c>
      <c r="Z49" s="6" t="s">
        <v>1652</v>
      </c>
      <c r="AA49" s="8">
        <v>1</v>
      </c>
      <c r="AB49" s="8">
        <v>1</v>
      </c>
      <c r="AC49" s="8">
        <v>1</v>
      </c>
      <c r="AD49" s="8">
        <v>0</v>
      </c>
      <c r="AE49" s="8">
        <v>100</v>
      </c>
      <c r="AF49" s="6" t="s">
        <v>282</v>
      </c>
      <c r="AG49" s="6" t="s">
        <v>283</v>
      </c>
      <c r="AH49" s="6" t="s">
        <v>341</v>
      </c>
      <c r="AI49" s="6" t="s">
        <v>286</v>
      </c>
      <c r="AJ49" s="9">
        <v>40</v>
      </c>
      <c r="AK49" s="8">
        <v>40</v>
      </c>
      <c r="AL49" s="8">
        <v>40</v>
      </c>
      <c r="AM49" s="8">
        <v>40</v>
      </c>
      <c r="AN49" s="8">
        <v>40</v>
      </c>
      <c r="AO49" s="13">
        <v>40</v>
      </c>
      <c r="AP49" s="5"/>
    </row>
    <row r="50" spans="1:42">
      <c r="A50" s="12">
        <v>49</v>
      </c>
      <c r="B50" s="6" t="s">
        <v>454</v>
      </c>
      <c r="C50" s="6" t="s">
        <v>1708</v>
      </c>
      <c r="D50" s="6" t="s">
        <v>298</v>
      </c>
      <c r="E50" s="6" t="s">
        <v>86</v>
      </c>
      <c r="F50" s="7">
        <v>46023</v>
      </c>
      <c r="G50" s="6" t="s">
        <v>155</v>
      </c>
      <c r="H50" s="6" t="s">
        <v>94</v>
      </c>
      <c r="I50" s="6" t="s">
        <v>333</v>
      </c>
      <c r="J50" s="6" t="s">
        <v>90</v>
      </c>
      <c r="K50" s="6" t="s">
        <v>91</v>
      </c>
      <c r="L50" s="6" t="s">
        <v>92</v>
      </c>
      <c r="M50" s="6" t="s">
        <v>90</v>
      </c>
      <c r="N50" s="6" t="s">
        <v>94</v>
      </c>
      <c r="O50" s="6" t="s">
        <v>94</v>
      </c>
      <c r="P50" s="6" t="s">
        <v>27</v>
      </c>
      <c r="Q50" s="6" t="s">
        <v>104</v>
      </c>
      <c r="R50" s="6" t="s">
        <v>1643</v>
      </c>
      <c r="S50" s="6" t="s">
        <v>94</v>
      </c>
      <c r="T50" s="6" t="s">
        <v>94</v>
      </c>
      <c r="U50" s="6" t="s">
        <v>94</v>
      </c>
      <c r="V50" s="6" t="s">
        <v>94</v>
      </c>
      <c r="W50" s="6" t="s">
        <v>369</v>
      </c>
      <c r="X50" s="6" t="s">
        <v>1643</v>
      </c>
      <c r="Y50" s="6" t="s">
        <v>1643</v>
      </c>
      <c r="Z50" s="6" t="s">
        <v>1643</v>
      </c>
      <c r="AA50" s="8">
        <v>1</v>
      </c>
      <c r="AB50" s="8">
        <v>1</v>
      </c>
      <c r="AC50" s="8">
        <v>1</v>
      </c>
      <c r="AD50" s="8">
        <v>1</v>
      </c>
      <c r="AE50" s="8">
        <v>100</v>
      </c>
      <c r="AF50" s="6" t="s">
        <v>381</v>
      </c>
      <c r="AG50" s="6" t="s">
        <v>283</v>
      </c>
      <c r="AH50" s="6" t="s">
        <v>378</v>
      </c>
      <c r="AI50" s="6" t="s">
        <v>286</v>
      </c>
      <c r="AJ50" s="9">
        <v>40</v>
      </c>
      <c r="AK50" s="8">
        <v>40</v>
      </c>
      <c r="AL50" s="8">
        <v>40</v>
      </c>
      <c r="AM50" s="8">
        <v>40</v>
      </c>
      <c r="AN50" s="8">
        <v>40</v>
      </c>
      <c r="AO50" s="13">
        <v>40</v>
      </c>
      <c r="AP50" s="5"/>
    </row>
    <row r="51" spans="1:42">
      <c r="A51" s="12">
        <v>50</v>
      </c>
      <c r="B51" s="6" t="s">
        <v>455</v>
      </c>
      <c r="C51" s="6" t="s">
        <v>46</v>
      </c>
      <c r="D51" s="6" t="s">
        <v>387</v>
      </c>
      <c r="E51" s="6" t="s">
        <v>86</v>
      </c>
      <c r="F51" s="7">
        <v>45398</v>
      </c>
      <c r="G51" s="6" t="s">
        <v>204</v>
      </c>
      <c r="H51" s="6" t="s">
        <v>151</v>
      </c>
      <c r="I51" s="6" t="s">
        <v>205</v>
      </c>
      <c r="J51" s="6" t="s">
        <v>90</v>
      </c>
      <c r="K51" s="6" t="s">
        <v>91</v>
      </c>
      <c r="L51" s="6" t="s">
        <v>92</v>
      </c>
      <c r="M51" s="6" t="s">
        <v>90</v>
      </c>
      <c r="N51" s="6" t="s">
        <v>94</v>
      </c>
      <c r="O51" s="6" t="s">
        <v>94</v>
      </c>
      <c r="P51" s="6" t="s">
        <v>43</v>
      </c>
      <c r="Q51" s="6" t="s">
        <v>95</v>
      </c>
      <c r="R51" s="6" t="s">
        <v>1643</v>
      </c>
      <c r="S51" s="6" t="s">
        <v>94</v>
      </c>
      <c r="T51" s="6" t="s">
        <v>94</v>
      </c>
      <c r="U51" s="6" t="s">
        <v>94</v>
      </c>
      <c r="V51" s="6" t="s">
        <v>94</v>
      </c>
      <c r="W51" s="6" t="s">
        <v>403</v>
      </c>
      <c r="X51" s="6" t="s">
        <v>1643</v>
      </c>
      <c r="Y51" s="6" t="s">
        <v>1643</v>
      </c>
      <c r="Z51" s="6" t="s">
        <v>1643</v>
      </c>
      <c r="AA51" s="8">
        <v>1</v>
      </c>
      <c r="AB51" s="8">
        <v>1</v>
      </c>
      <c r="AC51" s="8">
        <v>1</v>
      </c>
      <c r="AD51" s="8">
        <v>1</v>
      </c>
      <c r="AE51" s="8">
        <v>100</v>
      </c>
      <c r="AF51" s="6" t="s">
        <v>300</v>
      </c>
      <c r="AG51" s="6" t="s">
        <v>283</v>
      </c>
      <c r="AH51" s="6" t="s">
        <v>298</v>
      </c>
      <c r="AI51" s="6" t="s">
        <v>286</v>
      </c>
      <c r="AJ51" s="9">
        <v>40</v>
      </c>
      <c r="AK51" s="8">
        <v>40</v>
      </c>
      <c r="AL51" s="8">
        <v>40</v>
      </c>
      <c r="AM51" s="8">
        <v>40</v>
      </c>
      <c r="AN51" s="8">
        <v>40</v>
      </c>
      <c r="AO51" s="13">
        <v>40</v>
      </c>
      <c r="AP51" s="5"/>
    </row>
    <row r="52" spans="1:42">
      <c r="A52" s="12">
        <v>51</v>
      </c>
      <c r="B52" s="6" t="s">
        <v>457</v>
      </c>
      <c r="C52" s="6" t="s">
        <v>1709</v>
      </c>
      <c r="D52" s="6" t="s">
        <v>392</v>
      </c>
      <c r="E52" s="6" t="s">
        <v>86</v>
      </c>
      <c r="F52" s="7">
        <v>44136</v>
      </c>
      <c r="G52" s="6" t="s">
        <v>204</v>
      </c>
      <c r="H52" s="6" t="s">
        <v>120</v>
      </c>
      <c r="I52" s="6" t="s">
        <v>459</v>
      </c>
      <c r="J52" s="6" t="s">
        <v>90</v>
      </c>
      <c r="K52" s="6" t="s">
        <v>91</v>
      </c>
      <c r="L52" s="6" t="s">
        <v>92</v>
      </c>
      <c r="M52" s="6" t="s">
        <v>90</v>
      </c>
      <c r="N52" s="6" t="s">
        <v>43</v>
      </c>
      <c r="O52" s="6" t="s">
        <v>122</v>
      </c>
      <c r="P52" s="6" t="s">
        <v>43</v>
      </c>
      <c r="Q52" s="6" t="s">
        <v>95</v>
      </c>
      <c r="R52" s="6" t="s">
        <v>1643</v>
      </c>
      <c r="S52" s="6" t="s">
        <v>1710</v>
      </c>
      <c r="T52" s="6" t="s">
        <v>94</v>
      </c>
      <c r="U52" s="6" t="s">
        <v>94</v>
      </c>
      <c r="V52" s="6" t="s">
        <v>94</v>
      </c>
      <c r="W52" s="6" t="s">
        <v>403</v>
      </c>
      <c r="X52" s="6" t="s">
        <v>1643</v>
      </c>
      <c r="Y52" s="6" t="s">
        <v>1643</v>
      </c>
      <c r="Z52" s="6" t="s">
        <v>1643</v>
      </c>
      <c r="AA52" s="8">
        <v>1</v>
      </c>
      <c r="AB52" s="8">
        <v>1</v>
      </c>
      <c r="AC52" s="8">
        <v>1</v>
      </c>
      <c r="AD52" s="8">
        <v>1</v>
      </c>
      <c r="AE52" s="8">
        <v>100</v>
      </c>
      <c r="AF52" s="6" t="s">
        <v>391</v>
      </c>
      <c r="AG52" s="6" t="s">
        <v>386</v>
      </c>
      <c r="AH52" s="6" t="s">
        <v>387</v>
      </c>
      <c r="AI52" s="6" t="s">
        <v>286</v>
      </c>
      <c r="AJ52" s="9">
        <v>40</v>
      </c>
      <c r="AK52" s="8">
        <v>40</v>
      </c>
      <c r="AL52" s="8">
        <v>40</v>
      </c>
      <c r="AM52" s="8">
        <v>40</v>
      </c>
      <c r="AN52" s="8">
        <v>40</v>
      </c>
      <c r="AO52" s="13">
        <v>40</v>
      </c>
      <c r="AP52" s="5"/>
    </row>
    <row r="53" spans="1:42">
      <c r="A53" s="12">
        <v>52</v>
      </c>
      <c r="B53" s="6" t="s">
        <v>460</v>
      </c>
      <c r="C53" s="6" t="s">
        <v>1711</v>
      </c>
      <c r="D53" s="6" t="s">
        <v>464</v>
      </c>
      <c r="E53" s="6" t="s">
        <v>86</v>
      </c>
      <c r="F53" s="7">
        <v>41214</v>
      </c>
      <c r="G53" s="6" t="s">
        <v>111</v>
      </c>
      <c r="H53" s="6" t="s">
        <v>462</v>
      </c>
      <c r="I53" s="6" t="s">
        <v>463</v>
      </c>
      <c r="J53" s="6" t="s">
        <v>90</v>
      </c>
      <c r="K53" s="6" t="s">
        <v>91</v>
      </c>
      <c r="L53" s="6" t="s">
        <v>92</v>
      </c>
      <c r="M53" s="6" t="s">
        <v>90</v>
      </c>
      <c r="N53" s="6" t="s">
        <v>131</v>
      </c>
      <c r="O53" s="6" t="s">
        <v>95</v>
      </c>
      <c r="P53" s="6" t="s">
        <v>395</v>
      </c>
      <c r="Q53" s="6" t="s">
        <v>104</v>
      </c>
      <c r="R53" s="6" t="s">
        <v>1643</v>
      </c>
      <c r="S53" s="6" t="s">
        <v>1690</v>
      </c>
      <c r="T53" s="6" t="s">
        <v>94</v>
      </c>
      <c r="U53" s="6" t="s">
        <v>94</v>
      </c>
      <c r="V53" s="6" t="s">
        <v>94</v>
      </c>
      <c r="W53" s="6" t="s">
        <v>281</v>
      </c>
      <c r="X53" s="6" t="s">
        <v>1643</v>
      </c>
      <c r="Y53" s="6" t="s">
        <v>1643</v>
      </c>
      <c r="Z53" s="6" t="s">
        <v>1652</v>
      </c>
      <c r="AA53" s="8">
        <v>1</v>
      </c>
      <c r="AB53" s="8">
        <v>1</v>
      </c>
      <c r="AC53" s="8">
        <v>1</v>
      </c>
      <c r="AD53" s="8">
        <v>0</v>
      </c>
      <c r="AE53" s="8">
        <v>100</v>
      </c>
      <c r="AF53" s="6" t="s">
        <v>282</v>
      </c>
      <c r="AG53" s="6" t="s">
        <v>283</v>
      </c>
      <c r="AH53" s="6" t="s">
        <v>392</v>
      </c>
      <c r="AI53" s="6" t="s">
        <v>286</v>
      </c>
      <c r="AJ53" s="9">
        <v>40</v>
      </c>
      <c r="AK53" s="8">
        <v>40</v>
      </c>
      <c r="AL53" s="8">
        <v>40</v>
      </c>
      <c r="AM53" s="8">
        <v>40</v>
      </c>
      <c r="AN53" s="8">
        <v>40</v>
      </c>
      <c r="AO53" s="13">
        <v>40</v>
      </c>
      <c r="AP53" s="5"/>
    </row>
    <row r="54" spans="1:42">
      <c r="A54" s="12">
        <v>53</v>
      </c>
      <c r="B54" s="6" t="s">
        <v>465</v>
      </c>
      <c r="C54" s="6" t="s">
        <v>1712</v>
      </c>
      <c r="D54" s="6" t="s">
        <v>468</v>
      </c>
      <c r="E54" s="6" t="s">
        <v>86</v>
      </c>
      <c r="F54" s="7">
        <v>44188</v>
      </c>
      <c r="G54" s="6" t="s">
        <v>111</v>
      </c>
      <c r="H54" s="6" t="s">
        <v>107</v>
      </c>
      <c r="I54" s="6" t="s">
        <v>467</v>
      </c>
      <c r="J54" s="6" t="s">
        <v>90</v>
      </c>
      <c r="K54" s="6" t="s">
        <v>91</v>
      </c>
      <c r="L54" s="6" t="s">
        <v>92</v>
      </c>
      <c r="M54" s="6" t="s">
        <v>90</v>
      </c>
      <c r="N54" s="6" t="s">
        <v>131</v>
      </c>
      <c r="O54" s="6" t="s">
        <v>122</v>
      </c>
      <c r="P54" s="6" t="s">
        <v>103</v>
      </c>
      <c r="Q54" s="6" t="s">
        <v>95</v>
      </c>
      <c r="R54" s="6" t="s">
        <v>1643</v>
      </c>
      <c r="S54" s="6" t="s">
        <v>94</v>
      </c>
      <c r="T54" s="6" t="s">
        <v>94</v>
      </c>
      <c r="U54" s="6" t="s">
        <v>94</v>
      </c>
      <c r="V54" s="6" t="s">
        <v>94</v>
      </c>
      <c r="W54" s="6" t="s">
        <v>418</v>
      </c>
      <c r="X54" s="6" t="s">
        <v>1643</v>
      </c>
      <c r="Y54" s="6" t="s">
        <v>1643</v>
      </c>
      <c r="Z54" s="6" t="s">
        <v>1652</v>
      </c>
      <c r="AA54" s="8">
        <v>1</v>
      </c>
      <c r="AB54" s="8">
        <v>1</v>
      </c>
      <c r="AC54" s="8">
        <v>1</v>
      </c>
      <c r="AD54" s="8">
        <v>0</v>
      </c>
      <c r="AE54" s="8">
        <v>100</v>
      </c>
      <c r="AF54" s="6" t="s">
        <v>308</v>
      </c>
      <c r="AG54" s="6" t="s">
        <v>283</v>
      </c>
      <c r="AH54" s="6" t="s">
        <v>464</v>
      </c>
      <c r="AI54" s="6" t="s">
        <v>286</v>
      </c>
      <c r="AJ54" s="9">
        <v>40</v>
      </c>
      <c r="AK54" s="8">
        <v>40</v>
      </c>
      <c r="AL54" s="8">
        <v>40</v>
      </c>
      <c r="AM54" s="8">
        <v>40</v>
      </c>
      <c r="AN54" s="8">
        <v>40</v>
      </c>
      <c r="AO54" s="13">
        <v>40</v>
      </c>
      <c r="AP54" s="5"/>
    </row>
    <row r="55" spans="1:42">
      <c r="A55" s="12">
        <v>54</v>
      </c>
      <c r="B55" s="6" t="s">
        <v>469</v>
      </c>
      <c r="C55" s="6" t="s">
        <v>1713</v>
      </c>
      <c r="D55" s="6" t="s">
        <v>341</v>
      </c>
      <c r="E55" s="6" t="s">
        <v>86</v>
      </c>
      <c r="F55" s="7">
        <v>45992</v>
      </c>
      <c r="G55" s="6" t="s">
        <v>111</v>
      </c>
      <c r="H55" s="6" t="s">
        <v>94</v>
      </c>
      <c r="I55" s="6" t="s">
        <v>94</v>
      </c>
      <c r="J55" s="6" t="s">
        <v>90</v>
      </c>
      <c r="K55" s="6" t="s">
        <v>91</v>
      </c>
      <c r="L55" s="6" t="s">
        <v>92</v>
      </c>
      <c r="M55" s="6" t="s">
        <v>90</v>
      </c>
      <c r="N55" s="6" t="s">
        <v>94</v>
      </c>
      <c r="O55" s="6" t="s">
        <v>94</v>
      </c>
      <c r="P55" s="6" t="s">
        <v>131</v>
      </c>
      <c r="Q55" s="6" t="s">
        <v>122</v>
      </c>
      <c r="R55" s="6" t="s">
        <v>1643</v>
      </c>
      <c r="S55" s="6" t="s">
        <v>94</v>
      </c>
      <c r="T55" s="6" t="s">
        <v>94</v>
      </c>
      <c r="U55" s="6" t="s">
        <v>94</v>
      </c>
      <c r="V55" s="6" t="s">
        <v>94</v>
      </c>
      <c r="W55" s="6" t="s">
        <v>418</v>
      </c>
      <c r="X55" s="6" t="s">
        <v>1643</v>
      </c>
      <c r="Y55" s="6" t="s">
        <v>1643</v>
      </c>
      <c r="Z55" s="6" t="s">
        <v>1652</v>
      </c>
      <c r="AA55" s="8">
        <v>1</v>
      </c>
      <c r="AB55" s="8">
        <v>1</v>
      </c>
      <c r="AC55" s="8">
        <v>1</v>
      </c>
      <c r="AD55" s="8">
        <v>0</v>
      </c>
      <c r="AE55" s="8">
        <v>100</v>
      </c>
      <c r="AF55" s="6" t="s">
        <v>282</v>
      </c>
      <c r="AG55" s="6" t="s">
        <v>283</v>
      </c>
      <c r="AH55" s="6" t="s">
        <v>468</v>
      </c>
      <c r="AI55" s="6" t="s">
        <v>286</v>
      </c>
      <c r="AJ55" s="9">
        <v>40</v>
      </c>
      <c r="AK55" s="8">
        <v>40</v>
      </c>
      <c r="AL55" s="8">
        <v>40</v>
      </c>
      <c r="AM55" s="8">
        <v>40</v>
      </c>
      <c r="AN55" s="8">
        <v>40</v>
      </c>
      <c r="AO55" s="13">
        <v>40</v>
      </c>
      <c r="AP55" s="5"/>
    </row>
    <row r="56" spans="1:42">
      <c r="A56" s="12">
        <v>55</v>
      </c>
      <c r="B56" s="6" t="s">
        <v>471</v>
      </c>
      <c r="C56" s="6" t="s">
        <v>1714</v>
      </c>
      <c r="D56" s="6" t="s">
        <v>94</v>
      </c>
      <c r="E56" s="6" t="s">
        <v>86</v>
      </c>
      <c r="F56" s="7">
        <v>43070</v>
      </c>
      <c r="G56" s="6" t="s">
        <v>111</v>
      </c>
      <c r="H56" s="6" t="s">
        <v>146</v>
      </c>
      <c r="I56" s="6" t="s">
        <v>473</v>
      </c>
      <c r="J56" s="6" t="s">
        <v>90</v>
      </c>
      <c r="K56" s="6" t="s">
        <v>91</v>
      </c>
      <c r="L56" s="6" t="s">
        <v>92</v>
      </c>
      <c r="M56" s="6" t="s">
        <v>90</v>
      </c>
      <c r="N56" s="6" t="s">
        <v>474</v>
      </c>
      <c r="O56" s="6" t="s">
        <v>122</v>
      </c>
      <c r="P56" s="6" t="s">
        <v>474</v>
      </c>
      <c r="Q56" s="6" t="s">
        <v>122</v>
      </c>
      <c r="R56" s="6" t="s">
        <v>1643</v>
      </c>
      <c r="S56" s="6" t="s">
        <v>94</v>
      </c>
      <c r="T56" s="6" t="s">
        <v>94</v>
      </c>
      <c r="U56" s="6" t="s">
        <v>94</v>
      </c>
      <c r="V56" s="6" t="s">
        <v>94</v>
      </c>
      <c r="W56" s="6" t="s">
        <v>418</v>
      </c>
      <c r="X56" s="6" t="s">
        <v>1643</v>
      </c>
      <c r="Y56" s="6" t="s">
        <v>1643</v>
      </c>
      <c r="Z56" s="6" t="s">
        <v>1652</v>
      </c>
      <c r="AA56" s="8">
        <v>1</v>
      </c>
      <c r="AB56" s="8">
        <v>1</v>
      </c>
      <c r="AC56" s="8">
        <v>1</v>
      </c>
      <c r="AD56" s="8">
        <v>0</v>
      </c>
      <c r="AE56" s="8">
        <v>100</v>
      </c>
      <c r="AF56" s="6" t="s">
        <v>282</v>
      </c>
      <c r="AG56" s="6" t="s">
        <v>283</v>
      </c>
      <c r="AH56" s="6" t="s">
        <v>341</v>
      </c>
      <c r="AI56" s="6" t="s">
        <v>286</v>
      </c>
      <c r="AJ56" s="9">
        <v>40</v>
      </c>
      <c r="AK56" s="8">
        <v>40</v>
      </c>
      <c r="AL56" s="8">
        <v>40</v>
      </c>
      <c r="AM56" s="8">
        <v>40</v>
      </c>
      <c r="AN56" s="8">
        <v>40</v>
      </c>
      <c r="AO56" s="13">
        <v>40</v>
      </c>
      <c r="AP56" s="5"/>
    </row>
    <row r="57" spans="1:42">
      <c r="A57" s="12">
        <v>56</v>
      </c>
      <c r="B57" s="6" t="s">
        <v>475</v>
      </c>
      <c r="C57" s="6" t="s">
        <v>1715</v>
      </c>
      <c r="D57" s="6" t="s">
        <v>387</v>
      </c>
      <c r="E57" s="6" t="s">
        <v>86</v>
      </c>
      <c r="F57" s="7">
        <v>41686</v>
      </c>
      <c r="G57" s="6" t="s">
        <v>406</v>
      </c>
      <c r="H57" s="6" t="s">
        <v>311</v>
      </c>
      <c r="I57" s="6" t="s">
        <v>477</v>
      </c>
      <c r="J57" s="6" t="s">
        <v>90</v>
      </c>
      <c r="K57" s="6" t="s">
        <v>91</v>
      </c>
      <c r="L57" s="6" t="s">
        <v>92</v>
      </c>
      <c r="M57" s="6" t="s">
        <v>90</v>
      </c>
      <c r="N57" s="6" t="s">
        <v>93</v>
      </c>
      <c r="O57" s="6" t="s">
        <v>94</v>
      </c>
      <c r="P57" s="6" t="s">
        <v>94</v>
      </c>
      <c r="Q57" s="6" t="s">
        <v>94</v>
      </c>
      <c r="R57" s="6" t="s">
        <v>1689</v>
      </c>
      <c r="S57" s="6" t="s">
        <v>1690</v>
      </c>
      <c r="T57" s="6" t="s">
        <v>94</v>
      </c>
      <c r="U57" s="6" t="s">
        <v>94</v>
      </c>
      <c r="V57" s="6" t="s">
        <v>94</v>
      </c>
      <c r="W57" s="6" t="s">
        <v>409</v>
      </c>
      <c r="X57" s="6" t="s">
        <v>1689</v>
      </c>
      <c r="Y57" s="6" t="s">
        <v>1689</v>
      </c>
      <c r="Z57" s="6" t="s">
        <v>1689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6" t="s">
        <v>94</v>
      </c>
      <c r="AG57" s="6" t="s">
        <v>94</v>
      </c>
      <c r="AH57" s="6" t="s">
        <v>94</v>
      </c>
      <c r="AI57" s="6" t="s">
        <v>94</v>
      </c>
      <c r="AJ57" s="9">
        <v>0</v>
      </c>
      <c r="AK57" s="8">
        <v>0</v>
      </c>
      <c r="AL57" s="8">
        <v>0</v>
      </c>
      <c r="AM57" s="8">
        <v>0</v>
      </c>
      <c r="AN57" s="8">
        <v>0</v>
      </c>
      <c r="AO57" s="13">
        <v>0</v>
      </c>
      <c r="AP57" s="5"/>
    </row>
    <row r="58" spans="1:42">
      <c r="A58" s="12">
        <v>57</v>
      </c>
      <c r="B58" s="6" t="s">
        <v>478</v>
      </c>
      <c r="C58" s="6" t="s">
        <v>1716</v>
      </c>
      <c r="D58" s="6" t="s">
        <v>292</v>
      </c>
      <c r="E58" s="6" t="s">
        <v>86</v>
      </c>
      <c r="F58" s="7">
        <v>46158</v>
      </c>
      <c r="G58" s="6" t="s">
        <v>111</v>
      </c>
      <c r="H58" s="6" t="s">
        <v>94</v>
      </c>
      <c r="I58" s="6" t="s">
        <v>94</v>
      </c>
      <c r="J58" s="6" t="s">
        <v>90</v>
      </c>
      <c r="K58" s="6" t="s">
        <v>91</v>
      </c>
      <c r="L58" s="6" t="s">
        <v>92</v>
      </c>
      <c r="M58" s="6" t="s">
        <v>90</v>
      </c>
      <c r="N58" s="6" t="s">
        <v>94</v>
      </c>
      <c r="O58" s="6" t="s">
        <v>94</v>
      </c>
      <c r="P58" s="6" t="s">
        <v>131</v>
      </c>
      <c r="Q58" s="6" t="s">
        <v>95</v>
      </c>
      <c r="R58" s="6" t="s">
        <v>1643</v>
      </c>
      <c r="S58" s="6" t="s">
        <v>1717</v>
      </c>
      <c r="T58" s="6" t="s">
        <v>94</v>
      </c>
      <c r="U58" s="6" t="s">
        <v>94</v>
      </c>
      <c r="V58" s="6" t="s">
        <v>94</v>
      </c>
      <c r="W58" s="6" t="s">
        <v>281</v>
      </c>
      <c r="X58" s="6" t="s">
        <v>1643</v>
      </c>
      <c r="Y58" s="6" t="s">
        <v>1643</v>
      </c>
      <c r="Z58" s="6" t="s">
        <v>1643</v>
      </c>
      <c r="AA58" s="8">
        <v>1</v>
      </c>
      <c r="AB58" s="8">
        <v>1</v>
      </c>
      <c r="AC58" s="8">
        <v>1</v>
      </c>
      <c r="AD58" s="8">
        <v>1</v>
      </c>
      <c r="AE58" s="8">
        <v>100</v>
      </c>
      <c r="AF58" s="6" t="s">
        <v>391</v>
      </c>
      <c r="AG58" s="6" t="s">
        <v>386</v>
      </c>
      <c r="AH58" s="6" t="s">
        <v>387</v>
      </c>
      <c r="AI58" s="6" t="s">
        <v>286</v>
      </c>
      <c r="AJ58" s="9">
        <v>40</v>
      </c>
      <c r="AK58" s="8">
        <v>40</v>
      </c>
      <c r="AL58" s="8">
        <v>40</v>
      </c>
      <c r="AM58" s="8">
        <v>40</v>
      </c>
      <c r="AN58" s="8">
        <v>40</v>
      </c>
      <c r="AO58" s="13">
        <v>40</v>
      </c>
      <c r="AP58" s="5"/>
    </row>
    <row r="59" spans="1:42">
      <c r="A59" s="12">
        <v>58</v>
      </c>
      <c r="B59" s="6" t="s">
        <v>480</v>
      </c>
      <c r="C59" s="6" t="s">
        <v>1718</v>
      </c>
      <c r="D59" s="6" t="s">
        <v>315</v>
      </c>
      <c r="E59" s="6" t="s">
        <v>86</v>
      </c>
      <c r="F59" s="7">
        <v>44384</v>
      </c>
      <c r="G59" s="6" t="s">
        <v>111</v>
      </c>
      <c r="H59" s="6" t="s">
        <v>151</v>
      </c>
      <c r="I59" s="6" t="s">
        <v>482</v>
      </c>
      <c r="J59" s="6" t="s">
        <v>90</v>
      </c>
      <c r="K59" s="6" t="s">
        <v>91</v>
      </c>
      <c r="L59" s="6" t="s">
        <v>92</v>
      </c>
      <c r="M59" s="6" t="s">
        <v>90</v>
      </c>
      <c r="N59" s="6" t="s">
        <v>412</v>
      </c>
      <c r="O59" s="6" t="s">
        <v>95</v>
      </c>
      <c r="P59" s="6" t="s">
        <v>451</v>
      </c>
      <c r="Q59" s="6" t="s">
        <v>95</v>
      </c>
      <c r="R59" s="6" t="s">
        <v>1643</v>
      </c>
      <c r="S59" s="6" t="s">
        <v>94</v>
      </c>
      <c r="T59" s="6" t="s">
        <v>94</v>
      </c>
      <c r="U59" s="6" t="s">
        <v>94</v>
      </c>
      <c r="V59" s="6" t="s">
        <v>94</v>
      </c>
      <c r="W59" s="6" t="s">
        <v>281</v>
      </c>
      <c r="X59" s="6" t="s">
        <v>1643</v>
      </c>
      <c r="Y59" s="6" t="s">
        <v>1643</v>
      </c>
      <c r="Z59" s="6" t="s">
        <v>1643</v>
      </c>
      <c r="AA59" s="8">
        <v>1</v>
      </c>
      <c r="AB59" s="8">
        <v>1</v>
      </c>
      <c r="AC59" s="8">
        <v>1</v>
      </c>
      <c r="AD59" s="8">
        <v>1</v>
      </c>
      <c r="AE59" s="8">
        <v>100</v>
      </c>
      <c r="AF59" s="6" t="s">
        <v>297</v>
      </c>
      <c r="AG59" s="6" t="s">
        <v>283</v>
      </c>
      <c r="AH59" s="6" t="s">
        <v>292</v>
      </c>
      <c r="AI59" s="6" t="s">
        <v>286</v>
      </c>
      <c r="AJ59" s="9">
        <v>40</v>
      </c>
      <c r="AK59" s="8">
        <v>40</v>
      </c>
      <c r="AL59" s="8">
        <v>40</v>
      </c>
      <c r="AM59" s="8">
        <v>40</v>
      </c>
      <c r="AN59" s="8">
        <v>40</v>
      </c>
      <c r="AO59" s="13">
        <v>40</v>
      </c>
      <c r="AP59" s="5"/>
    </row>
    <row r="60" spans="1:42">
      <c r="A60" s="12">
        <v>59</v>
      </c>
      <c r="B60" s="6" t="s">
        <v>483</v>
      </c>
      <c r="C60" s="6" t="s">
        <v>1719</v>
      </c>
      <c r="D60" s="6" t="s">
        <v>486</v>
      </c>
      <c r="E60" s="6" t="s">
        <v>86</v>
      </c>
      <c r="F60" s="7">
        <v>43175</v>
      </c>
      <c r="G60" s="6" t="s">
        <v>111</v>
      </c>
      <c r="H60" s="6" t="s">
        <v>107</v>
      </c>
      <c r="I60" s="6" t="s">
        <v>485</v>
      </c>
      <c r="J60" s="6" t="s">
        <v>90</v>
      </c>
      <c r="K60" s="6" t="s">
        <v>91</v>
      </c>
      <c r="L60" s="6" t="s">
        <v>92</v>
      </c>
      <c r="M60" s="6" t="s">
        <v>90</v>
      </c>
      <c r="N60" s="6" t="s">
        <v>313</v>
      </c>
      <c r="O60" s="6" t="s">
        <v>94</v>
      </c>
      <c r="P60" s="6" t="s">
        <v>313</v>
      </c>
      <c r="Q60" s="6" t="s">
        <v>122</v>
      </c>
      <c r="R60" s="6" t="s">
        <v>1643</v>
      </c>
      <c r="S60" s="6" t="s">
        <v>94</v>
      </c>
      <c r="T60" s="6" t="s">
        <v>94</v>
      </c>
      <c r="U60" s="6" t="s">
        <v>94</v>
      </c>
      <c r="V60" s="6" t="s">
        <v>94</v>
      </c>
      <c r="W60" s="6" t="s">
        <v>281</v>
      </c>
      <c r="X60" s="6" t="s">
        <v>1643</v>
      </c>
      <c r="Y60" s="6" t="s">
        <v>1643</v>
      </c>
      <c r="Z60" s="6" t="s">
        <v>1643</v>
      </c>
      <c r="AA60" s="8">
        <v>1</v>
      </c>
      <c r="AB60" s="8">
        <v>1</v>
      </c>
      <c r="AC60" s="8">
        <v>1</v>
      </c>
      <c r="AD60" s="8">
        <v>1</v>
      </c>
      <c r="AE60" s="8">
        <v>100</v>
      </c>
      <c r="AF60" s="6" t="s">
        <v>317</v>
      </c>
      <c r="AG60" s="6" t="s">
        <v>283</v>
      </c>
      <c r="AH60" s="6" t="s">
        <v>315</v>
      </c>
      <c r="AI60" s="6" t="s">
        <v>286</v>
      </c>
      <c r="AJ60" s="9">
        <v>40</v>
      </c>
      <c r="AK60" s="8">
        <v>40</v>
      </c>
      <c r="AL60" s="8">
        <v>40</v>
      </c>
      <c r="AM60" s="8">
        <v>40</v>
      </c>
      <c r="AN60" s="8">
        <v>40</v>
      </c>
      <c r="AO60" s="13">
        <v>40</v>
      </c>
      <c r="AP60" s="5"/>
    </row>
    <row r="61" spans="1:42">
      <c r="A61" s="12">
        <v>60</v>
      </c>
      <c r="B61" s="6" t="s">
        <v>487</v>
      </c>
      <c r="C61" s="6" t="s">
        <v>1720</v>
      </c>
      <c r="D61" s="6" t="s">
        <v>323</v>
      </c>
      <c r="E61" s="6" t="s">
        <v>86</v>
      </c>
      <c r="F61" s="7">
        <v>42552</v>
      </c>
      <c r="G61" s="6" t="s">
        <v>87</v>
      </c>
      <c r="H61" s="6" t="s">
        <v>359</v>
      </c>
      <c r="I61" s="6" t="s">
        <v>489</v>
      </c>
      <c r="J61" s="6" t="s">
        <v>90</v>
      </c>
      <c r="K61" s="6" t="s">
        <v>91</v>
      </c>
      <c r="L61" s="6" t="s">
        <v>92</v>
      </c>
      <c r="M61" s="6" t="s">
        <v>90</v>
      </c>
      <c r="N61" s="6" t="s">
        <v>93</v>
      </c>
      <c r="O61" s="6" t="s">
        <v>122</v>
      </c>
      <c r="P61" s="6" t="s">
        <v>93</v>
      </c>
      <c r="Q61" s="6" t="s">
        <v>122</v>
      </c>
      <c r="R61" s="6" t="s">
        <v>1643</v>
      </c>
      <c r="S61" s="6" t="s">
        <v>94</v>
      </c>
      <c r="T61" s="6" t="s">
        <v>94</v>
      </c>
      <c r="U61" s="6" t="s">
        <v>94</v>
      </c>
      <c r="V61" s="6" t="s">
        <v>94</v>
      </c>
      <c r="W61" s="6" t="s">
        <v>490</v>
      </c>
      <c r="X61" s="6" t="s">
        <v>1643</v>
      </c>
      <c r="Y61" s="6" t="s">
        <v>1643</v>
      </c>
      <c r="Z61" s="6" t="s">
        <v>1643</v>
      </c>
      <c r="AA61" s="8">
        <v>1</v>
      </c>
      <c r="AB61" s="8">
        <v>1</v>
      </c>
      <c r="AC61" s="8">
        <v>1</v>
      </c>
      <c r="AD61" s="8">
        <v>1</v>
      </c>
      <c r="AE61" s="8">
        <v>100</v>
      </c>
      <c r="AF61" s="6" t="s">
        <v>491</v>
      </c>
      <c r="AG61" s="6" t="s">
        <v>492</v>
      </c>
      <c r="AH61" s="6" t="s">
        <v>486</v>
      </c>
      <c r="AI61" s="6" t="s">
        <v>286</v>
      </c>
      <c r="AJ61" s="9">
        <v>40</v>
      </c>
      <c r="AK61" s="8">
        <v>40</v>
      </c>
      <c r="AL61" s="8">
        <v>40</v>
      </c>
      <c r="AM61" s="8">
        <v>40</v>
      </c>
      <c r="AN61" s="8">
        <v>40</v>
      </c>
      <c r="AO61" s="13">
        <v>40</v>
      </c>
      <c r="AP61" s="5"/>
    </row>
    <row r="62" spans="1:42">
      <c r="A62" s="12">
        <v>61</v>
      </c>
      <c r="B62" s="6" t="s">
        <v>493</v>
      </c>
      <c r="C62" s="6" t="s">
        <v>1721</v>
      </c>
      <c r="D62" s="6" t="s">
        <v>323</v>
      </c>
      <c r="E62" s="6" t="s">
        <v>86</v>
      </c>
      <c r="F62" s="7">
        <v>44332</v>
      </c>
      <c r="G62" s="6" t="s">
        <v>111</v>
      </c>
      <c r="H62" s="6" t="s">
        <v>495</v>
      </c>
      <c r="I62" s="6" t="s">
        <v>496</v>
      </c>
      <c r="J62" s="6" t="s">
        <v>90</v>
      </c>
      <c r="K62" s="6" t="s">
        <v>91</v>
      </c>
      <c r="L62" s="6" t="s">
        <v>92</v>
      </c>
      <c r="M62" s="6" t="s">
        <v>90</v>
      </c>
      <c r="N62" s="6" t="s">
        <v>497</v>
      </c>
      <c r="O62" s="6" t="s">
        <v>94</v>
      </c>
      <c r="P62" s="6" t="s">
        <v>364</v>
      </c>
      <c r="Q62" s="6" t="s">
        <v>95</v>
      </c>
      <c r="R62" s="6" t="s">
        <v>1643</v>
      </c>
      <c r="S62" s="6" t="s">
        <v>94</v>
      </c>
      <c r="T62" s="6" t="s">
        <v>94</v>
      </c>
      <c r="U62" s="6" t="s">
        <v>94</v>
      </c>
      <c r="V62" s="6" t="s">
        <v>94</v>
      </c>
      <c r="W62" s="6" t="s">
        <v>281</v>
      </c>
      <c r="X62" s="6" t="s">
        <v>1643</v>
      </c>
      <c r="Y62" s="6" t="s">
        <v>1643</v>
      </c>
      <c r="Z62" s="6" t="s">
        <v>1643</v>
      </c>
      <c r="AA62" s="8">
        <v>1</v>
      </c>
      <c r="AB62" s="8">
        <v>1</v>
      </c>
      <c r="AC62" s="8">
        <v>1</v>
      </c>
      <c r="AD62" s="8">
        <v>1</v>
      </c>
      <c r="AE62" s="8">
        <v>0</v>
      </c>
      <c r="AF62" s="6" t="s">
        <v>326</v>
      </c>
      <c r="AG62" s="6" t="s">
        <v>283</v>
      </c>
      <c r="AH62" s="6" t="s">
        <v>323</v>
      </c>
      <c r="AI62" s="6" t="s">
        <v>286</v>
      </c>
      <c r="AJ62" s="9">
        <v>40</v>
      </c>
      <c r="AK62" s="8">
        <v>40</v>
      </c>
      <c r="AL62" s="8">
        <v>40</v>
      </c>
      <c r="AM62" s="8">
        <v>40</v>
      </c>
      <c r="AN62" s="8">
        <v>40</v>
      </c>
      <c r="AO62" s="13">
        <v>40</v>
      </c>
      <c r="AP62" s="5"/>
    </row>
    <row r="63" spans="1:42">
      <c r="A63" s="12">
        <v>62</v>
      </c>
      <c r="B63" s="6" t="s">
        <v>498</v>
      </c>
      <c r="C63" s="6" t="s">
        <v>1722</v>
      </c>
      <c r="D63" s="6" t="s">
        <v>501</v>
      </c>
      <c r="E63" s="6" t="s">
        <v>86</v>
      </c>
      <c r="F63" s="7">
        <v>44735</v>
      </c>
      <c r="G63" s="6" t="s">
        <v>204</v>
      </c>
      <c r="H63" s="6" t="s">
        <v>126</v>
      </c>
      <c r="I63" s="6" t="s">
        <v>500</v>
      </c>
      <c r="J63" s="6" t="s">
        <v>90</v>
      </c>
      <c r="K63" s="6" t="s">
        <v>91</v>
      </c>
      <c r="L63" s="6" t="s">
        <v>92</v>
      </c>
      <c r="M63" s="6" t="s">
        <v>90</v>
      </c>
      <c r="N63" s="6" t="s">
        <v>43</v>
      </c>
      <c r="O63" s="6" t="s">
        <v>104</v>
      </c>
      <c r="P63" s="6" t="s">
        <v>43</v>
      </c>
      <c r="Q63" s="6" t="s">
        <v>95</v>
      </c>
      <c r="R63" s="6" t="s">
        <v>1643</v>
      </c>
      <c r="S63" s="6" t="s">
        <v>94</v>
      </c>
      <c r="T63" s="6" t="s">
        <v>94</v>
      </c>
      <c r="U63" s="6" t="s">
        <v>94</v>
      </c>
      <c r="V63" s="6" t="s">
        <v>94</v>
      </c>
      <c r="W63" s="6" t="s">
        <v>403</v>
      </c>
      <c r="X63" s="6" t="s">
        <v>1643</v>
      </c>
      <c r="Y63" s="6" t="s">
        <v>1643</v>
      </c>
      <c r="Z63" s="6" t="s">
        <v>1643</v>
      </c>
      <c r="AA63" s="8">
        <v>1</v>
      </c>
      <c r="AB63" s="8">
        <v>1</v>
      </c>
      <c r="AC63" s="8">
        <v>1</v>
      </c>
      <c r="AD63" s="8">
        <v>1</v>
      </c>
      <c r="AE63" s="8">
        <v>0</v>
      </c>
      <c r="AF63" s="6" t="s">
        <v>326</v>
      </c>
      <c r="AG63" s="6" t="s">
        <v>283</v>
      </c>
      <c r="AH63" s="6" t="s">
        <v>323</v>
      </c>
      <c r="AI63" s="6" t="s">
        <v>286</v>
      </c>
      <c r="AJ63" s="9">
        <v>40</v>
      </c>
      <c r="AK63" s="8">
        <v>40</v>
      </c>
      <c r="AL63" s="8">
        <v>40</v>
      </c>
      <c r="AM63" s="8">
        <v>40</v>
      </c>
      <c r="AN63" s="8">
        <v>40</v>
      </c>
      <c r="AO63" s="13">
        <v>40</v>
      </c>
      <c r="AP63" s="5"/>
    </row>
    <row r="64" spans="1:42">
      <c r="A64" s="12">
        <v>63</v>
      </c>
      <c r="B64" s="6" t="s">
        <v>502</v>
      </c>
      <c r="C64" s="6" t="s">
        <v>1723</v>
      </c>
      <c r="D64" s="6" t="s">
        <v>323</v>
      </c>
      <c r="E64" s="6" t="s">
        <v>86</v>
      </c>
      <c r="F64" s="7">
        <v>43906</v>
      </c>
      <c r="G64" s="6" t="s">
        <v>111</v>
      </c>
      <c r="H64" s="6" t="s">
        <v>126</v>
      </c>
      <c r="I64" s="6" t="s">
        <v>504</v>
      </c>
      <c r="J64" s="6" t="s">
        <v>90</v>
      </c>
      <c r="K64" s="6" t="s">
        <v>91</v>
      </c>
      <c r="L64" s="6" t="s">
        <v>92</v>
      </c>
      <c r="M64" s="6" t="s">
        <v>90</v>
      </c>
      <c r="N64" s="6" t="s">
        <v>131</v>
      </c>
      <c r="O64" s="6" t="s">
        <v>95</v>
      </c>
      <c r="P64" s="6" t="s">
        <v>136</v>
      </c>
      <c r="Q64" s="6" t="s">
        <v>122</v>
      </c>
      <c r="R64" s="6" t="s">
        <v>1643</v>
      </c>
      <c r="S64" s="6" t="s">
        <v>1724</v>
      </c>
      <c r="T64" s="6" t="s">
        <v>94</v>
      </c>
      <c r="U64" s="6" t="s">
        <v>94</v>
      </c>
      <c r="V64" s="6" t="s">
        <v>94</v>
      </c>
      <c r="W64" s="6" t="s">
        <v>418</v>
      </c>
      <c r="X64" s="6" t="s">
        <v>1643</v>
      </c>
      <c r="Y64" s="6" t="s">
        <v>1643</v>
      </c>
      <c r="Z64" s="6" t="s">
        <v>1643</v>
      </c>
      <c r="AA64" s="8">
        <v>1</v>
      </c>
      <c r="AB64" s="8">
        <v>1</v>
      </c>
      <c r="AC64" s="8">
        <v>1</v>
      </c>
      <c r="AD64" s="8">
        <v>1</v>
      </c>
      <c r="AE64" s="8">
        <v>100</v>
      </c>
      <c r="AF64" s="6" t="s">
        <v>334</v>
      </c>
      <c r="AG64" s="6" t="s">
        <v>335</v>
      </c>
      <c r="AH64" s="6" t="s">
        <v>501</v>
      </c>
      <c r="AI64" s="6" t="s">
        <v>286</v>
      </c>
      <c r="AJ64" s="9">
        <v>40</v>
      </c>
      <c r="AK64" s="8">
        <v>40</v>
      </c>
      <c r="AL64" s="8">
        <v>40</v>
      </c>
      <c r="AM64" s="8">
        <v>40</v>
      </c>
      <c r="AN64" s="8">
        <v>40</v>
      </c>
      <c r="AO64" s="13">
        <v>40</v>
      </c>
      <c r="AP64" s="5"/>
    </row>
    <row r="65" spans="1:42">
      <c r="A65" s="12">
        <v>64</v>
      </c>
      <c r="B65" s="6" t="s">
        <v>505</v>
      </c>
      <c r="C65" s="6" t="s">
        <v>1725</v>
      </c>
      <c r="D65" s="6" t="s">
        <v>510</v>
      </c>
      <c r="E65" s="6" t="s">
        <v>86</v>
      </c>
      <c r="F65" s="7">
        <v>45861</v>
      </c>
      <c r="G65" s="6" t="s">
        <v>507</v>
      </c>
      <c r="H65" s="6" t="s">
        <v>94</v>
      </c>
      <c r="I65" s="6" t="s">
        <v>508</v>
      </c>
      <c r="J65" s="6" t="s">
        <v>90</v>
      </c>
      <c r="K65" s="6" t="s">
        <v>91</v>
      </c>
      <c r="L65" s="6" t="s">
        <v>92</v>
      </c>
      <c r="M65" s="6" t="s">
        <v>90</v>
      </c>
      <c r="N65" s="6" t="s">
        <v>94</v>
      </c>
      <c r="O65" s="6" t="s">
        <v>94</v>
      </c>
      <c r="P65" s="6" t="s">
        <v>364</v>
      </c>
      <c r="Q65" s="6" t="s">
        <v>95</v>
      </c>
      <c r="R65" s="6" t="s">
        <v>1643</v>
      </c>
      <c r="S65" s="6" t="s">
        <v>94</v>
      </c>
      <c r="T65" s="6" t="s">
        <v>94</v>
      </c>
      <c r="U65" s="6" t="s">
        <v>94</v>
      </c>
      <c r="V65" s="6" t="s">
        <v>94</v>
      </c>
      <c r="W65" s="6" t="s">
        <v>509</v>
      </c>
      <c r="X65" s="6" t="s">
        <v>1643</v>
      </c>
      <c r="Y65" s="6" t="s">
        <v>1643</v>
      </c>
      <c r="Z65" s="6" t="s">
        <v>1643</v>
      </c>
      <c r="AA65" s="8">
        <v>1</v>
      </c>
      <c r="AB65" s="8">
        <v>1</v>
      </c>
      <c r="AC65" s="8">
        <v>1</v>
      </c>
      <c r="AD65" s="8">
        <v>1</v>
      </c>
      <c r="AE65" s="8">
        <v>0</v>
      </c>
      <c r="AF65" s="6" t="s">
        <v>326</v>
      </c>
      <c r="AG65" s="6" t="s">
        <v>283</v>
      </c>
      <c r="AH65" s="6" t="s">
        <v>323</v>
      </c>
      <c r="AI65" s="6" t="s">
        <v>286</v>
      </c>
      <c r="AJ65" s="9">
        <v>40</v>
      </c>
      <c r="AK65" s="8">
        <v>40</v>
      </c>
      <c r="AL65" s="8">
        <v>40</v>
      </c>
      <c r="AM65" s="8">
        <v>40</v>
      </c>
      <c r="AN65" s="8">
        <v>40</v>
      </c>
      <c r="AO65" s="13">
        <v>40</v>
      </c>
      <c r="AP65" s="5"/>
    </row>
    <row r="66" spans="1:42">
      <c r="A66" s="12">
        <v>65</v>
      </c>
      <c r="B66" s="6" t="s">
        <v>511</v>
      </c>
      <c r="C66" s="6" t="s">
        <v>1726</v>
      </c>
      <c r="D66" s="6" t="s">
        <v>392</v>
      </c>
      <c r="E66" s="6" t="s">
        <v>86</v>
      </c>
      <c r="F66" s="7">
        <v>44278</v>
      </c>
      <c r="G66" s="6" t="s">
        <v>111</v>
      </c>
      <c r="H66" s="6" t="s">
        <v>371</v>
      </c>
      <c r="I66" s="6" t="s">
        <v>513</v>
      </c>
      <c r="J66" s="6" t="s">
        <v>90</v>
      </c>
      <c r="K66" s="6" t="s">
        <v>91</v>
      </c>
      <c r="L66" s="6" t="s">
        <v>92</v>
      </c>
      <c r="M66" s="6" t="s">
        <v>90</v>
      </c>
      <c r="N66" s="6" t="s">
        <v>514</v>
      </c>
      <c r="O66" s="6" t="s">
        <v>122</v>
      </c>
      <c r="P66" s="6" t="s">
        <v>515</v>
      </c>
      <c r="Q66" s="6" t="s">
        <v>122</v>
      </c>
      <c r="R66" s="6" t="s">
        <v>1643</v>
      </c>
      <c r="S66" s="6" t="s">
        <v>94</v>
      </c>
      <c r="T66" s="6" t="s">
        <v>94</v>
      </c>
      <c r="U66" s="6" t="s">
        <v>94</v>
      </c>
      <c r="V66" s="6" t="s">
        <v>94</v>
      </c>
      <c r="W66" s="6" t="s">
        <v>418</v>
      </c>
      <c r="X66" s="6" t="s">
        <v>1643</v>
      </c>
      <c r="Y66" s="6" t="s">
        <v>1643</v>
      </c>
      <c r="Z66" s="6" t="s">
        <v>1643</v>
      </c>
      <c r="AA66" s="8">
        <v>1</v>
      </c>
      <c r="AB66" s="8">
        <v>1</v>
      </c>
      <c r="AC66" s="8">
        <v>1</v>
      </c>
      <c r="AD66" s="8">
        <v>1</v>
      </c>
      <c r="AE66" s="8">
        <v>100</v>
      </c>
      <c r="AF66" s="6" t="s">
        <v>334</v>
      </c>
      <c r="AG66" s="6" t="s">
        <v>335</v>
      </c>
      <c r="AH66" s="6" t="s">
        <v>510</v>
      </c>
      <c r="AI66" s="6" t="s">
        <v>286</v>
      </c>
      <c r="AJ66" s="9">
        <v>40</v>
      </c>
      <c r="AK66" s="8">
        <v>40</v>
      </c>
      <c r="AL66" s="8">
        <v>40</v>
      </c>
      <c r="AM66" s="8">
        <v>40</v>
      </c>
      <c r="AN66" s="8">
        <v>40</v>
      </c>
      <c r="AO66" s="13">
        <v>40</v>
      </c>
      <c r="AP66" s="5"/>
    </row>
    <row r="67" spans="1:42">
      <c r="A67" s="12">
        <v>66</v>
      </c>
      <c r="B67" s="6" t="s">
        <v>516</v>
      </c>
      <c r="C67" s="6" t="s">
        <v>1727</v>
      </c>
      <c r="D67" s="6" t="s">
        <v>298</v>
      </c>
      <c r="E67" s="6" t="s">
        <v>86</v>
      </c>
      <c r="F67" s="7">
        <v>44363</v>
      </c>
      <c r="G67" s="6" t="s">
        <v>288</v>
      </c>
      <c r="H67" s="6" t="s">
        <v>187</v>
      </c>
      <c r="I67" s="6" t="s">
        <v>518</v>
      </c>
      <c r="J67" s="6" t="s">
        <v>90</v>
      </c>
      <c r="K67" s="6" t="s">
        <v>91</v>
      </c>
      <c r="L67" s="6" t="s">
        <v>92</v>
      </c>
      <c r="M67" s="6" t="s">
        <v>90</v>
      </c>
      <c r="N67" s="6" t="s">
        <v>519</v>
      </c>
      <c r="O67" s="6" t="s">
        <v>94</v>
      </c>
      <c r="P67" s="6" t="s">
        <v>117</v>
      </c>
      <c r="Q67" s="6" t="s">
        <v>95</v>
      </c>
      <c r="R67" s="6" t="s">
        <v>1643</v>
      </c>
      <c r="S67" s="6" t="s">
        <v>1728</v>
      </c>
      <c r="T67" s="6" t="s">
        <v>94</v>
      </c>
      <c r="U67" s="6" t="s">
        <v>94</v>
      </c>
      <c r="V67" s="6" t="s">
        <v>94</v>
      </c>
      <c r="W67" s="6" t="s">
        <v>291</v>
      </c>
      <c r="X67" s="6" t="s">
        <v>1643</v>
      </c>
      <c r="Y67" s="6" t="s">
        <v>1643</v>
      </c>
      <c r="Z67" s="6" t="s">
        <v>1652</v>
      </c>
      <c r="AA67" s="8">
        <v>1</v>
      </c>
      <c r="AB67" s="8">
        <v>1</v>
      </c>
      <c r="AC67" s="8">
        <v>1</v>
      </c>
      <c r="AD67" s="8">
        <v>0</v>
      </c>
      <c r="AE67" s="8">
        <v>100</v>
      </c>
      <c r="AF67" s="6" t="s">
        <v>282</v>
      </c>
      <c r="AG67" s="6" t="s">
        <v>283</v>
      </c>
      <c r="AH67" s="6" t="s">
        <v>392</v>
      </c>
      <c r="AI67" s="6" t="s">
        <v>286</v>
      </c>
      <c r="AJ67" s="9">
        <v>40</v>
      </c>
      <c r="AK67" s="8">
        <v>40</v>
      </c>
      <c r="AL67" s="8">
        <v>40</v>
      </c>
      <c r="AM67" s="8">
        <v>40</v>
      </c>
      <c r="AN67" s="8">
        <v>40</v>
      </c>
      <c r="AO67" s="13">
        <v>40</v>
      </c>
      <c r="AP67" s="5"/>
    </row>
    <row r="68" spans="1:42">
      <c r="A68" s="12">
        <v>67</v>
      </c>
      <c r="B68" s="6" t="s">
        <v>520</v>
      </c>
      <c r="C68" s="6" t="s">
        <v>33</v>
      </c>
      <c r="D68" s="6" t="s">
        <v>387</v>
      </c>
      <c r="E68" s="6" t="s">
        <v>86</v>
      </c>
      <c r="F68" s="7">
        <v>46014</v>
      </c>
      <c r="G68" s="6" t="s">
        <v>111</v>
      </c>
      <c r="H68" s="6" t="s">
        <v>94</v>
      </c>
      <c r="I68" s="6" t="s">
        <v>94</v>
      </c>
      <c r="J68" s="6" t="s">
        <v>90</v>
      </c>
      <c r="K68" s="6" t="s">
        <v>91</v>
      </c>
      <c r="L68" s="6" t="s">
        <v>92</v>
      </c>
      <c r="M68" s="6" t="s">
        <v>90</v>
      </c>
      <c r="N68" s="6" t="s">
        <v>94</v>
      </c>
      <c r="O68" s="6" t="s">
        <v>94</v>
      </c>
      <c r="P68" s="6" t="s">
        <v>131</v>
      </c>
      <c r="Q68" s="6" t="s">
        <v>104</v>
      </c>
      <c r="R68" s="6" t="s">
        <v>1643</v>
      </c>
      <c r="S68" s="6" t="s">
        <v>94</v>
      </c>
      <c r="T68" s="6" t="s">
        <v>94</v>
      </c>
      <c r="U68" s="6" t="s">
        <v>94</v>
      </c>
      <c r="V68" s="6" t="s">
        <v>94</v>
      </c>
      <c r="W68" s="6" t="s">
        <v>418</v>
      </c>
      <c r="X68" s="6" t="s">
        <v>1652</v>
      </c>
      <c r="Y68" s="6" t="s">
        <v>1652</v>
      </c>
      <c r="Z68" s="6" t="s">
        <v>1652</v>
      </c>
      <c r="AA68" s="8">
        <v>1</v>
      </c>
      <c r="AB68" s="8">
        <v>0</v>
      </c>
      <c r="AC68" s="8">
        <v>0</v>
      </c>
      <c r="AD68" s="8">
        <v>0</v>
      </c>
      <c r="AE68" s="8">
        <v>100</v>
      </c>
      <c r="AF68" s="6" t="s">
        <v>300</v>
      </c>
      <c r="AG68" s="6" t="s">
        <v>283</v>
      </c>
      <c r="AH68" s="6" t="s">
        <v>298</v>
      </c>
      <c r="AI68" s="6" t="s">
        <v>286</v>
      </c>
      <c r="AJ68" s="9">
        <v>40</v>
      </c>
      <c r="AK68" s="8">
        <v>40</v>
      </c>
      <c r="AL68" s="8">
        <v>8</v>
      </c>
      <c r="AM68" s="8">
        <v>0</v>
      </c>
      <c r="AN68" s="8">
        <v>0</v>
      </c>
      <c r="AO68" s="13">
        <v>0</v>
      </c>
      <c r="AP68" s="5"/>
    </row>
    <row r="69" spans="1:42">
      <c r="A69" s="12">
        <v>68</v>
      </c>
      <c r="B69" s="6" t="s">
        <v>522</v>
      </c>
      <c r="C69" s="6" t="s">
        <v>1729</v>
      </c>
      <c r="D69" s="6" t="s">
        <v>468</v>
      </c>
      <c r="E69" s="6" t="s">
        <v>86</v>
      </c>
      <c r="F69" s="7">
        <v>46180</v>
      </c>
      <c r="G69" s="6" t="s">
        <v>337</v>
      </c>
      <c r="H69" s="6" t="s">
        <v>94</v>
      </c>
      <c r="I69" s="6" t="s">
        <v>94</v>
      </c>
      <c r="J69" s="6" t="s">
        <v>90</v>
      </c>
      <c r="K69" s="6" t="s">
        <v>91</v>
      </c>
      <c r="L69" s="6" t="s">
        <v>92</v>
      </c>
      <c r="M69" s="6" t="s">
        <v>90</v>
      </c>
      <c r="N69" s="6" t="s">
        <v>94</v>
      </c>
      <c r="O69" s="6" t="s">
        <v>94</v>
      </c>
      <c r="P69" s="6" t="s">
        <v>131</v>
      </c>
      <c r="Q69" s="6" t="s">
        <v>95</v>
      </c>
      <c r="R69" s="6" t="s">
        <v>1643</v>
      </c>
      <c r="S69" s="6" t="s">
        <v>94</v>
      </c>
      <c r="T69" s="6" t="s">
        <v>94</v>
      </c>
      <c r="U69" s="6" t="s">
        <v>94</v>
      </c>
      <c r="V69" s="6" t="s">
        <v>94</v>
      </c>
      <c r="W69" s="6" t="s">
        <v>338</v>
      </c>
      <c r="X69" s="6" t="s">
        <v>1643</v>
      </c>
      <c r="Y69" s="6" t="s">
        <v>1643</v>
      </c>
      <c r="Z69" s="6" t="s">
        <v>1643</v>
      </c>
      <c r="AA69" s="8">
        <v>1</v>
      </c>
      <c r="AB69" s="8">
        <v>1</v>
      </c>
      <c r="AC69" s="8">
        <v>1</v>
      </c>
      <c r="AD69" s="8">
        <v>1</v>
      </c>
      <c r="AE69" s="8">
        <v>100</v>
      </c>
      <c r="AF69" s="6" t="s">
        <v>391</v>
      </c>
      <c r="AG69" s="6" t="s">
        <v>386</v>
      </c>
      <c r="AH69" s="6" t="s">
        <v>387</v>
      </c>
      <c r="AI69" s="6" t="s">
        <v>286</v>
      </c>
      <c r="AJ69" s="9">
        <v>40</v>
      </c>
      <c r="AK69" s="8">
        <v>40</v>
      </c>
      <c r="AL69" s="8">
        <v>40</v>
      </c>
      <c r="AM69" s="8">
        <v>40</v>
      </c>
      <c r="AN69" s="8">
        <v>40</v>
      </c>
      <c r="AO69" s="13">
        <v>40</v>
      </c>
      <c r="AP69" s="5"/>
    </row>
    <row r="70" spans="1:42">
      <c r="A70" s="12">
        <v>69</v>
      </c>
      <c r="B70" s="6" t="s">
        <v>524</v>
      </c>
      <c r="C70" s="6" t="s">
        <v>1730</v>
      </c>
      <c r="D70" s="6" t="s">
        <v>501</v>
      </c>
      <c r="E70" s="6" t="s">
        <v>86</v>
      </c>
      <c r="F70" s="7">
        <v>41928</v>
      </c>
      <c r="G70" s="6" t="s">
        <v>14</v>
      </c>
      <c r="H70" s="6" t="s">
        <v>526</v>
      </c>
      <c r="I70" s="6" t="s">
        <v>527</v>
      </c>
      <c r="J70" s="6" t="s">
        <v>90</v>
      </c>
      <c r="K70" s="6" t="s">
        <v>91</v>
      </c>
      <c r="L70" s="6" t="s">
        <v>92</v>
      </c>
      <c r="M70" s="6" t="s">
        <v>90</v>
      </c>
      <c r="N70" s="6" t="s">
        <v>103</v>
      </c>
      <c r="O70" s="6" t="s">
        <v>122</v>
      </c>
      <c r="P70" s="6" t="s">
        <v>131</v>
      </c>
      <c r="Q70" s="6" t="s">
        <v>417</v>
      </c>
      <c r="R70" s="6" t="s">
        <v>1643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422</v>
      </c>
      <c r="X70" s="6" t="s">
        <v>1643</v>
      </c>
      <c r="Y70" s="6" t="s">
        <v>1643</v>
      </c>
      <c r="Z70" s="6" t="s">
        <v>1643</v>
      </c>
      <c r="AA70" s="8">
        <v>1</v>
      </c>
      <c r="AB70" s="8">
        <v>1</v>
      </c>
      <c r="AC70" s="8">
        <v>1</v>
      </c>
      <c r="AD70" s="8">
        <v>1</v>
      </c>
      <c r="AE70" s="8">
        <v>100</v>
      </c>
      <c r="AF70" s="6" t="s">
        <v>282</v>
      </c>
      <c r="AG70" s="6" t="s">
        <v>283</v>
      </c>
      <c r="AH70" s="6" t="s">
        <v>468</v>
      </c>
      <c r="AI70" s="6" t="s">
        <v>286</v>
      </c>
      <c r="AJ70" s="9">
        <v>40</v>
      </c>
      <c r="AK70" s="8">
        <v>40</v>
      </c>
      <c r="AL70" s="8">
        <v>40</v>
      </c>
      <c r="AM70" s="8">
        <v>40</v>
      </c>
      <c r="AN70" s="8">
        <v>40</v>
      </c>
      <c r="AO70" s="13">
        <v>40</v>
      </c>
      <c r="AP70" s="5"/>
    </row>
    <row r="71" spans="1:42">
      <c r="A71" s="12">
        <v>70</v>
      </c>
      <c r="B71" s="6" t="s">
        <v>528</v>
      </c>
      <c r="C71" s="6" t="s">
        <v>1731</v>
      </c>
      <c r="D71" s="6" t="s">
        <v>285</v>
      </c>
      <c r="E71" s="6" t="s">
        <v>86</v>
      </c>
      <c r="F71" s="7">
        <v>43040</v>
      </c>
      <c r="G71" s="6" t="s">
        <v>111</v>
      </c>
      <c r="H71" s="6" t="s">
        <v>101</v>
      </c>
      <c r="I71" s="6" t="s">
        <v>530</v>
      </c>
      <c r="J71" s="6" t="s">
        <v>90</v>
      </c>
      <c r="K71" s="6" t="s">
        <v>91</v>
      </c>
      <c r="L71" s="6" t="s">
        <v>92</v>
      </c>
      <c r="M71" s="6" t="s">
        <v>90</v>
      </c>
      <c r="N71" s="6" t="s">
        <v>131</v>
      </c>
      <c r="O71" s="6" t="s">
        <v>95</v>
      </c>
      <c r="P71" s="6" t="s">
        <v>136</v>
      </c>
      <c r="Q71" s="6" t="s">
        <v>122</v>
      </c>
      <c r="R71" s="6" t="s">
        <v>1643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281</v>
      </c>
      <c r="X71" s="6" t="s">
        <v>1643</v>
      </c>
      <c r="Y71" s="6" t="s">
        <v>1643</v>
      </c>
      <c r="Z71" s="6" t="s">
        <v>1643</v>
      </c>
      <c r="AA71" s="8">
        <v>1</v>
      </c>
      <c r="AB71" s="8">
        <v>1</v>
      </c>
      <c r="AC71" s="8">
        <v>1</v>
      </c>
      <c r="AD71" s="8">
        <v>1</v>
      </c>
      <c r="AE71" s="8">
        <v>100</v>
      </c>
      <c r="AF71" s="6" t="s">
        <v>334</v>
      </c>
      <c r="AG71" s="6" t="s">
        <v>335</v>
      </c>
      <c r="AH71" s="6" t="s">
        <v>501</v>
      </c>
      <c r="AI71" s="6" t="s">
        <v>286</v>
      </c>
      <c r="AJ71" s="9">
        <v>40</v>
      </c>
      <c r="AK71" s="8">
        <v>40</v>
      </c>
      <c r="AL71" s="8">
        <v>40</v>
      </c>
      <c r="AM71" s="8">
        <v>40</v>
      </c>
      <c r="AN71" s="8">
        <v>40</v>
      </c>
      <c r="AO71" s="13">
        <v>40</v>
      </c>
      <c r="AP71" s="5"/>
    </row>
    <row r="72" spans="1:42">
      <c r="A72" s="12">
        <v>71</v>
      </c>
      <c r="B72" s="6" t="s">
        <v>531</v>
      </c>
      <c r="C72" s="6" t="s">
        <v>1732</v>
      </c>
      <c r="D72" s="6" t="s">
        <v>301</v>
      </c>
      <c r="E72" s="6" t="s">
        <v>86</v>
      </c>
      <c r="F72" s="7">
        <v>45459</v>
      </c>
      <c r="G72" s="6" t="s">
        <v>111</v>
      </c>
      <c r="H72" s="6" t="s">
        <v>146</v>
      </c>
      <c r="I72" s="6" t="s">
        <v>533</v>
      </c>
      <c r="J72" s="6" t="s">
        <v>90</v>
      </c>
      <c r="K72" s="6" t="s">
        <v>91</v>
      </c>
      <c r="L72" s="6" t="s">
        <v>92</v>
      </c>
      <c r="M72" s="6" t="s">
        <v>90</v>
      </c>
      <c r="N72" s="6" t="s">
        <v>94</v>
      </c>
      <c r="O72" s="6" t="s">
        <v>94</v>
      </c>
      <c r="P72" s="6" t="s">
        <v>131</v>
      </c>
      <c r="Q72" s="6" t="s">
        <v>95</v>
      </c>
      <c r="R72" s="6" t="s">
        <v>1643</v>
      </c>
      <c r="S72" s="6" t="s">
        <v>94</v>
      </c>
      <c r="T72" s="6" t="s">
        <v>94</v>
      </c>
      <c r="U72" s="6" t="s">
        <v>94</v>
      </c>
      <c r="V72" s="6" t="s">
        <v>94</v>
      </c>
      <c r="W72" s="6" t="s">
        <v>281</v>
      </c>
      <c r="X72" s="6" t="s">
        <v>1643</v>
      </c>
      <c r="Y72" s="6" t="s">
        <v>1643</v>
      </c>
      <c r="Z72" s="6" t="s">
        <v>1643</v>
      </c>
      <c r="AA72" s="8">
        <v>1</v>
      </c>
      <c r="AB72" s="8">
        <v>1</v>
      </c>
      <c r="AC72" s="8">
        <v>1</v>
      </c>
      <c r="AD72" s="8">
        <v>1</v>
      </c>
      <c r="AE72" s="8">
        <v>100</v>
      </c>
      <c r="AF72" s="6" t="s">
        <v>282</v>
      </c>
      <c r="AG72" s="6" t="s">
        <v>283</v>
      </c>
      <c r="AH72" s="6" t="s">
        <v>285</v>
      </c>
      <c r="AI72" s="6" t="s">
        <v>286</v>
      </c>
      <c r="AJ72" s="9">
        <v>40</v>
      </c>
      <c r="AK72" s="8">
        <v>40</v>
      </c>
      <c r="AL72" s="8">
        <v>40</v>
      </c>
      <c r="AM72" s="8">
        <v>40</v>
      </c>
      <c r="AN72" s="8">
        <v>40</v>
      </c>
      <c r="AO72" s="13">
        <v>40</v>
      </c>
      <c r="AP72" s="5"/>
    </row>
    <row r="73" spans="1:42">
      <c r="A73" s="12">
        <v>72</v>
      </c>
      <c r="B73" s="6" t="s">
        <v>534</v>
      </c>
      <c r="C73" s="6" t="s">
        <v>1733</v>
      </c>
      <c r="D73" s="6" t="s">
        <v>537</v>
      </c>
      <c r="E73" s="6" t="s">
        <v>86</v>
      </c>
      <c r="F73" s="7">
        <v>46014</v>
      </c>
      <c r="G73" s="6" t="s">
        <v>337</v>
      </c>
      <c r="H73" s="6" t="s">
        <v>94</v>
      </c>
      <c r="I73" s="6" t="s">
        <v>536</v>
      </c>
      <c r="J73" s="6" t="s">
        <v>90</v>
      </c>
      <c r="K73" s="6" t="s">
        <v>91</v>
      </c>
      <c r="L73" s="6" t="s">
        <v>92</v>
      </c>
      <c r="M73" s="6" t="s">
        <v>90</v>
      </c>
      <c r="N73" s="6" t="s">
        <v>94</v>
      </c>
      <c r="O73" s="6" t="s">
        <v>94</v>
      </c>
      <c r="P73" s="6" t="s">
        <v>131</v>
      </c>
      <c r="Q73" s="6" t="s">
        <v>104</v>
      </c>
      <c r="R73" s="6" t="s">
        <v>1643</v>
      </c>
      <c r="S73" s="6" t="s">
        <v>94</v>
      </c>
      <c r="T73" s="6" t="s">
        <v>94</v>
      </c>
      <c r="U73" s="6" t="s">
        <v>94</v>
      </c>
      <c r="V73" s="6" t="s">
        <v>94</v>
      </c>
      <c r="W73" s="6" t="s">
        <v>338</v>
      </c>
      <c r="X73" s="6" t="s">
        <v>1643</v>
      </c>
      <c r="Y73" s="6" t="s">
        <v>1643</v>
      </c>
      <c r="Z73" s="6" t="s">
        <v>1643</v>
      </c>
      <c r="AA73" s="8">
        <v>1</v>
      </c>
      <c r="AB73" s="8">
        <v>1</v>
      </c>
      <c r="AC73" s="8">
        <v>1</v>
      </c>
      <c r="AD73" s="8">
        <v>1</v>
      </c>
      <c r="AE73" s="8">
        <v>100</v>
      </c>
      <c r="AF73" s="6" t="s">
        <v>282</v>
      </c>
      <c r="AG73" s="6" t="s">
        <v>283</v>
      </c>
      <c r="AH73" s="6" t="s">
        <v>301</v>
      </c>
      <c r="AI73" s="6" t="s">
        <v>286</v>
      </c>
      <c r="AJ73" s="9">
        <v>40</v>
      </c>
      <c r="AK73" s="8">
        <v>40</v>
      </c>
      <c r="AL73" s="8">
        <v>40</v>
      </c>
      <c r="AM73" s="8">
        <v>40</v>
      </c>
      <c r="AN73" s="8">
        <v>40</v>
      </c>
      <c r="AO73" s="13">
        <v>40</v>
      </c>
      <c r="AP73" s="5"/>
    </row>
    <row r="74" spans="1:42">
      <c r="A74" s="12">
        <v>73</v>
      </c>
      <c r="B74" s="6" t="s">
        <v>538</v>
      </c>
      <c r="C74" s="6" t="s">
        <v>1734</v>
      </c>
      <c r="D74" s="6" t="s">
        <v>305</v>
      </c>
      <c r="E74" s="6" t="s">
        <v>86</v>
      </c>
      <c r="F74" s="7">
        <v>45444</v>
      </c>
      <c r="G74" s="6" t="s">
        <v>540</v>
      </c>
      <c r="H74" s="6" t="s">
        <v>389</v>
      </c>
      <c r="I74" s="6" t="s">
        <v>541</v>
      </c>
      <c r="J74" s="6" t="s">
        <v>213</v>
      </c>
      <c r="K74" s="6" t="s">
        <v>91</v>
      </c>
      <c r="L74" s="6" t="s">
        <v>92</v>
      </c>
      <c r="M74" s="6" t="s">
        <v>213</v>
      </c>
      <c r="N74" s="6" t="s">
        <v>94</v>
      </c>
      <c r="O74" s="6" t="s">
        <v>94</v>
      </c>
      <c r="P74" s="6" t="s">
        <v>27</v>
      </c>
      <c r="Q74" s="6" t="s">
        <v>122</v>
      </c>
      <c r="R74" s="6" t="s">
        <v>1643</v>
      </c>
      <c r="S74" s="6" t="s">
        <v>1693</v>
      </c>
      <c r="T74" s="6" t="s">
        <v>94</v>
      </c>
      <c r="U74" s="6" t="s">
        <v>94</v>
      </c>
      <c r="V74" s="6" t="s">
        <v>94</v>
      </c>
      <c r="W74" s="6" t="s">
        <v>542</v>
      </c>
      <c r="X74" s="6" t="s">
        <v>1643</v>
      </c>
      <c r="Y74" s="6" t="s">
        <v>1643</v>
      </c>
      <c r="Z74" s="6" t="s">
        <v>1643</v>
      </c>
      <c r="AA74" s="8">
        <v>1</v>
      </c>
      <c r="AB74" s="8">
        <v>1</v>
      </c>
      <c r="AC74" s="8">
        <v>1</v>
      </c>
      <c r="AD74" s="8">
        <v>1</v>
      </c>
      <c r="AE74" s="8">
        <v>100</v>
      </c>
      <c r="AF74" s="6" t="s">
        <v>385</v>
      </c>
      <c r="AG74" s="6" t="s">
        <v>386</v>
      </c>
      <c r="AH74" s="6" t="s">
        <v>537</v>
      </c>
      <c r="AI74" s="6" t="s">
        <v>286</v>
      </c>
      <c r="AJ74" s="9">
        <v>40</v>
      </c>
      <c r="AK74" s="8">
        <v>40</v>
      </c>
      <c r="AL74" s="8">
        <v>40</v>
      </c>
      <c r="AM74" s="8">
        <v>40</v>
      </c>
      <c r="AN74" s="8">
        <v>40</v>
      </c>
      <c r="AO74" s="13">
        <v>40</v>
      </c>
      <c r="AP74" s="5"/>
    </row>
    <row r="75" spans="1:42">
      <c r="A75" s="12">
        <v>74</v>
      </c>
      <c r="B75" s="6" t="s">
        <v>543</v>
      </c>
      <c r="C75" s="6" t="s">
        <v>1735</v>
      </c>
      <c r="D75" s="6" t="s">
        <v>546</v>
      </c>
      <c r="E75" s="6" t="s">
        <v>86</v>
      </c>
      <c r="F75" s="7">
        <v>43366</v>
      </c>
      <c r="G75" s="6" t="s">
        <v>111</v>
      </c>
      <c r="H75" s="6" t="s">
        <v>146</v>
      </c>
      <c r="I75" s="6" t="s">
        <v>545</v>
      </c>
      <c r="J75" s="6" t="s">
        <v>90</v>
      </c>
      <c r="K75" s="6" t="s">
        <v>91</v>
      </c>
      <c r="L75" s="6" t="s">
        <v>92</v>
      </c>
      <c r="M75" s="6" t="s">
        <v>90</v>
      </c>
      <c r="N75" s="6" t="s">
        <v>103</v>
      </c>
      <c r="O75" s="6" t="s">
        <v>95</v>
      </c>
      <c r="P75" s="6" t="s">
        <v>131</v>
      </c>
      <c r="Q75" s="6" t="s">
        <v>122</v>
      </c>
      <c r="R75" s="6" t="s">
        <v>1643</v>
      </c>
      <c r="S75" s="6" t="s">
        <v>1736</v>
      </c>
      <c r="T75" s="6" t="s">
        <v>94</v>
      </c>
      <c r="U75" s="6" t="s">
        <v>94</v>
      </c>
      <c r="V75" s="6" t="s">
        <v>94</v>
      </c>
      <c r="W75" s="6" t="s">
        <v>418</v>
      </c>
      <c r="X75" s="6" t="s">
        <v>1643</v>
      </c>
      <c r="Y75" s="6" t="s">
        <v>1643</v>
      </c>
      <c r="Z75" s="6" t="s">
        <v>1643</v>
      </c>
      <c r="AA75" s="8">
        <v>1</v>
      </c>
      <c r="AB75" s="8">
        <v>1</v>
      </c>
      <c r="AC75" s="8">
        <v>1</v>
      </c>
      <c r="AD75" s="8">
        <v>1</v>
      </c>
      <c r="AE75" s="8">
        <v>100</v>
      </c>
      <c r="AF75" s="6" t="s">
        <v>308</v>
      </c>
      <c r="AG75" s="6" t="s">
        <v>283</v>
      </c>
      <c r="AH75" s="6" t="s">
        <v>305</v>
      </c>
      <c r="AI75" s="6" t="s">
        <v>286</v>
      </c>
      <c r="AJ75" s="9">
        <v>40</v>
      </c>
      <c r="AK75" s="8">
        <v>40</v>
      </c>
      <c r="AL75" s="8">
        <v>40</v>
      </c>
      <c r="AM75" s="8">
        <v>40</v>
      </c>
      <c r="AN75" s="8">
        <v>40</v>
      </c>
      <c r="AO75" s="13">
        <v>40</v>
      </c>
      <c r="AP75" s="5"/>
    </row>
    <row r="76" spans="1:42">
      <c r="A76" s="12">
        <v>75</v>
      </c>
      <c r="B76" s="6" t="s">
        <v>547</v>
      </c>
      <c r="C76" s="6" t="s">
        <v>1737</v>
      </c>
      <c r="D76" s="6" t="s">
        <v>468</v>
      </c>
      <c r="E76" s="6" t="s">
        <v>86</v>
      </c>
      <c r="F76" s="7">
        <v>45206</v>
      </c>
      <c r="G76" s="6" t="s">
        <v>111</v>
      </c>
      <c r="H76" s="6" t="s">
        <v>94</v>
      </c>
      <c r="I76" s="6" t="s">
        <v>549</v>
      </c>
      <c r="J76" s="6" t="s">
        <v>90</v>
      </c>
      <c r="K76" s="6" t="s">
        <v>91</v>
      </c>
      <c r="L76" s="6" t="s">
        <v>92</v>
      </c>
      <c r="M76" s="6" t="s">
        <v>90</v>
      </c>
      <c r="N76" s="6" t="s">
        <v>550</v>
      </c>
      <c r="O76" s="6" t="s">
        <v>122</v>
      </c>
      <c r="P76" s="6" t="s">
        <v>184</v>
      </c>
      <c r="Q76" s="6" t="s">
        <v>104</v>
      </c>
      <c r="R76" s="6" t="s">
        <v>1643</v>
      </c>
      <c r="S76" s="6" t="s">
        <v>94</v>
      </c>
      <c r="T76" s="6" t="s">
        <v>94</v>
      </c>
      <c r="U76" s="6" t="s">
        <v>94</v>
      </c>
      <c r="V76" s="6" t="s">
        <v>94</v>
      </c>
      <c r="W76" s="6" t="s">
        <v>418</v>
      </c>
      <c r="X76" s="6" t="s">
        <v>1643</v>
      </c>
      <c r="Y76" s="6" t="s">
        <v>1643</v>
      </c>
      <c r="Z76" s="6" t="s">
        <v>1643</v>
      </c>
      <c r="AA76" s="8">
        <v>1</v>
      </c>
      <c r="AB76" s="8">
        <v>1</v>
      </c>
      <c r="AC76" s="8">
        <v>1</v>
      </c>
      <c r="AD76" s="8">
        <v>1</v>
      </c>
      <c r="AE76" s="8">
        <v>100</v>
      </c>
      <c r="AF76" s="6" t="s">
        <v>551</v>
      </c>
      <c r="AG76" s="6" t="s">
        <v>335</v>
      </c>
      <c r="AH76" s="6" t="s">
        <v>546</v>
      </c>
      <c r="AI76" s="6" t="s">
        <v>286</v>
      </c>
      <c r="AJ76" s="9">
        <v>40</v>
      </c>
      <c r="AK76" s="8">
        <v>40</v>
      </c>
      <c r="AL76" s="8">
        <v>40</v>
      </c>
      <c r="AM76" s="8">
        <v>40</v>
      </c>
      <c r="AN76" s="8">
        <v>40</v>
      </c>
      <c r="AO76" s="13">
        <v>40</v>
      </c>
      <c r="AP76" s="5"/>
    </row>
    <row r="77" spans="1:42">
      <c r="A77" s="12">
        <v>76</v>
      </c>
      <c r="B77" s="6" t="s">
        <v>552</v>
      </c>
      <c r="C77" s="6" t="s">
        <v>1738</v>
      </c>
      <c r="D77" s="6" t="s">
        <v>387</v>
      </c>
      <c r="E77" s="6" t="s">
        <v>86</v>
      </c>
      <c r="F77" s="7">
        <v>46149</v>
      </c>
      <c r="G77" s="6" t="s">
        <v>430</v>
      </c>
      <c r="H77" s="6" t="s">
        <v>94</v>
      </c>
      <c r="I77" s="6" t="s">
        <v>94</v>
      </c>
      <c r="J77" s="6" t="s">
        <v>90</v>
      </c>
      <c r="K77" s="6" t="s">
        <v>91</v>
      </c>
      <c r="L77" s="6" t="s">
        <v>92</v>
      </c>
      <c r="M77" s="6" t="s">
        <v>90</v>
      </c>
      <c r="N77" s="6" t="s">
        <v>94</v>
      </c>
      <c r="O77" s="6" t="s">
        <v>94</v>
      </c>
      <c r="P77" s="6" t="s">
        <v>136</v>
      </c>
      <c r="Q77" s="6" t="s">
        <v>122</v>
      </c>
      <c r="R77" s="6" t="s">
        <v>1643</v>
      </c>
      <c r="S77" s="6" t="s">
        <v>1739</v>
      </c>
      <c r="T77" s="6" t="s">
        <v>94</v>
      </c>
      <c r="U77" s="6" t="s">
        <v>94</v>
      </c>
      <c r="V77" s="6" t="s">
        <v>94</v>
      </c>
      <c r="W77" s="6" t="s">
        <v>433</v>
      </c>
      <c r="X77" s="6" t="s">
        <v>1643</v>
      </c>
      <c r="Y77" s="6" t="s">
        <v>1643</v>
      </c>
      <c r="Z77" s="6" t="s">
        <v>1643</v>
      </c>
      <c r="AA77" s="8">
        <v>1</v>
      </c>
      <c r="AB77" s="8">
        <v>1</v>
      </c>
      <c r="AC77" s="8">
        <v>1</v>
      </c>
      <c r="AD77" s="8">
        <v>1</v>
      </c>
      <c r="AE77" s="8">
        <v>100</v>
      </c>
      <c r="AF77" s="6" t="s">
        <v>282</v>
      </c>
      <c r="AG77" s="6" t="s">
        <v>283</v>
      </c>
      <c r="AH77" s="6" t="s">
        <v>468</v>
      </c>
      <c r="AI77" s="6" t="s">
        <v>286</v>
      </c>
      <c r="AJ77" s="9">
        <v>40</v>
      </c>
      <c r="AK77" s="8">
        <v>40</v>
      </c>
      <c r="AL77" s="8">
        <v>40</v>
      </c>
      <c r="AM77" s="8">
        <v>40</v>
      </c>
      <c r="AN77" s="8">
        <v>40</v>
      </c>
      <c r="AO77" s="13">
        <v>40</v>
      </c>
      <c r="AP77" s="5"/>
    </row>
    <row r="78" spans="1:42">
      <c r="A78" s="12">
        <v>77</v>
      </c>
      <c r="B78" s="6" t="s">
        <v>554</v>
      </c>
      <c r="C78" s="6" t="s">
        <v>1740</v>
      </c>
      <c r="D78" s="6" t="s">
        <v>301</v>
      </c>
      <c r="E78" s="6" t="s">
        <v>86</v>
      </c>
      <c r="F78" s="7">
        <v>45084</v>
      </c>
      <c r="G78" s="6" t="s">
        <v>111</v>
      </c>
      <c r="H78" s="6" t="s">
        <v>495</v>
      </c>
      <c r="I78" s="6" t="s">
        <v>556</v>
      </c>
      <c r="J78" s="6" t="s">
        <v>90</v>
      </c>
      <c r="K78" s="6" t="s">
        <v>91</v>
      </c>
      <c r="L78" s="6" t="s">
        <v>92</v>
      </c>
      <c r="M78" s="6" t="s">
        <v>90</v>
      </c>
      <c r="N78" s="6" t="s">
        <v>131</v>
      </c>
      <c r="O78" s="6" t="s">
        <v>95</v>
      </c>
      <c r="P78" s="6" t="s">
        <v>131</v>
      </c>
      <c r="Q78" s="6" t="s">
        <v>95</v>
      </c>
      <c r="R78" s="6" t="s">
        <v>1643</v>
      </c>
      <c r="S78" s="6" t="s">
        <v>94</v>
      </c>
      <c r="T78" s="6" t="s">
        <v>94</v>
      </c>
      <c r="U78" s="6" t="s">
        <v>94</v>
      </c>
      <c r="V78" s="6" t="s">
        <v>94</v>
      </c>
      <c r="W78" s="6" t="s">
        <v>281</v>
      </c>
      <c r="X78" s="6" t="s">
        <v>1643</v>
      </c>
      <c r="Y78" s="6" t="s">
        <v>1643</v>
      </c>
      <c r="Z78" s="6" t="s">
        <v>1643</v>
      </c>
      <c r="AA78" s="8">
        <v>1</v>
      </c>
      <c r="AB78" s="8">
        <v>1</v>
      </c>
      <c r="AC78" s="8">
        <v>1</v>
      </c>
      <c r="AD78" s="8">
        <v>1</v>
      </c>
      <c r="AE78" s="8">
        <v>100</v>
      </c>
      <c r="AF78" s="6" t="s">
        <v>391</v>
      </c>
      <c r="AG78" s="6" t="s">
        <v>386</v>
      </c>
      <c r="AH78" s="6" t="s">
        <v>387</v>
      </c>
      <c r="AI78" s="6" t="s">
        <v>286</v>
      </c>
      <c r="AJ78" s="9">
        <v>40</v>
      </c>
      <c r="AK78" s="8">
        <v>40</v>
      </c>
      <c r="AL78" s="8">
        <v>40</v>
      </c>
      <c r="AM78" s="8">
        <v>40</v>
      </c>
      <c r="AN78" s="8">
        <v>40</v>
      </c>
      <c r="AO78" s="13">
        <v>40</v>
      </c>
      <c r="AP78" s="5"/>
    </row>
    <row r="79" spans="1:42">
      <c r="A79" s="12">
        <v>78</v>
      </c>
      <c r="B79" s="6" t="s">
        <v>557</v>
      </c>
      <c r="C79" s="6" t="s">
        <v>1741</v>
      </c>
      <c r="D79" s="6" t="s">
        <v>387</v>
      </c>
      <c r="E79" s="6" t="s">
        <v>86</v>
      </c>
      <c r="F79" s="7">
        <v>44440</v>
      </c>
      <c r="G79" s="6" t="s">
        <v>204</v>
      </c>
      <c r="H79" s="6" t="s">
        <v>151</v>
      </c>
      <c r="I79" s="6" t="s">
        <v>559</v>
      </c>
      <c r="J79" s="6" t="s">
        <v>90</v>
      </c>
      <c r="K79" s="6" t="s">
        <v>91</v>
      </c>
      <c r="L79" s="6" t="s">
        <v>92</v>
      </c>
      <c r="M79" s="6" t="s">
        <v>90</v>
      </c>
      <c r="N79" s="6" t="s">
        <v>43</v>
      </c>
      <c r="O79" s="6" t="s">
        <v>94</v>
      </c>
      <c r="P79" s="6" t="s">
        <v>43</v>
      </c>
      <c r="Q79" s="6" t="s">
        <v>95</v>
      </c>
      <c r="R79" s="6" t="s">
        <v>1643</v>
      </c>
      <c r="S79" s="6" t="s">
        <v>1710</v>
      </c>
      <c r="T79" s="6" t="s">
        <v>94</v>
      </c>
      <c r="U79" s="6" t="s">
        <v>94</v>
      </c>
      <c r="V79" s="6" t="s">
        <v>94</v>
      </c>
      <c r="W79" s="6" t="s">
        <v>403</v>
      </c>
      <c r="X79" s="6" t="s">
        <v>1643</v>
      </c>
      <c r="Y79" s="6" t="s">
        <v>1643</v>
      </c>
      <c r="Z79" s="6" t="s">
        <v>1643</v>
      </c>
      <c r="AA79" s="8">
        <v>1</v>
      </c>
      <c r="AB79" s="8">
        <v>1</v>
      </c>
      <c r="AC79" s="8">
        <v>1</v>
      </c>
      <c r="AD79" s="8">
        <v>1</v>
      </c>
      <c r="AE79" s="8">
        <v>100</v>
      </c>
      <c r="AF79" s="6" t="s">
        <v>282</v>
      </c>
      <c r="AG79" s="6" t="s">
        <v>283</v>
      </c>
      <c r="AH79" s="6" t="s">
        <v>301</v>
      </c>
      <c r="AI79" s="6" t="s">
        <v>286</v>
      </c>
      <c r="AJ79" s="9">
        <v>40</v>
      </c>
      <c r="AK79" s="8">
        <v>40</v>
      </c>
      <c r="AL79" s="8">
        <v>40</v>
      </c>
      <c r="AM79" s="8">
        <v>40</v>
      </c>
      <c r="AN79" s="8">
        <v>40</v>
      </c>
      <c r="AO79" s="13">
        <v>40</v>
      </c>
      <c r="AP79" s="5"/>
    </row>
    <row r="80" spans="1:42">
      <c r="A80" s="12">
        <v>79</v>
      </c>
      <c r="B80" s="6" t="s">
        <v>560</v>
      </c>
      <c r="C80" s="6" t="s">
        <v>1742</v>
      </c>
      <c r="D80" s="6" t="s">
        <v>298</v>
      </c>
      <c r="E80" s="6" t="s">
        <v>86</v>
      </c>
      <c r="F80" s="7">
        <v>46128</v>
      </c>
      <c r="G80" s="6" t="s">
        <v>111</v>
      </c>
      <c r="H80" s="6" t="s">
        <v>94</v>
      </c>
      <c r="I80" s="6" t="s">
        <v>562</v>
      </c>
      <c r="J80" s="6" t="s">
        <v>90</v>
      </c>
      <c r="K80" s="6" t="s">
        <v>91</v>
      </c>
      <c r="L80" s="6" t="s">
        <v>92</v>
      </c>
      <c r="M80" s="6" t="s">
        <v>90</v>
      </c>
      <c r="N80" s="6" t="s">
        <v>94</v>
      </c>
      <c r="O80" s="6" t="s">
        <v>94</v>
      </c>
      <c r="P80" s="6" t="s">
        <v>131</v>
      </c>
      <c r="Q80" s="6" t="s">
        <v>95</v>
      </c>
      <c r="R80" s="6" t="s">
        <v>1643</v>
      </c>
      <c r="S80" s="6" t="s">
        <v>1743</v>
      </c>
      <c r="T80" s="6" t="s">
        <v>94</v>
      </c>
      <c r="U80" s="6" t="s">
        <v>94</v>
      </c>
      <c r="V80" s="6" t="s">
        <v>94</v>
      </c>
      <c r="W80" s="6" t="s">
        <v>281</v>
      </c>
      <c r="X80" s="6" t="s">
        <v>1643</v>
      </c>
      <c r="Y80" s="6" t="s">
        <v>1643</v>
      </c>
      <c r="Z80" s="6" t="s">
        <v>1643</v>
      </c>
      <c r="AA80" s="8">
        <v>1</v>
      </c>
      <c r="AB80" s="8">
        <v>1</v>
      </c>
      <c r="AC80" s="8">
        <v>1</v>
      </c>
      <c r="AD80" s="8">
        <v>1</v>
      </c>
      <c r="AE80" s="8">
        <v>100</v>
      </c>
      <c r="AF80" s="6" t="s">
        <v>391</v>
      </c>
      <c r="AG80" s="6" t="s">
        <v>386</v>
      </c>
      <c r="AH80" s="6" t="s">
        <v>387</v>
      </c>
      <c r="AI80" s="6" t="s">
        <v>286</v>
      </c>
      <c r="AJ80" s="9">
        <v>40</v>
      </c>
      <c r="AK80" s="8">
        <v>40</v>
      </c>
      <c r="AL80" s="8">
        <v>40</v>
      </c>
      <c r="AM80" s="8">
        <v>40</v>
      </c>
      <c r="AN80" s="8">
        <v>40</v>
      </c>
      <c r="AO80" s="13">
        <v>40</v>
      </c>
      <c r="AP80" s="5"/>
    </row>
    <row r="81" spans="1:42">
      <c r="A81" s="12">
        <v>80</v>
      </c>
      <c r="B81" s="6" t="s">
        <v>563</v>
      </c>
      <c r="C81" s="6" t="s">
        <v>42</v>
      </c>
      <c r="D81" s="6" t="s">
        <v>323</v>
      </c>
      <c r="E81" s="6" t="s">
        <v>86</v>
      </c>
      <c r="F81" s="7">
        <v>45923</v>
      </c>
      <c r="G81" s="6" t="s">
        <v>199</v>
      </c>
      <c r="H81" s="6" t="s">
        <v>94</v>
      </c>
      <c r="I81" s="6" t="s">
        <v>94</v>
      </c>
      <c r="J81" s="6" t="s">
        <v>90</v>
      </c>
      <c r="K81" s="6" t="s">
        <v>91</v>
      </c>
      <c r="L81" s="6" t="s">
        <v>92</v>
      </c>
      <c r="M81" s="6" t="s">
        <v>90</v>
      </c>
      <c r="N81" s="6" t="s">
        <v>94</v>
      </c>
      <c r="O81" s="6" t="s">
        <v>94</v>
      </c>
      <c r="P81" s="6" t="s">
        <v>43</v>
      </c>
      <c r="Q81" s="6" t="s">
        <v>122</v>
      </c>
      <c r="R81" s="6" t="s">
        <v>1643</v>
      </c>
      <c r="S81" s="6" t="s">
        <v>1744</v>
      </c>
      <c r="T81" s="6" t="s">
        <v>94</v>
      </c>
      <c r="U81" s="6" t="s">
        <v>94</v>
      </c>
      <c r="V81" s="6" t="s">
        <v>94</v>
      </c>
      <c r="W81" s="6" t="s">
        <v>565</v>
      </c>
      <c r="X81" s="6" t="s">
        <v>1643</v>
      </c>
      <c r="Y81" s="6" t="s">
        <v>1643</v>
      </c>
      <c r="Z81" s="6" t="s">
        <v>1643</v>
      </c>
      <c r="AA81" s="8">
        <v>1</v>
      </c>
      <c r="AB81" s="8">
        <v>1</v>
      </c>
      <c r="AC81" s="8">
        <v>1</v>
      </c>
      <c r="AD81" s="8">
        <v>1</v>
      </c>
      <c r="AE81" s="8">
        <v>100</v>
      </c>
      <c r="AF81" s="6" t="s">
        <v>300</v>
      </c>
      <c r="AG81" s="6" t="s">
        <v>283</v>
      </c>
      <c r="AH81" s="6" t="s">
        <v>298</v>
      </c>
      <c r="AI81" s="6" t="s">
        <v>286</v>
      </c>
      <c r="AJ81" s="9">
        <v>40</v>
      </c>
      <c r="AK81" s="8">
        <v>40</v>
      </c>
      <c r="AL81" s="8">
        <v>40</v>
      </c>
      <c r="AM81" s="8">
        <v>40</v>
      </c>
      <c r="AN81" s="8">
        <v>40</v>
      </c>
      <c r="AO81" s="13">
        <v>40</v>
      </c>
      <c r="AP81" s="5"/>
    </row>
    <row r="82" spans="1:42">
      <c r="A82" s="12">
        <v>81</v>
      </c>
      <c r="B82" s="6" t="s">
        <v>566</v>
      </c>
      <c r="C82" s="6" t="s">
        <v>1745</v>
      </c>
      <c r="D82" s="6" t="s">
        <v>323</v>
      </c>
      <c r="E82" s="6" t="s">
        <v>86</v>
      </c>
      <c r="F82" s="7">
        <v>43897</v>
      </c>
      <c r="G82" s="6" t="s">
        <v>204</v>
      </c>
      <c r="H82" s="6" t="s">
        <v>107</v>
      </c>
      <c r="I82" s="6" t="s">
        <v>568</v>
      </c>
      <c r="J82" s="6" t="s">
        <v>90</v>
      </c>
      <c r="K82" s="6" t="s">
        <v>91</v>
      </c>
      <c r="L82" s="6" t="s">
        <v>92</v>
      </c>
      <c r="M82" s="6" t="s">
        <v>90</v>
      </c>
      <c r="N82" s="6" t="s">
        <v>43</v>
      </c>
      <c r="O82" s="6" t="s">
        <v>122</v>
      </c>
      <c r="P82" s="6" t="s">
        <v>43</v>
      </c>
      <c r="Q82" s="6" t="s">
        <v>122</v>
      </c>
      <c r="R82" s="6" t="s">
        <v>1643</v>
      </c>
      <c r="S82" s="6" t="s">
        <v>94</v>
      </c>
      <c r="T82" s="6" t="s">
        <v>94</v>
      </c>
      <c r="U82" s="6" t="s">
        <v>94</v>
      </c>
      <c r="V82" s="6" t="s">
        <v>94</v>
      </c>
      <c r="W82" s="6" t="s">
        <v>403</v>
      </c>
      <c r="X82" s="6" t="s">
        <v>1643</v>
      </c>
      <c r="Y82" s="6" t="s">
        <v>1643</v>
      </c>
      <c r="Z82" s="6" t="s">
        <v>1643</v>
      </c>
      <c r="AA82" s="8">
        <v>1</v>
      </c>
      <c r="AB82" s="8">
        <v>1</v>
      </c>
      <c r="AC82" s="8">
        <v>1</v>
      </c>
      <c r="AD82" s="8">
        <v>1</v>
      </c>
      <c r="AE82" s="8">
        <v>0</v>
      </c>
      <c r="AF82" s="6" t="s">
        <v>326</v>
      </c>
      <c r="AG82" s="6" t="s">
        <v>283</v>
      </c>
      <c r="AH82" s="6" t="s">
        <v>323</v>
      </c>
      <c r="AI82" s="6" t="s">
        <v>286</v>
      </c>
      <c r="AJ82" s="9">
        <v>40</v>
      </c>
      <c r="AK82" s="8">
        <v>40</v>
      </c>
      <c r="AL82" s="8">
        <v>40</v>
      </c>
      <c r="AM82" s="8">
        <v>40</v>
      </c>
      <c r="AN82" s="8">
        <v>40</v>
      </c>
      <c r="AO82" s="13">
        <v>40</v>
      </c>
      <c r="AP82" s="5"/>
    </row>
    <row r="83" spans="1:42">
      <c r="A83" s="12">
        <v>82</v>
      </c>
      <c r="B83" s="6" t="s">
        <v>569</v>
      </c>
      <c r="C83" s="6" t="s">
        <v>1746</v>
      </c>
      <c r="D83" s="6" t="s">
        <v>392</v>
      </c>
      <c r="E83" s="6" t="s">
        <v>86</v>
      </c>
      <c r="F83" s="7">
        <v>44850</v>
      </c>
      <c r="G83" s="6" t="s">
        <v>111</v>
      </c>
      <c r="H83" s="6" t="s">
        <v>182</v>
      </c>
      <c r="I83" s="6" t="s">
        <v>571</v>
      </c>
      <c r="J83" s="6" t="s">
        <v>90</v>
      </c>
      <c r="K83" s="6" t="s">
        <v>91</v>
      </c>
      <c r="L83" s="6" t="s">
        <v>92</v>
      </c>
      <c r="M83" s="6" t="s">
        <v>90</v>
      </c>
      <c r="N83" s="6" t="s">
        <v>103</v>
      </c>
      <c r="O83" s="6" t="s">
        <v>104</v>
      </c>
      <c r="P83" s="6" t="s">
        <v>136</v>
      </c>
      <c r="Q83" s="6" t="s">
        <v>95</v>
      </c>
      <c r="R83" s="6" t="s">
        <v>1643</v>
      </c>
      <c r="S83" s="6" t="s">
        <v>1747</v>
      </c>
      <c r="T83" s="6" t="s">
        <v>94</v>
      </c>
      <c r="U83" s="6" t="s">
        <v>94</v>
      </c>
      <c r="V83" s="6" t="s">
        <v>94</v>
      </c>
      <c r="W83" s="6" t="s">
        <v>281</v>
      </c>
      <c r="X83" s="6" t="s">
        <v>1643</v>
      </c>
      <c r="Y83" s="6" t="s">
        <v>1643</v>
      </c>
      <c r="Z83" s="6" t="s">
        <v>1643</v>
      </c>
      <c r="AA83" s="8">
        <v>1</v>
      </c>
      <c r="AB83" s="8">
        <v>1</v>
      </c>
      <c r="AC83" s="8">
        <v>1</v>
      </c>
      <c r="AD83" s="8">
        <v>1</v>
      </c>
      <c r="AE83" s="8">
        <v>0</v>
      </c>
      <c r="AF83" s="6" t="s">
        <v>326</v>
      </c>
      <c r="AG83" s="6" t="s">
        <v>283</v>
      </c>
      <c r="AH83" s="6" t="s">
        <v>323</v>
      </c>
      <c r="AI83" s="6" t="s">
        <v>286</v>
      </c>
      <c r="AJ83" s="9">
        <v>40</v>
      </c>
      <c r="AK83" s="8">
        <v>40</v>
      </c>
      <c r="AL83" s="8">
        <v>40</v>
      </c>
      <c r="AM83" s="8">
        <v>40</v>
      </c>
      <c r="AN83" s="8">
        <v>40</v>
      </c>
      <c r="AO83" s="13">
        <v>40</v>
      </c>
      <c r="AP83" s="5"/>
    </row>
    <row r="84" spans="1:42">
      <c r="A84" s="12">
        <v>83</v>
      </c>
      <c r="B84" s="6" t="s">
        <v>572</v>
      </c>
      <c r="C84" s="6" t="s">
        <v>1748</v>
      </c>
      <c r="D84" s="6" t="s">
        <v>575</v>
      </c>
      <c r="E84" s="6" t="s">
        <v>86</v>
      </c>
      <c r="F84" s="7">
        <v>42720</v>
      </c>
      <c r="G84" s="6" t="s">
        <v>204</v>
      </c>
      <c r="H84" s="6" t="s">
        <v>420</v>
      </c>
      <c r="I84" s="6" t="s">
        <v>574</v>
      </c>
      <c r="J84" s="6" t="s">
        <v>90</v>
      </c>
      <c r="K84" s="6" t="s">
        <v>91</v>
      </c>
      <c r="L84" s="6" t="s">
        <v>92</v>
      </c>
      <c r="M84" s="6" t="s">
        <v>90</v>
      </c>
      <c r="N84" s="6" t="s">
        <v>43</v>
      </c>
      <c r="O84" s="6" t="s">
        <v>122</v>
      </c>
      <c r="P84" s="6" t="s">
        <v>43</v>
      </c>
      <c r="Q84" s="6" t="s">
        <v>95</v>
      </c>
      <c r="R84" s="6" t="s">
        <v>1643</v>
      </c>
      <c r="S84" s="6" t="s">
        <v>94</v>
      </c>
      <c r="T84" s="6" t="s">
        <v>94</v>
      </c>
      <c r="U84" s="6" t="s">
        <v>94</v>
      </c>
      <c r="V84" s="6" t="s">
        <v>94</v>
      </c>
      <c r="W84" s="6" t="s">
        <v>403</v>
      </c>
      <c r="X84" s="6" t="s">
        <v>1643</v>
      </c>
      <c r="Y84" s="6" t="s">
        <v>1643</v>
      </c>
      <c r="Z84" s="6" t="s">
        <v>1652</v>
      </c>
      <c r="AA84" s="8">
        <v>1</v>
      </c>
      <c r="AB84" s="8">
        <v>1</v>
      </c>
      <c r="AC84" s="8">
        <v>1</v>
      </c>
      <c r="AD84" s="8">
        <v>0</v>
      </c>
      <c r="AE84" s="8">
        <v>100</v>
      </c>
      <c r="AF84" s="6" t="s">
        <v>282</v>
      </c>
      <c r="AG84" s="6" t="s">
        <v>283</v>
      </c>
      <c r="AH84" s="6" t="s">
        <v>392</v>
      </c>
      <c r="AI84" s="6" t="s">
        <v>286</v>
      </c>
      <c r="AJ84" s="9">
        <v>40</v>
      </c>
      <c r="AK84" s="8">
        <v>40</v>
      </c>
      <c r="AL84" s="8">
        <v>40</v>
      </c>
      <c r="AM84" s="8">
        <v>40</v>
      </c>
      <c r="AN84" s="8">
        <v>40</v>
      </c>
      <c r="AO84" s="13">
        <v>40</v>
      </c>
      <c r="AP84" s="5"/>
    </row>
    <row r="85" spans="1:42">
      <c r="A85" s="12">
        <v>84</v>
      </c>
      <c r="B85" s="6" t="s">
        <v>576</v>
      </c>
      <c r="C85" s="6" t="s">
        <v>1749</v>
      </c>
      <c r="D85" s="6" t="s">
        <v>305</v>
      </c>
      <c r="E85" s="6" t="s">
        <v>86</v>
      </c>
      <c r="F85" s="7">
        <v>44332</v>
      </c>
      <c r="G85" s="6" t="s">
        <v>111</v>
      </c>
      <c r="H85" s="6" t="s">
        <v>134</v>
      </c>
      <c r="I85" s="6" t="s">
        <v>578</v>
      </c>
      <c r="J85" s="6" t="s">
        <v>90</v>
      </c>
      <c r="K85" s="6" t="s">
        <v>91</v>
      </c>
      <c r="L85" s="6" t="s">
        <v>92</v>
      </c>
      <c r="M85" s="6" t="s">
        <v>90</v>
      </c>
      <c r="N85" s="6" t="s">
        <v>131</v>
      </c>
      <c r="O85" s="6" t="s">
        <v>94</v>
      </c>
      <c r="P85" s="6" t="s">
        <v>131</v>
      </c>
      <c r="Q85" s="6" t="s">
        <v>122</v>
      </c>
      <c r="R85" s="6" t="s">
        <v>1643</v>
      </c>
      <c r="S85" s="6" t="s">
        <v>1750</v>
      </c>
      <c r="T85" s="6" t="s">
        <v>94</v>
      </c>
      <c r="U85" s="6" t="s">
        <v>94</v>
      </c>
      <c r="V85" s="6" t="s">
        <v>94</v>
      </c>
      <c r="W85" s="6" t="s">
        <v>281</v>
      </c>
      <c r="X85" s="6" t="s">
        <v>1643</v>
      </c>
      <c r="Y85" s="6" t="s">
        <v>1643</v>
      </c>
      <c r="Z85" s="6" t="s">
        <v>1643</v>
      </c>
      <c r="AA85" s="8">
        <v>1</v>
      </c>
      <c r="AB85" s="8">
        <v>1</v>
      </c>
      <c r="AC85" s="8">
        <v>1</v>
      </c>
      <c r="AD85" s="8">
        <v>1</v>
      </c>
      <c r="AE85" s="8">
        <v>100</v>
      </c>
      <c r="AF85" s="6" t="s">
        <v>282</v>
      </c>
      <c r="AG85" s="6" t="s">
        <v>283</v>
      </c>
      <c r="AH85" s="6" t="s">
        <v>575</v>
      </c>
      <c r="AI85" s="6" t="s">
        <v>286</v>
      </c>
      <c r="AJ85" s="9">
        <v>40</v>
      </c>
      <c r="AK85" s="8">
        <v>40</v>
      </c>
      <c r="AL85" s="8">
        <v>40</v>
      </c>
      <c r="AM85" s="8">
        <v>40</v>
      </c>
      <c r="AN85" s="8">
        <v>40</v>
      </c>
      <c r="AO85" s="13">
        <v>40</v>
      </c>
      <c r="AP85" s="5"/>
    </row>
    <row r="86" spans="1:42">
      <c r="A86" s="12">
        <v>85</v>
      </c>
      <c r="B86" s="6" t="s">
        <v>579</v>
      </c>
      <c r="C86" s="6" t="s">
        <v>1751</v>
      </c>
      <c r="D86" s="6" t="s">
        <v>468</v>
      </c>
      <c r="E86" s="6" t="s">
        <v>251</v>
      </c>
      <c r="F86" s="7">
        <v>46226</v>
      </c>
      <c r="G86" s="6" t="s">
        <v>155</v>
      </c>
      <c r="H86" s="6" t="s">
        <v>94</v>
      </c>
      <c r="I86" s="6" t="s">
        <v>94</v>
      </c>
      <c r="J86" s="6" t="s">
        <v>90</v>
      </c>
      <c r="K86" s="6" t="s">
        <v>91</v>
      </c>
      <c r="L86" s="6" t="s">
        <v>92</v>
      </c>
      <c r="M86" s="6" t="s">
        <v>90</v>
      </c>
      <c r="N86" s="6" t="s">
        <v>94</v>
      </c>
      <c r="O86" s="6" t="s">
        <v>94</v>
      </c>
      <c r="P86" s="6" t="s">
        <v>93</v>
      </c>
      <c r="Q86" s="6" t="s">
        <v>95</v>
      </c>
      <c r="R86" s="6" t="s">
        <v>1643</v>
      </c>
      <c r="S86" s="6" t="s">
        <v>94</v>
      </c>
      <c r="T86" s="6" t="s">
        <v>94</v>
      </c>
      <c r="U86" s="6" t="s">
        <v>94</v>
      </c>
      <c r="V86" s="6" t="s">
        <v>94</v>
      </c>
      <c r="W86" s="6" t="s">
        <v>369</v>
      </c>
      <c r="X86" s="6" t="s">
        <v>1643</v>
      </c>
      <c r="Y86" s="6" t="s">
        <v>1643</v>
      </c>
      <c r="Z86" s="6" t="s">
        <v>1643</v>
      </c>
      <c r="AA86" s="8">
        <v>0.91</v>
      </c>
      <c r="AB86" s="8">
        <v>0.91</v>
      </c>
      <c r="AC86" s="8">
        <v>0.91</v>
      </c>
      <c r="AD86" s="8">
        <v>0.52</v>
      </c>
      <c r="AE86" s="8">
        <v>91.5</v>
      </c>
      <c r="AF86" s="6" t="s">
        <v>308</v>
      </c>
      <c r="AG86" s="6" t="s">
        <v>283</v>
      </c>
      <c r="AH86" s="6" t="s">
        <v>305</v>
      </c>
      <c r="AI86" s="6" t="s">
        <v>286</v>
      </c>
      <c r="AJ86" s="9">
        <v>36.599999999999994</v>
      </c>
      <c r="AK86" s="8">
        <v>36.599999999999994</v>
      </c>
      <c r="AL86" s="8">
        <v>36.599999999999994</v>
      </c>
      <c r="AM86" s="8">
        <v>36.599999999999994</v>
      </c>
      <c r="AN86" s="8">
        <v>36.599999999999994</v>
      </c>
      <c r="AO86" s="13">
        <v>36.599999999999994</v>
      </c>
      <c r="AP86" s="5"/>
    </row>
    <row r="87" spans="1:42">
      <c r="A87" s="12">
        <v>86</v>
      </c>
      <c r="B87" s="6" t="s">
        <v>581</v>
      </c>
      <c r="C87" s="6" t="s">
        <v>1752</v>
      </c>
      <c r="D87" s="6" t="s">
        <v>284</v>
      </c>
      <c r="E87" s="6" t="s">
        <v>86</v>
      </c>
      <c r="F87" s="7">
        <v>44363</v>
      </c>
      <c r="G87" s="6" t="s">
        <v>111</v>
      </c>
      <c r="H87" s="6" t="s">
        <v>359</v>
      </c>
      <c r="I87" s="6" t="s">
        <v>583</v>
      </c>
      <c r="J87" s="6" t="s">
        <v>90</v>
      </c>
      <c r="K87" s="6" t="s">
        <v>91</v>
      </c>
      <c r="L87" s="6" t="s">
        <v>92</v>
      </c>
      <c r="M87" s="6" t="s">
        <v>90</v>
      </c>
      <c r="N87" s="6" t="s">
        <v>584</v>
      </c>
      <c r="O87" s="6" t="s">
        <v>94</v>
      </c>
      <c r="P87" s="6" t="s">
        <v>131</v>
      </c>
      <c r="Q87" s="6" t="s">
        <v>95</v>
      </c>
      <c r="R87" s="6" t="s">
        <v>1643</v>
      </c>
      <c r="S87" s="6" t="s">
        <v>94</v>
      </c>
      <c r="T87" s="6" t="s">
        <v>94</v>
      </c>
      <c r="U87" s="6" t="s">
        <v>94</v>
      </c>
      <c r="V87" s="6" t="s">
        <v>94</v>
      </c>
      <c r="W87" s="6" t="s">
        <v>418</v>
      </c>
      <c r="X87" s="6" t="s">
        <v>1643</v>
      </c>
      <c r="Y87" s="6" t="s">
        <v>1643</v>
      </c>
      <c r="Z87" s="6" t="s">
        <v>1643</v>
      </c>
      <c r="AA87" s="8">
        <v>1</v>
      </c>
      <c r="AB87" s="8">
        <v>1</v>
      </c>
      <c r="AC87" s="8">
        <v>1</v>
      </c>
      <c r="AD87" s="8">
        <v>1</v>
      </c>
      <c r="AE87" s="8">
        <v>100</v>
      </c>
      <c r="AF87" s="6" t="s">
        <v>282</v>
      </c>
      <c r="AG87" s="6" t="s">
        <v>283</v>
      </c>
      <c r="AH87" s="6" t="s">
        <v>468</v>
      </c>
      <c r="AI87" s="6" t="s">
        <v>286</v>
      </c>
      <c r="AJ87" s="9">
        <v>40</v>
      </c>
      <c r="AK87" s="8">
        <v>40</v>
      </c>
      <c r="AL87" s="8">
        <v>40</v>
      </c>
      <c r="AM87" s="8">
        <v>40</v>
      </c>
      <c r="AN87" s="8">
        <v>40</v>
      </c>
      <c r="AO87" s="13">
        <v>40</v>
      </c>
      <c r="AP87" s="5"/>
    </row>
    <row r="88" spans="1:42">
      <c r="A88" s="12">
        <v>87</v>
      </c>
      <c r="B88" s="6" t="s">
        <v>585</v>
      </c>
      <c r="C88" s="6" t="s">
        <v>1753</v>
      </c>
      <c r="D88" s="6" t="s">
        <v>387</v>
      </c>
      <c r="E88" s="6" t="s">
        <v>86</v>
      </c>
      <c r="F88" s="7">
        <v>44332</v>
      </c>
      <c r="G88" s="6" t="s">
        <v>111</v>
      </c>
      <c r="H88" s="6" t="s">
        <v>420</v>
      </c>
      <c r="I88" s="6" t="s">
        <v>587</v>
      </c>
      <c r="J88" s="6" t="s">
        <v>90</v>
      </c>
      <c r="K88" s="6" t="s">
        <v>91</v>
      </c>
      <c r="L88" s="6" t="s">
        <v>92</v>
      </c>
      <c r="M88" s="6" t="s">
        <v>90</v>
      </c>
      <c r="N88" s="6" t="s">
        <v>131</v>
      </c>
      <c r="O88" s="6" t="s">
        <v>94</v>
      </c>
      <c r="P88" s="6" t="s">
        <v>131</v>
      </c>
      <c r="Q88" s="6" t="s">
        <v>122</v>
      </c>
      <c r="R88" s="6" t="s">
        <v>1643</v>
      </c>
      <c r="S88" s="6" t="s">
        <v>94</v>
      </c>
      <c r="T88" s="6" t="s">
        <v>94</v>
      </c>
      <c r="U88" s="6" t="s">
        <v>94</v>
      </c>
      <c r="V88" s="6" t="s">
        <v>94</v>
      </c>
      <c r="W88" s="6" t="s">
        <v>418</v>
      </c>
      <c r="X88" s="6" t="s">
        <v>1643</v>
      </c>
      <c r="Y88" s="6" t="s">
        <v>1643</v>
      </c>
      <c r="Z88" s="6" t="s">
        <v>1643</v>
      </c>
      <c r="AA88" s="8">
        <v>1</v>
      </c>
      <c r="AB88" s="8">
        <v>1</v>
      </c>
      <c r="AC88" s="8">
        <v>1</v>
      </c>
      <c r="AD88" s="8">
        <v>1</v>
      </c>
      <c r="AE88" s="8">
        <v>100</v>
      </c>
      <c r="AF88" s="6" t="s">
        <v>282</v>
      </c>
      <c r="AG88" s="6" t="s">
        <v>283</v>
      </c>
      <c r="AH88" s="6" t="s">
        <v>284</v>
      </c>
      <c r="AI88" s="6" t="s">
        <v>286</v>
      </c>
      <c r="AJ88" s="9">
        <v>40</v>
      </c>
      <c r="AK88" s="8">
        <v>40</v>
      </c>
      <c r="AL88" s="8">
        <v>40</v>
      </c>
      <c r="AM88" s="8">
        <v>40</v>
      </c>
      <c r="AN88" s="8">
        <v>40</v>
      </c>
      <c r="AO88" s="13">
        <v>40</v>
      </c>
      <c r="AP88" s="5"/>
    </row>
    <row r="89" spans="1:42">
      <c r="A89" s="12">
        <v>88</v>
      </c>
      <c r="B89" s="6" t="s">
        <v>588</v>
      </c>
      <c r="C89" s="6" t="s">
        <v>1754</v>
      </c>
      <c r="D89" s="6" t="s">
        <v>387</v>
      </c>
      <c r="E89" s="6" t="s">
        <v>86</v>
      </c>
      <c r="F89" s="7">
        <v>45253</v>
      </c>
      <c r="G89" s="6" t="s">
        <v>204</v>
      </c>
      <c r="H89" s="6" t="s">
        <v>88</v>
      </c>
      <c r="I89" s="6" t="s">
        <v>590</v>
      </c>
      <c r="J89" s="6" t="s">
        <v>90</v>
      </c>
      <c r="K89" s="6" t="s">
        <v>91</v>
      </c>
      <c r="L89" s="6" t="s">
        <v>92</v>
      </c>
      <c r="M89" s="6" t="s">
        <v>90</v>
      </c>
      <c r="N89" s="6" t="s">
        <v>94</v>
      </c>
      <c r="O89" s="6" t="s">
        <v>94</v>
      </c>
      <c r="P89" s="6" t="s">
        <v>131</v>
      </c>
      <c r="Q89" s="6" t="s">
        <v>95</v>
      </c>
      <c r="R89" s="6" t="s">
        <v>1643</v>
      </c>
      <c r="S89" s="6" t="s">
        <v>94</v>
      </c>
      <c r="T89" s="6" t="s">
        <v>94</v>
      </c>
      <c r="U89" s="6" t="s">
        <v>94</v>
      </c>
      <c r="V89" s="6" t="s">
        <v>94</v>
      </c>
      <c r="W89" s="6" t="s">
        <v>321</v>
      </c>
      <c r="X89" s="6" t="s">
        <v>1643</v>
      </c>
      <c r="Y89" s="6" t="s">
        <v>1643</v>
      </c>
      <c r="Z89" s="6" t="s">
        <v>1643</v>
      </c>
      <c r="AA89" s="8">
        <v>1</v>
      </c>
      <c r="AB89" s="8">
        <v>1</v>
      </c>
      <c r="AC89" s="8">
        <v>1</v>
      </c>
      <c r="AD89" s="8">
        <v>1</v>
      </c>
      <c r="AE89" s="8">
        <v>100</v>
      </c>
      <c r="AF89" s="6" t="s">
        <v>391</v>
      </c>
      <c r="AG89" s="6" t="s">
        <v>386</v>
      </c>
      <c r="AH89" s="6" t="s">
        <v>387</v>
      </c>
      <c r="AI89" s="6" t="s">
        <v>286</v>
      </c>
      <c r="AJ89" s="9">
        <v>40</v>
      </c>
      <c r="AK89" s="8">
        <v>40</v>
      </c>
      <c r="AL89" s="8">
        <v>40</v>
      </c>
      <c r="AM89" s="8">
        <v>40</v>
      </c>
      <c r="AN89" s="8">
        <v>40</v>
      </c>
      <c r="AO89" s="13">
        <v>40</v>
      </c>
      <c r="AP89" s="5"/>
    </row>
    <row r="90" spans="1:42">
      <c r="A90" s="12">
        <v>89</v>
      </c>
      <c r="B90" s="6" t="s">
        <v>591</v>
      </c>
      <c r="C90" s="6" t="s">
        <v>1755</v>
      </c>
      <c r="D90" s="6" t="s">
        <v>285</v>
      </c>
      <c r="E90" s="6" t="s">
        <v>86</v>
      </c>
      <c r="F90" s="7">
        <v>42902</v>
      </c>
      <c r="G90" s="6" t="s">
        <v>204</v>
      </c>
      <c r="H90" s="6" t="s">
        <v>182</v>
      </c>
      <c r="I90" s="6" t="s">
        <v>593</v>
      </c>
      <c r="J90" s="6" t="s">
        <v>90</v>
      </c>
      <c r="K90" s="6" t="s">
        <v>91</v>
      </c>
      <c r="L90" s="6" t="s">
        <v>92</v>
      </c>
      <c r="M90" s="6" t="s">
        <v>90</v>
      </c>
      <c r="N90" s="6" t="s">
        <v>43</v>
      </c>
      <c r="O90" s="6" t="s">
        <v>122</v>
      </c>
      <c r="P90" s="6" t="s">
        <v>43</v>
      </c>
      <c r="Q90" s="6" t="s">
        <v>104</v>
      </c>
      <c r="R90" s="6" t="s">
        <v>1643</v>
      </c>
      <c r="S90" s="6" t="s">
        <v>1756</v>
      </c>
      <c r="T90" s="6" t="s">
        <v>94</v>
      </c>
      <c r="U90" s="6" t="s">
        <v>94</v>
      </c>
      <c r="V90" s="6" t="s">
        <v>94</v>
      </c>
      <c r="W90" s="6" t="s">
        <v>403</v>
      </c>
      <c r="X90" s="6" t="s">
        <v>1643</v>
      </c>
      <c r="Y90" s="6" t="s">
        <v>1643</v>
      </c>
      <c r="Z90" s="6" t="s">
        <v>1643</v>
      </c>
      <c r="AA90" s="8">
        <v>1</v>
      </c>
      <c r="AB90" s="8">
        <v>1</v>
      </c>
      <c r="AC90" s="8">
        <v>1</v>
      </c>
      <c r="AD90" s="8">
        <v>1</v>
      </c>
      <c r="AE90" s="8">
        <v>100</v>
      </c>
      <c r="AF90" s="6" t="s">
        <v>391</v>
      </c>
      <c r="AG90" s="6" t="s">
        <v>386</v>
      </c>
      <c r="AH90" s="6" t="s">
        <v>387</v>
      </c>
      <c r="AI90" s="6" t="s">
        <v>286</v>
      </c>
      <c r="AJ90" s="9">
        <v>40</v>
      </c>
      <c r="AK90" s="8">
        <v>40</v>
      </c>
      <c r="AL90" s="8">
        <v>40</v>
      </c>
      <c r="AM90" s="8">
        <v>40</v>
      </c>
      <c r="AN90" s="8">
        <v>40</v>
      </c>
      <c r="AO90" s="13">
        <v>40</v>
      </c>
      <c r="AP90" s="5"/>
    </row>
    <row r="91" spans="1:42">
      <c r="A91" s="12">
        <v>90</v>
      </c>
      <c r="B91" s="6" t="s">
        <v>594</v>
      </c>
      <c r="C91" s="6" t="s">
        <v>1757</v>
      </c>
      <c r="D91" s="6" t="s">
        <v>298</v>
      </c>
      <c r="E91" s="6" t="s">
        <v>86</v>
      </c>
      <c r="F91" s="7">
        <v>45962</v>
      </c>
      <c r="G91" s="6" t="s">
        <v>111</v>
      </c>
      <c r="H91" s="6" t="s">
        <v>94</v>
      </c>
      <c r="I91" s="6" t="s">
        <v>333</v>
      </c>
      <c r="J91" s="6" t="s">
        <v>90</v>
      </c>
      <c r="K91" s="6" t="s">
        <v>91</v>
      </c>
      <c r="L91" s="6" t="s">
        <v>92</v>
      </c>
      <c r="M91" s="6" t="s">
        <v>90</v>
      </c>
      <c r="N91" s="6" t="s">
        <v>94</v>
      </c>
      <c r="O91" s="6" t="s">
        <v>94</v>
      </c>
      <c r="P91" s="6" t="s">
        <v>131</v>
      </c>
      <c r="Q91" s="6" t="s">
        <v>95</v>
      </c>
      <c r="R91" s="6" t="s">
        <v>1643</v>
      </c>
      <c r="S91" s="6" t="s">
        <v>94</v>
      </c>
      <c r="T91" s="6" t="s">
        <v>94</v>
      </c>
      <c r="U91" s="6" t="s">
        <v>94</v>
      </c>
      <c r="V91" s="6" t="s">
        <v>94</v>
      </c>
      <c r="W91" s="6" t="s">
        <v>281</v>
      </c>
      <c r="X91" s="6" t="s">
        <v>1643</v>
      </c>
      <c r="Y91" s="6" t="s">
        <v>1643</v>
      </c>
      <c r="Z91" s="6" t="s">
        <v>1643</v>
      </c>
      <c r="AA91" s="8">
        <v>1</v>
      </c>
      <c r="AB91" s="8">
        <v>1</v>
      </c>
      <c r="AC91" s="8">
        <v>1</v>
      </c>
      <c r="AD91" s="8">
        <v>1</v>
      </c>
      <c r="AE91" s="8">
        <v>100</v>
      </c>
      <c r="AF91" s="6" t="s">
        <v>282</v>
      </c>
      <c r="AG91" s="6" t="s">
        <v>283</v>
      </c>
      <c r="AH91" s="6" t="s">
        <v>285</v>
      </c>
      <c r="AI91" s="6" t="s">
        <v>286</v>
      </c>
      <c r="AJ91" s="9">
        <v>40</v>
      </c>
      <c r="AK91" s="8">
        <v>40</v>
      </c>
      <c r="AL91" s="8">
        <v>40</v>
      </c>
      <c r="AM91" s="8">
        <v>40</v>
      </c>
      <c r="AN91" s="8">
        <v>40</v>
      </c>
      <c r="AO91" s="13">
        <v>40</v>
      </c>
      <c r="AP91" s="5"/>
    </row>
    <row r="92" spans="1:42">
      <c r="A92" s="12">
        <v>91</v>
      </c>
      <c r="B92" s="6" t="s">
        <v>596</v>
      </c>
      <c r="C92" s="6" t="s">
        <v>6</v>
      </c>
      <c r="D92" s="6" t="s">
        <v>301</v>
      </c>
      <c r="E92" s="6" t="s">
        <v>86</v>
      </c>
      <c r="F92" s="7">
        <v>46082</v>
      </c>
      <c r="G92" s="6" t="s">
        <v>4</v>
      </c>
      <c r="H92" s="6" t="s">
        <v>94</v>
      </c>
      <c r="I92" s="6" t="s">
        <v>94</v>
      </c>
      <c r="J92" s="6" t="s">
        <v>90</v>
      </c>
      <c r="K92" s="6" t="s">
        <v>91</v>
      </c>
      <c r="L92" s="6" t="s">
        <v>92</v>
      </c>
      <c r="M92" s="6" t="s">
        <v>90</v>
      </c>
      <c r="N92" s="6" t="s">
        <v>94</v>
      </c>
      <c r="O92" s="6" t="s">
        <v>94</v>
      </c>
      <c r="P92" s="6" t="s">
        <v>93</v>
      </c>
      <c r="Q92" s="6" t="s">
        <v>95</v>
      </c>
      <c r="R92" s="6" t="s">
        <v>1643</v>
      </c>
      <c r="S92" s="6" t="s">
        <v>94</v>
      </c>
      <c r="T92" s="6" t="s">
        <v>94</v>
      </c>
      <c r="U92" s="6" t="s">
        <v>94</v>
      </c>
      <c r="V92" s="6" t="s">
        <v>94</v>
      </c>
      <c r="W92" s="6" t="s">
        <v>399</v>
      </c>
      <c r="X92" s="6" t="s">
        <v>1643</v>
      </c>
      <c r="Y92" s="6" t="s">
        <v>1643</v>
      </c>
      <c r="Z92" s="6" t="s">
        <v>1643</v>
      </c>
      <c r="AA92" s="8">
        <v>1</v>
      </c>
      <c r="AB92" s="8">
        <v>1</v>
      </c>
      <c r="AC92" s="8">
        <v>1</v>
      </c>
      <c r="AD92" s="8">
        <v>1</v>
      </c>
      <c r="AE92" s="8">
        <v>100</v>
      </c>
      <c r="AF92" s="6" t="s">
        <v>300</v>
      </c>
      <c r="AG92" s="6" t="s">
        <v>283</v>
      </c>
      <c r="AH92" s="6" t="s">
        <v>298</v>
      </c>
      <c r="AI92" s="6" t="s">
        <v>286</v>
      </c>
      <c r="AJ92" s="9">
        <v>40</v>
      </c>
      <c r="AK92" s="8">
        <v>40</v>
      </c>
      <c r="AL92" s="8">
        <v>40</v>
      </c>
      <c r="AM92" s="8">
        <v>40</v>
      </c>
      <c r="AN92" s="8">
        <v>40</v>
      </c>
      <c r="AO92" s="13">
        <v>40</v>
      </c>
      <c r="AP92" s="5"/>
    </row>
    <row r="93" spans="1:42">
      <c r="A93" s="12">
        <v>92</v>
      </c>
      <c r="B93" s="6" t="s">
        <v>598</v>
      </c>
      <c r="C93" s="6" t="s">
        <v>1758</v>
      </c>
      <c r="D93" s="6" t="s">
        <v>323</v>
      </c>
      <c r="E93" s="6" t="s">
        <v>86</v>
      </c>
      <c r="F93" s="7">
        <v>46060</v>
      </c>
      <c r="G93" s="6" t="s">
        <v>100</v>
      </c>
      <c r="H93" s="6" t="s">
        <v>94</v>
      </c>
      <c r="I93" s="6" t="s">
        <v>600</v>
      </c>
      <c r="J93" s="6" t="s">
        <v>213</v>
      </c>
      <c r="K93" s="6" t="s">
        <v>91</v>
      </c>
      <c r="L93" s="6" t="s">
        <v>92</v>
      </c>
      <c r="M93" s="6" t="s">
        <v>213</v>
      </c>
      <c r="N93" s="6" t="s">
        <v>94</v>
      </c>
      <c r="O93" s="6" t="s">
        <v>94</v>
      </c>
      <c r="P93" s="6" t="s">
        <v>93</v>
      </c>
      <c r="Q93" s="6" t="s">
        <v>104</v>
      </c>
      <c r="R93" s="6" t="s">
        <v>1643</v>
      </c>
      <c r="S93" s="6" t="s">
        <v>94</v>
      </c>
      <c r="T93" s="6" t="s">
        <v>94</v>
      </c>
      <c r="U93" s="6" t="s">
        <v>94</v>
      </c>
      <c r="V93" s="6" t="s">
        <v>94</v>
      </c>
      <c r="W93" s="6" t="s">
        <v>304</v>
      </c>
      <c r="X93" s="6" t="s">
        <v>1643</v>
      </c>
      <c r="Y93" s="6" t="s">
        <v>1643</v>
      </c>
      <c r="Z93" s="6" t="s">
        <v>1643</v>
      </c>
      <c r="AA93" s="8">
        <v>1</v>
      </c>
      <c r="AB93" s="8">
        <v>1</v>
      </c>
      <c r="AC93" s="8">
        <v>1</v>
      </c>
      <c r="AD93" s="8">
        <v>1</v>
      </c>
      <c r="AE93" s="8">
        <v>100</v>
      </c>
      <c r="AF93" s="6" t="s">
        <v>282</v>
      </c>
      <c r="AG93" s="6" t="s">
        <v>283</v>
      </c>
      <c r="AH93" s="6" t="s">
        <v>301</v>
      </c>
      <c r="AI93" s="6" t="s">
        <v>286</v>
      </c>
      <c r="AJ93" s="9">
        <v>40</v>
      </c>
      <c r="AK93" s="8">
        <v>40</v>
      </c>
      <c r="AL93" s="8">
        <v>40</v>
      </c>
      <c r="AM93" s="8">
        <v>40</v>
      </c>
      <c r="AN93" s="8">
        <v>40</v>
      </c>
      <c r="AO93" s="13">
        <v>40</v>
      </c>
      <c r="AP93" s="5"/>
    </row>
    <row r="94" spans="1:42">
      <c r="A94" s="12">
        <v>93</v>
      </c>
      <c r="B94" s="6" t="s">
        <v>601</v>
      </c>
      <c r="C94" s="6" t="s">
        <v>1759</v>
      </c>
      <c r="D94" s="6" t="s">
        <v>305</v>
      </c>
      <c r="E94" s="6" t="s">
        <v>86</v>
      </c>
      <c r="F94" s="7">
        <v>45062</v>
      </c>
      <c r="G94" s="6" t="s">
        <v>111</v>
      </c>
      <c r="H94" s="6" t="s">
        <v>603</v>
      </c>
      <c r="I94" s="6" t="s">
        <v>604</v>
      </c>
      <c r="J94" s="6" t="s">
        <v>90</v>
      </c>
      <c r="K94" s="6" t="s">
        <v>91</v>
      </c>
      <c r="L94" s="6" t="s">
        <v>92</v>
      </c>
      <c r="M94" s="6" t="s">
        <v>90</v>
      </c>
      <c r="N94" s="6" t="s">
        <v>313</v>
      </c>
      <c r="O94" s="6" t="s">
        <v>94</v>
      </c>
      <c r="P94" s="6" t="s">
        <v>364</v>
      </c>
      <c r="Q94" s="6" t="s">
        <v>122</v>
      </c>
      <c r="R94" s="6" t="s">
        <v>1643</v>
      </c>
      <c r="S94" s="6" t="s">
        <v>94</v>
      </c>
      <c r="T94" s="6" t="s">
        <v>94</v>
      </c>
      <c r="U94" s="6" t="s">
        <v>94</v>
      </c>
      <c r="V94" s="6" t="s">
        <v>94</v>
      </c>
      <c r="W94" s="6" t="s">
        <v>418</v>
      </c>
      <c r="X94" s="6" t="s">
        <v>1643</v>
      </c>
      <c r="Y94" s="6" t="s">
        <v>1643</v>
      </c>
      <c r="Z94" s="6" t="s">
        <v>1643</v>
      </c>
      <c r="AA94" s="8">
        <v>1</v>
      </c>
      <c r="AB94" s="8">
        <v>1</v>
      </c>
      <c r="AC94" s="8">
        <v>1</v>
      </c>
      <c r="AD94" s="8">
        <v>1</v>
      </c>
      <c r="AE94" s="8">
        <v>0</v>
      </c>
      <c r="AF94" s="6" t="s">
        <v>326</v>
      </c>
      <c r="AG94" s="6" t="s">
        <v>283</v>
      </c>
      <c r="AH94" s="6" t="s">
        <v>323</v>
      </c>
      <c r="AI94" s="6" t="s">
        <v>286</v>
      </c>
      <c r="AJ94" s="9">
        <v>40</v>
      </c>
      <c r="AK94" s="8">
        <v>40</v>
      </c>
      <c r="AL94" s="8">
        <v>40</v>
      </c>
      <c r="AM94" s="8">
        <v>40</v>
      </c>
      <c r="AN94" s="8">
        <v>40</v>
      </c>
      <c r="AO94" s="13">
        <v>40</v>
      </c>
      <c r="AP94" s="5"/>
    </row>
    <row r="95" spans="1:42">
      <c r="A95" s="12">
        <v>94</v>
      </c>
      <c r="B95" s="6" t="s">
        <v>605</v>
      </c>
      <c r="C95" s="6" t="s">
        <v>1760</v>
      </c>
      <c r="D95" s="6" t="s">
        <v>318</v>
      </c>
      <c r="E95" s="6" t="s">
        <v>86</v>
      </c>
      <c r="F95" s="7">
        <v>43669</v>
      </c>
      <c r="G95" s="6" t="s">
        <v>26</v>
      </c>
      <c r="H95" s="6" t="s">
        <v>126</v>
      </c>
      <c r="I95" s="6" t="s">
        <v>607</v>
      </c>
      <c r="J95" s="6" t="s">
        <v>90</v>
      </c>
      <c r="K95" s="6" t="s">
        <v>91</v>
      </c>
      <c r="L95" s="6" t="s">
        <v>92</v>
      </c>
      <c r="M95" s="6" t="s">
        <v>90</v>
      </c>
      <c r="N95" s="6" t="s">
        <v>27</v>
      </c>
      <c r="O95" s="6" t="s">
        <v>95</v>
      </c>
      <c r="P95" s="6" t="s">
        <v>27</v>
      </c>
      <c r="Q95" s="6" t="s">
        <v>104</v>
      </c>
      <c r="R95" s="6" t="s">
        <v>1643</v>
      </c>
      <c r="S95" s="6" t="s">
        <v>94</v>
      </c>
      <c r="T95" s="6" t="s">
        <v>94</v>
      </c>
      <c r="U95" s="6" t="s">
        <v>94</v>
      </c>
      <c r="V95" s="6" t="s">
        <v>94</v>
      </c>
      <c r="W95" s="6" t="s">
        <v>296</v>
      </c>
      <c r="X95" s="6" t="s">
        <v>1643</v>
      </c>
      <c r="Y95" s="6" t="s">
        <v>1643</v>
      </c>
      <c r="Z95" s="6" t="s">
        <v>1643</v>
      </c>
      <c r="AA95" s="8">
        <v>1</v>
      </c>
      <c r="AB95" s="8">
        <v>1</v>
      </c>
      <c r="AC95" s="8">
        <v>1</v>
      </c>
      <c r="AD95" s="8">
        <v>1</v>
      </c>
      <c r="AE95" s="8">
        <v>100</v>
      </c>
      <c r="AF95" s="6" t="s">
        <v>308</v>
      </c>
      <c r="AG95" s="6" t="s">
        <v>283</v>
      </c>
      <c r="AH95" s="6" t="s">
        <v>305</v>
      </c>
      <c r="AI95" s="6" t="s">
        <v>286</v>
      </c>
      <c r="AJ95" s="9">
        <v>40</v>
      </c>
      <c r="AK95" s="8">
        <v>40</v>
      </c>
      <c r="AL95" s="8">
        <v>40</v>
      </c>
      <c r="AM95" s="8">
        <v>40</v>
      </c>
      <c r="AN95" s="8">
        <v>40</v>
      </c>
      <c r="AO95" s="13">
        <v>40</v>
      </c>
      <c r="AP95" s="5"/>
    </row>
    <row r="96" spans="1:42">
      <c r="A96" s="12">
        <v>95</v>
      </c>
      <c r="B96" s="6" t="s">
        <v>608</v>
      </c>
      <c r="C96" s="6" t="s">
        <v>1761</v>
      </c>
      <c r="D96" s="6" t="s">
        <v>348</v>
      </c>
      <c r="E96" s="6" t="s">
        <v>86</v>
      </c>
      <c r="F96" s="7">
        <v>42614</v>
      </c>
      <c r="G96" s="6" t="s">
        <v>111</v>
      </c>
      <c r="H96" s="6" t="s">
        <v>175</v>
      </c>
      <c r="I96" s="6" t="s">
        <v>610</v>
      </c>
      <c r="J96" s="6" t="s">
        <v>90</v>
      </c>
      <c r="K96" s="6" t="s">
        <v>91</v>
      </c>
      <c r="L96" s="6" t="s">
        <v>92</v>
      </c>
      <c r="M96" s="6" t="s">
        <v>90</v>
      </c>
      <c r="N96" s="6" t="s">
        <v>117</v>
      </c>
      <c r="O96" s="6" t="s">
        <v>94</v>
      </c>
      <c r="P96" s="6" t="s">
        <v>117</v>
      </c>
      <c r="Q96" s="6" t="s">
        <v>122</v>
      </c>
      <c r="R96" s="6" t="s">
        <v>1643</v>
      </c>
      <c r="S96" s="6" t="s">
        <v>94</v>
      </c>
      <c r="T96" s="6" t="s">
        <v>94</v>
      </c>
      <c r="U96" s="6" t="s">
        <v>94</v>
      </c>
      <c r="V96" s="6" t="s">
        <v>94</v>
      </c>
      <c r="W96" s="6" t="s">
        <v>281</v>
      </c>
      <c r="X96" s="6" t="s">
        <v>1643</v>
      </c>
      <c r="Y96" s="6" t="s">
        <v>1643</v>
      </c>
      <c r="Z96" s="6" t="s">
        <v>1643</v>
      </c>
      <c r="AA96" s="8">
        <v>1</v>
      </c>
      <c r="AB96" s="8">
        <v>1</v>
      </c>
      <c r="AC96" s="8">
        <v>0.5</v>
      </c>
      <c r="AD96" s="8">
        <v>0.5</v>
      </c>
      <c r="AE96" s="8">
        <v>100</v>
      </c>
      <c r="AF96" s="6" t="s">
        <v>308</v>
      </c>
      <c r="AG96" s="6" t="s">
        <v>283</v>
      </c>
      <c r="AH96" s="6" t="s">
        <v>318</v>
      </c>
      <c r="AI96" s="6" t="s">
        <v>286</v>
      </c>
      <c r="AJ96" s="9">
        <v>40</v>
      </c>
      <c r="AK96" s="8">
        <v>40</v>
      </c>
      <c r="AL96" s="8">
        <v>40</v>
      </c>
      <c r="AM96" s="8">
        <v>40</v>
      </c>
      <c r="AN96" s="8">
        <v>40</v>
      </c>
      <c r="AO96" s="13">
        <v>40</v>
      </c>
      <c r="AP96" s="5"/>
    </row>
    <row r="97" spans="1:42">
      <c r="A97" s="12">
        <v>96</v>
      </c>
      <c r="B97" s="6" t="s">
        <v>611</v>
      </c>
      <c r="C97" s="6" t="s">
        <v>1762</v>
      </c>
      <c r="D97" s="6" t="s">
        <v>348</v>
      </c>
      <c r="E97" s="6" t="s">
        <v>86</v>
      </c>
      <c r="F97" s="7">
        <v>43359</v>
      </c>
      <c r="G97" s="6" t="s">
        <v>111</v>
      </c>
      <c r="H97" s="6" t="s">
        <v>120</v>
      </c>
      <c r="I97" s="6" t="s">
        <v>613</v>
      </c>
      <c r="J97" s="6" t="s">
        <v>90</v>
      </c>
      <c r="K97" s="6" t="s">
        <v>91</v>
      </c>
      <c r="L97" s="6" t="s">
        <v>92</v>
      </c>
      <c r="M97" s="6" t="s">
        <v>90</v>
      </c>
      <c r="N97" s="6" t="s">
        <v>103</v>
      </c>
      <c r="O97" s="6" t="s">
        <v>122</v>
      </c>
      <c r="P97" s="6" t="s">
        <v>103</v>
      </c>
      <c r="Q97" s="6" t="s">
        <v>122</v>
      </c>
      <c r="R97" s="6" t="s">
        <v>1643</v>
      </c>
      <c r="S97" s="6" t="s">
        <v>94</v>
      </c>
      <c r="T97" s="6" t="s">
        <v>94</v>
      </c>
      <c r="U97" s="6" t="s">
        <v>94</v>
      </c>
      <c r="V97" s="6" t="s">
        <v>94</v>
      </c>
      <c r="W97" s="6" t="s">
        <v>418</v>
      </c>
      <c r="X97" s="6" t="s">
        <v>1643</v>
      </c>
      <c r="Y97" s="6" t="s">
        <v>1643</v>
      </c>
      <c r="Z97" s="6" t="s">
        <v>1643</v>
      </c>
      <c r="AA97" s="8">
        <v>1</v>
      </c>
      <c r="AB97" s="8">
        <v>1</v>
      </c>
      <c r="AC97" s="8">
        <v>1</v>
      </c>
      <c r="AD97" s="8">
        <v>1</v>
      </c>
      <c r="AE97" s="8">
        <v>100</v>
      </c>
      <c r="AF97" s="6" t="s">
        <v>351</v>
      </c>
      <c r="AG97" s="6" t="s">
        <v>283</v>
      </c>
      <c r="AH97" s="6" t="s">
        <v>348</v>
      </c>
      <c r="AI97" s="6" t="s">
        <v>286</v>
      </c>
      <c r="AJ97" s="9">
        <v>40</v>
      </c>
      <c r="AK97" s="8">
        <v>40</v>
      </c>
      <c r="AL97" s="8">
        <v>40</v>
      </c>
      <c r="AM97" s="8">
        <v>40</v>
      </c>
      <c r="AN97" s="8">
        <v>40</v>
      </c>
      <c r="AO97" s="13">
        <v>40</v>
      </c>
      <c r="AP97" s="5"/>
    </row>
    <row r="98" spans="1:42">
      <c r="A98" s="12">
        <v>97</v>
      </c>
      <c r="B98" s="6" t="s">
        <v>614</v>
      </c>
      <c r="C98" s="6" t="s">
        <v>1763</v>
      </c>
      <c r="D98" s="6" t="s">
        <v>575</v>
      </c>
      <c r="E98" s="6" t="s">
        <v>86</v>
      </c>
      <c r="F98" s="7">
        <v>45185</v>
      </c>
      <c r="G98" s="6" t="s">
        <v>111</v>
      </c>
      <c r="H98" s="6" t="s">
        <v>94</v>
      </c>
      <c r="I98" s="6" t="s">
        <v>616</v>
      </c>
      <c r="J98" s="6" t="s">
        <v>90</v>
      </c>
      <c r="K98" s="6" t="s">
        <v>91</v>
      </c>
      <c r="L98" s="6" t="s">
        <v>92</v>
      </c>
      <c r="M98" s="6" t="s">
        <v>90</v>
      </c>
      <c r="N98" s="6" t="s">
        <v>550</v>
      </c>
      <c r="O98" s="6" t="s">
        <v>122</v>
      </c>
      <c r="P98" s="6" t="s">
        <v>103</v>
      </c>
      <c r="Q98" s="6" t="s">
        <v>122</v>
      </c>
      <c r="R98" s="6" t="s">
        <v>1643</v>
      </c>
      <c r="S98" s="6" t="s">
        <v>94</v>
      </c>
      <c r="T98" s="6" t="s">
        <v>94</v>
      </c>
      <c r="U98" s="6" t="s">
        <v>94</v>
      </c>
      <c r="V98" s="6" t="s">
        <v>94</v>
      </c>
      <c r="W98" s="6" t="s">
        <v>418</v>
      </c>
      <c r="X98" s="6" t="s">
        <v>1643</v>
      </c>
      <c r="Y98" s="6" t="s">
        <v>1643</v>
      </c>
      <c r="Z98" s="6" t="s">
        <v>1643</v>
      </c>
      <c r="AA98" s="8">
        <v>1</v>
      </c>
      <c r="AB98" s="8">
        <v>1</v>
      </c>
      <c r="AC98" s="8">
        <v>1</v>
      </c>
      <c r="AD98" s="8">
        <v>1</v>
      </c>
      <c r="AE98" s="8">
        <v>100</v>
      </c>
      <c r="AF98" s="6" t="s">
        <v>351</v>
      </c>
      <c r="AG98" s="6" t="s">
        <v>283</v>
      </c>
      <c r="AH98" s="6" t="s">
        <v>348</v>
      </c>
      <c r="AI98" s="6" t="s">
        <v>286</v>
      </c>
      <c r="AJ98" s="9">
        <v>40</v>
      </c>
      <c r="AK98" s="8">
        <v>40</v>
      </c>
      <c r="AL98" s="8">
        <v>40</v>
      </c>
      <c r="AM98" s="8">
        <v>40</v>
      </c>
      <c r="AN98" s="8">
        <v>40</v>
      </c>
      <c r="AO98" s="13">
        <v>40</v>
      </c>
      <c r="AP98" s="5"/>
    </row>
    <row r="99" spans="1:42">
      <c r="A99" s="12">
        <v>98</v>
      </c>
      <c r="B99" s="6" t="s">
        <v>617</v>
      </c>
      <c r="C99" s="6" t="s">
        <v>1764</v>
      </c>
      <c r="D99" s="6" t="s">
        <v>318</v>
      </c>
      <c r="E99" s="6" t="s">
        <v>86</v>
      </c>
      <c r="F99" s="7">
        <v>44911</v>
      </c>
      <c r="G99" s="6" t="s">
        <v>288</v>
      </c>
      <c r="H99" s="6" t="s">
        <v>359</v>
      </c>
      <c r="I99" s="6" t="s">
        <v>619</v>
      </c>
      <c r="J99" s="6" t="s">
        <v>90</v>
      </c>
      <c r="K99" s="6" t="s">
        <v>91</v>
      </c>
      <c r="L99" s="6" t="s">
        <v>92</v>
      </c>
      <c r="M99" s="6" t="s">
        <v>90</v>
      </c>
      <c r="N99" s="6" t="s">
        <v>131</v>
      </c>
      <c r="O99" s="6" t="s">
        <v>104</v>
      </c>
      <c r="P99" s="6" t="s">
        <v>131</v>
      </c>
      <c r="Q99" s="6" t="s">
        <v>104</v>
      </c>
      <c r="R99" s="6" t="s">
        <v>1643</v>
      </c>
      <c r="S99" s="6" t="s">
        <v>1765</v>
      </c>
      <c r="T99" s="6" t="s">
        <v>94</v>
      </c>
      <c r="U99" s="6" t="s">
        <v>94</v>
      </c>
      <c r="V99" s="6" t="s">
        <v>94</v>
      </c>
      <c r="W99" s="6" t="s">
        <v>291</v>
      </c>
      <c r="X99" s="6" t="s">
        <v>1643</v>
      </c>
      <c r="Y99" s="6" t="s">
        <v>1643</v>
      </c>
      <c r="Z99" s="6" t="s">
        <v>1643</v>
      </c>
      <c r="AA99" s="8">
        <v>1</v>
      </c>
      <c r="AB99" s="8">
        <v>1</v>
      </c>
      <c r="AC99" s="8">
        <v>1</v>
      </c>
      <c r="AD99" s="8">
        <v>1</v>
      </c>
      <c r="AE99" s="8">
        <v>100</v>
      </c>
      <c r="AF99" s="6" t="s">
        <v>282</v>
      </c>
      <c r="AG99" s="6" t="s">
        <v>283</v>
      </c>
      <c r="AH99" s="6" t="s">
        <v>575</v>
      </c>
      <c r="AI99" s="6" t="s">
        <v>286</v>
      </c>
      <c r="AJ99" s="9">
        <v>40</v>
      </c>
      <c r="AK99" s="8">
        <v>40</v>
      </c>
      <c r="AL99" s="8">
        <v>40</v>
      </c>
      <c r="AM99" s="8">
        <v>40</v>
      </c>
      <c r="AN99" s="8">
        <v>40</v>
      </c>
      <c r="AO99" s="13">
        <v>40</v>
      </c>
      <c r="AP99" s="5"/>
    </row>
    <row r="100" spans="1:42">
      <c r="A100" s="12">
        <v>99</v>
      </c>
      <c r="B100" s="6" t="s">
        <v>620</v>
      </c>
      <c r="C100" s="6" t="s">
        <v>1766</v>
      </c>
      <c r="D100" s="6" t="s">
        <v>387</v>
      </c>
      <c r="E100" s="6" t="s">
        <v>86</v>
      </c>
      <c r="F100" s="7">
        <v>44470</v>
      </c>
      <c r="G100" s="6" t="s">
        <v>111</v>
      </c>
      <c r="H100" s="6" t="s">
        <v>622</v>
      </c>
      <c r="I100" s="6" t="s">
        <v>623</v>
      </c>
      <c r="J100" s="6" t="s">
        <v>90</v>
      </c>
      <c r="K100" s="6" t="s">
        <v>91</v>
      </c>
      <c r="L100" s="6" t="s">
        <v>92</v>
      </c>
      <c r="M100" s="6" t="s">
        <v>90</v>
      </c>
      <c r="N100" s="6" t="s">
        <v>131</v>
      </c>
      <c r="O100" s="6" t="s">
        <v>94</v>
      </c>
      <c r="P100" s="6" t="s">
        <v>584</v>
      </c>
      <c r="Q100" s="6" t="s">
        <v>95</v>
      </c>
      <c r="R100" s="6" t="s">
        <v>1643</v>
      </c>
      <c r="S100" s="6" t="s">
        <v>1690</v>
      </c>
      <c r="T100" s="6" t="s">
        <v>94</v>
      </c>
      <c r="U100" s="6" t="s">
        <v>94</v>
      </c>
      <c r="V100" s="6" t="s">
        <v>94</v>
      </c>
      <c r="W100" s="6" t="s">
        <v>281</v>
      </c>
      <c r="X100" s="6" t="s">
        <v>1643</v>
      </c>
      <c r="Y100" s="6" t="s">
        <v>1643</v>
      </c>
      <c r="Z100" s="6" t="s">
        <v>1643</v>
      </c>
      <c r="AA100" s="8">
        <v>1</v>
      </c>
      <c r="AB100" s="8">
        <v>1</v>
      </c>
      <c r="AC100" s="8">
        <v>1</v>
      </c>
      <c r="AD100" s="8">
        <v>1</v>
      </c>
      <c r="AE100" s="8">
        <v>100</v>
      </c>
      <c r="AF100" s="6" t="s">
        <v>308</v>
      </c>
      <c r="AG100" s="6" t="s">
        <v>283</v>
      </c>
      <c r="AH100" s="6" t="s">
        <v>318</v>
      </c>
      <c r="AI100" s="6" t="s">
        <v>286</v>
      </c>
      <c r="AJ100" s="9">
        <v>40</v>
      </c>
      <c r="AK100" s="8">
        <v>40</v>
      </c>
      <c r="AL100" s="8">
        <v>40</v>
      </c>
      <c r="AM100" s="8">
        <v>40</v>
      </c>
      <c r="AN100" s="8">
        <v>40</v>
      </c>
      <c r="AO100" s="13">
        <v>40</v>
      </c>
      <c r="AP100" s="5"/>
    </row>
    <row r="101" spans="1:42">
      <c r="A101" s="12">
        <v>100</v>
      </c>
      <c r="B101" s="6" t="s">
        <v>624</v>
      </c>
      <c r="C101" s="6" t="s">
        <v>1767</v>
      </c>
      <c r="D101" s="6" t="s">
        <v>626</v>
      </c>
      <c r="E101" s="6" t="s">
        <v>86</v>
      </c>
      <c r="F101" s="7">
        <v>46149</v>
      </c>
      <c r="G101" s="6" t="s">
        <v>111</v>
      </c>
      <c r="H101" s="6" t="s">
        <v>94</v>
      </c>
      <c r="I101" s="6" t="s">
        <v>94</v>
      </c>
      <c r="J101" s="6" t="s">
        <v>90</v>
      </c>
      <c r="K101" s="6" t="s">
        <v>91</v>
      </c>
      <c r="L101" s="6" t="s">
        <v>92</v>
      </c>
      <c r="M101" s="6" t="s">
        <v>90</v>
      </c>
      <c r="N101" s="6" t="s">
        <v>94</v>
      </c>
      <c r="O101" s="6" t="s">
        <v>94</v>
      </c>
      <c r="P101" s="6" t="s">
        <v>136</v>
      </c>
      <c r="Q101" s="6" t="s">
        <v>95</v>
      </c>
      <c r="R101" s="6" t="s">
        <v>1643</v>
      </c>
      <c r="S101" s="6" t="s">
        <v>94</v>
      </c>
      <c r="T101" s="6" t="s">
        <v>94</v>
      </c>
      <c r="U101" s="6" t="s">
        <v>94</v>
      </c>
      <c r="V101" s="6" t="s">
        <v>94</v>
      </c>
      <c r="W101" s="6" t="s">
        <v>281</v>
      </c>
      <c r="X101" s="6" t="s">
        <v>1643</v>
      </c>
      <c r="Y101" s="6" t="s">
        <v>1643</v>
      </c>
      <c r="Z101" s="6" t="s">
        <v>1643</v>
      </c>
      <c r="AA101" s="8">
        <v>1</v>
      </c>
      <c r="AB101" s="8">
        <v>1</v>
      </c>
      <c r="AC101" s="8">
        <v>1</v>
      </c>
      <c r="AD101" s="8">
        <v>1</v>
      </c>
      <c r="AE101" s="8">
        <v>100</v>
      </c>
      <c r="AF101" s="6" t="s">
        <v>391</v>
      </c>
      <c r="AG101" s="6" t="s">
        <v>386</v>
      </c>
      <c r="AH101" s="6" t="s">
        <v>387</v>
      </c>
      <c r="AI101" s="6" t="s">
        <v>286</v>
      </c>
      <c r="AJ101" s="9">
        <v>40</v>
      </c>
      <c r="AK101" s="8">
        <v>40</v>
      </c>
      <c r="AL101" s="8">
        <v>40</v>
      </c>
      <c r="AM101" s="8">
        <v>40</v>
      </c>
      <c r="AN101" s="8">
        <v>40</v>
      </c>
      <c r="AO101" s="13">
        <v>40</v>
      </c>
      <c r="AP101" s="5"/>
    </row>
    <row r="102" spans="1:42">
      <c r="A102" s="12">
        <v>101</v>
      </c>
      <c r="B102" s="6" t="s">
        <v>627</v>
      </c>
      <c r="C102" s="6" t="s">
        <v>1768</v>
      </c>
      <c r="D102" s="6" t="s">
        <v>305</v>
      </c>
      <c r="E102" s="6" t="s">
        <v>86</v>
      </c>
      <c r="F102" s="7">
        <v>42705</v>
      </c>
      <c r="G102" s="6" t="s">
        <v>204</v>
      </c>
      <c r="H102" s="6" t="s">
        <v>107</v>
      </c>
      <c r="I102" s="6" t="s">
        <v>629</v>
      </c>
      <c r="J102" s="6" t="s">
        <v>90</v>
      </c>
      <c r="K102" s="6" t="s">
        <v>91</v>
      </c>
      <c r="L102" s="6" t="s">
        <v>92</v>
      </c>
      <c r="M102" s="6" t="s">
        <v>90</v>
      </c>
      <c r="N102" s="6" t="s">
        <v>43</v>
      </c>
      <c r="O102" s="6" t="s">
        <v>122</v>
      </c>
      <c r="P102" s="6" t="s">
        <v>43</v>
      </c>
      <c r="Q102" s="6" t="s">
        <v>104</v>
      </c>
      <c r="R102" s="6" t="s">
        <v>1643</v>
      </c>
      <c r="S102" s="6" t="s">
        <v>1769</v>
      </c>
      <c r="T102" s="6" t="s">
        <v>94</v>
      </c>
      <c r="U102" s="6" t="s">
        <v>94</v>
      </c>
      <c r="V102" s="6" t="s">
        <v>94</v>
      </c>
      <c r="W102" s="6" t="s">
        <v>403</v>
      </c>
      <c r="X102" s="6" t="s">
        <v>1643</v>
      </c>
      <c r="Y102" s="6" t="s">
        <v>1643</v>
      </c>
      <c r="Z102" s="6" t="s">
        <v>1643</v>
      </c>
      <c r="AA102" s="8">
        <v>1</v>
      </c>
      <c r="AB102" s="8">
        <v>1</v>
      </c>
      <c r="AC102" s="8">
        <v>1</v>
      </c>
      <c r="AD102" s="8">
        <v>1</v>
      </c>
      <c r="AE102" s="8">
        <v>100</v>
      </c>
      <c r="AF102" s="6" t="s">
        <v>630</v>
      </c>
      <c r="AG102" s="6" t="s">
        <v>386</v>
      </c>
      <c r="AH102" s="6" t="s">
        <v>626</v>
      </c>
      <c r="AI102" s="6" t="s">
        <v>286</v>
      </c>
      <c r="AJ102" s="9">
        <v>40</v>
      </c>
      <c r="AK102" s="8">
        <v>40</v>
      </c>
      <c r="AL102" s="8">
        <v>40</v>
      </c>
      <c r="AM102" s="8">
        <v>40</v>
      </c>
      <c r="AN102" s="8">
        <v>40</v>
      </c>
      <c r="AO102" s="13">
        <v>40</v>
      </c>
      <c r="AP102" s="5"/>
    </row>
    <row r="103" spans="1:42">
      <c r="A103" s="12">
        <v>102</v>
      </c>
      <c r="B103" s="6" t="s">
        <v>627</v>
      </c>
      <c r="C103" s="6" t="s">
        <v>1770</v>
      </c>
      <c r="D103" s="6" t="s">
        <v>94</v>
      </c>
      <c r="E103" s="6" t="s">
        <v>86</v>
      </c>
      <c r="F103" s="7">
        <v>41806</v>
      </c>
      <c r="G103" s="6" t="s">
        <v>199</v>
      </c>
      <c r="H103" s="6" t="s">
        <v>182</v>
      </c>
      <c r="I103" s="6" t="s">
        <v>632</v>
      </c>
      <c r="J103" s="6" t="s">
        <v>90</v>
      </c>
      <c r="K103" s="6" t="s">
        <v>91</v>
      </c>
      <c r="L103" s="6" t="s">
        <v>92</v>
      </c>
      <c r="M103" s="6" t="s">
        <v>90</v>
      </c>
      <c r="N103" s="6" t="s">
        <v>43</v>
      </c>
      <c r="O103" s="6" t="s">
        <v>94</v>
      </c>
      <c r="P103" s="6" t="s">
        <v>43</v>
      </c>
      <c r="Q103" s="6" t="s">
        <v>122</v>
      </c>
      <c r="R103" s="6" t="s">
        <v>1643</v>
      </c>
      <c r="S103" s="6" t="s">
        <v>1771</v>
      </c>
      <c r="T103" s="6" t="s">
        <v>94</v>
      </c>
      <c r="U103" s="6" t="s">
        <v>94</v>
      </c>
      <c r="V103" s="6" t="s">
        <v>94</v>
      </c>
      <c r="W103" s="6" t="s">
        <v>565</v>
      </c>
      <c r="X103" s="6" t="s">
        <v>1643</v>
      </c>
      <c r="Y103" s="6" t="s">
        <v>1643</v>
      </c>
      <c r="Z103" s="6" t="s">
        <v>1643</v>
      </c>
      <c r="AA103" s="8">
        <v>1</v>
      </c>
      <c r="AB103" s="8">
        <v>1</v>
      </c>
      <c r="AC103" s="8">
        <v>1</v>
      </c>
      <c r="AD103" s="8">
        <v>1</v>
      </c>
      <c r="AE103" s="8">
        <v>100</v>
      </c>
      <c r="AF103" s="6" t="s">
        <v>308</v>
      </c>
      <c r="AG103" s="6" t="s">
        <v>283</v>
      </c>
      <c r="AH103" s="6" t="s">
        <v>305</v>
      </c>
      <c r="AI103" s="6" t="s">
        <v>286</v>
      </c>
      <c r="AJ103" s="9">
        <v>40</v>
      </c>
      <c r="AK103" s="8">
        <v>40</v>
      </c>
      <c r="AL103" s="8">
        <v>40</v>
      </c>
      <c r="AM103" s="8">
        <v>40</v>
      </c>
      <c r="AN103" s="8">
        <v>40</v>
      </c>
      <c r="AO103" s="13">
        <v>40</v>
      </c>
      <c r="AP103" s="5"/>
    </row>
    <row r="104" spans="1:42">
      <c r="A104" s="12">
        <v>103</v>
      </c>
      <c r="B104" s="6" t="s">
        <v>633</v>
      </c>
      <c r="C104" s="6" t="s">
        <v>1772</v>
      </c>
      <c r="D104" s="6" t="s">
        <v>348</v>
      </c>
      <c r="E104" s="6" t="s">
        <v>86</v>
      </c>
      <c r="F104" s="7">
        <v>45078</v>
      </c>
      <c r="G104" s="6" t="s">
        <v>288</v>
      </c>
      <c r="H104" s="6" t="s">
        <v>175</v>
      </c>
      <c r="I104" s="6" t="s">
        <v>635</v>
      </c>
      <c r="J104" s="6" t="s">
        <v>90</v>
      </c>
      <c r="K104" s="6" t="s">
        <v>91</v>
      </c>
      <c r="L104" s="6" t="s">
        <v>92</v>
      </c>
      <c r="M104" s="6" t="s">
        <v>90</v>
      </c>
      <c r="N104" s="6" t="s">
        <v>94</v>
      </c>
      <c r="O104" s="6" t="s">
        <v>94</v>
      </c>
      <c r="P104" s="6" t="s">
        <v>131</v>
      </c>
      <c r="Q104" s="6" t="s">
        <v>95</v>
      </c>
      <c r="R104" s="10" t="s">
        <v>1773</v>
      </c>
      <c r="S104" s="6" t="s">
        <v>1774</v>
      </c>
      <c r="T104" s="6" t="s">
        <v>94</v>
      </c>
      <c r="U104" s="6" t="s">
        <v>94</v>
      </c>
      <c r="V104" s="6" t="s">
        <v>94</v>
      </c>
      <c r="W104" s="6" t="s">
        <v>291</v>
      </c>
      <c r="X104" s="6" t="s">
        <v>1773</v>
      </c>
      <c r="Y104" s="6" t="s">
        <v>1773</v>
      </c>
      <c r="Z104" s="6" t="s">
        <v>1773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6" t="s">
        <v>94</v>
      </c>
      <c r="AG104" s="6" t="s">
        <v>94</v>
      </c>
      <c r="AH104" s="6" t="s">
        <v>94</v>
      </c>
      <c r="AI104" s="6" t="s">
        <v>94</v>
      </c>
      <c r="AJ104" s="9">
        <v>0</v>
      </c>
      <c r="AK104" s="8">
        <v>0</v>
      </c>
      <c r="AL104" s="8">
        <v>0</v>
      </c>
      <c r="AM104" s="8">
        <v>0</v>
      </c>
      <c r="AN104" s="8">
        <v>0</v>
      </c>
      <c r="AO104" s="13">
        <v>0</v>
      </c>
      <c r="AP104" s="5"/>
    </row>
    <row r="105" spans="1:42">
      <c r="A105" s="12">
        <v>104</v>
      </c>
      <c r="B105" s="6" t="s">
        <v>636</v>
      </c>
      <c r="C105" s="6" t="s">
        <v>1775</v>
      </c>
      <c r="D105" s="6" t="s">
        <v>434</v>
      </c>
      <c r="E105" s="6" t="s">
        <v>86</v>
      </c>
      <c r="F105" s="7">
        <v>43952</v>
      </c>
      <c r="G105" s="6" t="s">
        <v>204</v>
      </c>
      <c r="H105" s="6" t="s">
        <v>603</v>
      </c>
      <c r="I105" s="6" t="s">
        <v>638</v>
      </c>
      <c r="J105" s="6" t="s">
        <v>90</v>
      </c>
      <c r="K105" s="6" t="s">
        <v>91</v>
      </c>
      <c r="L105" s="6" t="s">
        <v>92</v>
      </c>
      <c r="M105" s="6" t="s">
        <v>90</v>
      </c>
      <c r="N105" s="6" t="s">
        <v>43</v>
      </c>
      <c r="O105" s="6" t="s">
        <v>122</v>
      </c>
      <c r="P105" s="6" t="s">
        <v>43</v>
      </c>
      <c r="Q105" s="6" t="s">
        <v>104</v>
      </c>
      <c r="R105" s="6" t="s">
        <v>1643</v>
      </c>
      <c r="S105" s="6" t="s">
        <v>1776</v>
      </c>
      <c r="T105" s="6" t="s">
        <v>94</v>
      </c>
      <c r="U105" s="6" t="s">
        <v>94</v>
      </c>
      <c r="V105" s="6" t="s">
        <v>94</v>
      </c>
      <c r="W105" s="6" t="s">
        <v>403</v>
      </c>
      <c r="X105" s="6" t="s">
        <v>1643</v>
      </c>
      <c r="Y105" s="6" t="s">
        <v>1643</v>
      </c>
      <c r="Z105" s="6" t="s">
        <v>1643</v>
      </c>
      <c r="AA105" s="8">
        <v>1</v>
      </c>
      <c r="AB105" s="8">
        <v>1</v>
      </c>
      <c r="AC105" s="8">
        <v>1</v>
      </c>
      <c r="AD105" s="8">
        <v>1</v>
      </c>
      <c r="AE105" s="8">
        <v>100</v>
      </c>
      <c r="AF105" s="6" t="s">
        <v>351</v>
      </c>
      <c r="AG105" s="6" t="s">
        <v>283</v>
      </c>
      <c r="AH105" s="6" t="s">
        <v>348</v>
      </c>
      <c r="AI105" s="6" t="s">
        <v>286</v>
      </c>
      <c r="AJ105" s="9">
        <v>40</v>
      </c>
      <c r="AK105" s="8">
        <v>40</v>
      </c>
      <c r="AL105" s="8">
        <v>40</v>
      </c>
      <c r="AM105" s="8">
        <v>40</v>
      </c>
      <c r="AN105" s="8">
        <v>40</v>
      </c>
      <c r="AO105" s="13">
        <v>40</v>
      </c>
      <c r="AP105" s="5"/>
    </row>
    <row r="106" spans="1:42">
      <c r="A106" s="12">
        <v>105</v>
      </c>
      <c r="B106" s="6" t="s">
        <v>639</v>
      </c>
      <c r="C106" s="6" t="s">
        <v>1777</v>
      </c>
      <c r="D106" s="6" t="s">
        <v>341</v>
      </c>
      <c r="E106" s="6" t="s">
        <v>86</v>
      </c>
      <c r="F106" s="7">
        <v>44059</v>
      </c>
      <c r="G106" s="6" t="s">
        <v>204</v>
      </c>
      <c r="H106" s="6" t="s">
        <v>107</v>
      </c>
      <c r="I106" s="6" t="s">
        <v>641</v>
      </c>
      <c r="J106" s="6" t="s">
        <v>90</v>
      </c>
      <c r="K106" s="6" t="s">
        <v>91</v>
      </c>
      <c r="L106" s="6" t="s">
        <v>92</v>
      </c>
      <c r="M106" s="6" t="s">
        <v>90</v>
      </c>
      <c r="N106" s="6" t="s">
        <v>43</v>
      </c>
      <c r="O106" s="6" t="s">
        <v>122</v>
      </c>
      <c r="P106" s="6" t="s">
        <v>642</v>
      </c>
      <c r="Q106" s="6" t="s">
        <v>122</v>
      </c>
      <c r="R106" s="6" t="s">
        <v>1643</v>
      </c>
      <c r="S106" s="6" t="s">
        <v>94</v>
      </c>
      <c r="T106" s="6" t="s">
        <v>94</v>
      </c>
      <c r="U106" s="6" t="s">
        <v>94</v>
      </c>
      <c r="V106" s="6" t="s">
        <v>94</v>
      </c>
      <c r="W106" s="6" t="s">
        <v>403</v>
      </c>
      <c r="X106" s="6" t="s">
        <v>1643</v>
      </c>
      <c r="Y106" s="6" t="s">
        <v>1643</v>
      </c>
      <c r="Z106" s="6" t="s">
        <v>1643</v>
      </c>
      <c r="AA106" s="8">
        <v>1</v>
      </c>
      <c r="AB106" s="8">
        <v>1</v>
      </c>
      <c r="AC106" s="8">
        <v>1</v>
      </c>
      <c r="AD106" s="8">
        <v>1</v>
      </c>
      <c r="AE106" s="8">
        <v>100</v>
      </c>
      <c r="AF106" s="6" t="s">
        <v>334</v>
      </c>
      <c r="AG106" s="6" t="s">
        <v>335</v>
      </c>
      <c r="AH106" s="6" t="s">
        <v>434</v>
      </c>
      <c r="AI106" s="6" t="s">
        <v>286</v>
      </c>
      <c r="AJ106" s="9">
        <v>40</v>
      </c>
      <c r="AK106" s="8">
        <v>40</v>
      </c>
      <c r="AL106" s="8">
        <v>40</v>
      </c>
      <c r="AM106" s="8">
        <v>40</v>
      </c>
      <c r="AN106" s="8">
        <v>40</v>
      </c>
      <c r="AO106" s="13">
        <v>40</v>
      </c>
      <c r="AP106" s="5"/>
    </row>
    <row r="107" spans="1:42">
      <c r="A107" s="12">
        <v>106</v>
      </c>
      <c r="B107" s="6" t="s">
        <v>643</v>
      </c>
      <c r="C107" s="6" t="s">
        <v>1778</v>
      </c>
      <c r="D107" s="6" t="s">
        <v>305</v>
      </c>
      <c r="E107" s="6" t="s">
        <v>86</v>
      </c>
      <c r="F107" s="7">
        <v>46069</v>
      </c>
      <c r="G107" s="6" t="s">
        <v>337</v>
      </c>
      <c r="H107" s="6" t="s">
        <v>94</v>
      </c>
      <c r="I107" s="6" t="s">
        <v>645</v>
      </c>
      <c r="J107" s="6" t="s">
        <v>90</v>
      </c>
      <c r="K107" s="6" t="s">
        <v>91</v>
      </c>
      <c r="L107" s="6" t="s">
        <v>92</v>
      </c>
      <c r="M107" s="6" t="s">
        <v>90</v>
      </c>
      <c r="N107" s="6" t="s">
        <v>94</v>
      </c>
      <c r="O107" s="6" t="s">
        <v>94</v>
      </c>
      <c r="P107" s="6" t="s">
        <v>131</v>
      </c>
      <c r="Q107" s="6" t="s">
        <v>104</v>
      </c>
      <c r="R107" s="6" t="s">
        <v>1643</v>
      </c>
      <c r="S107" s="6" t="s">
        <v>1779</v>
      </c>
      <c r="T107" s="6" t="s">
        <v>94</v>
      </c>
      <c r="U107" s="6" t="s">
        <v>94</v>
      </c>
      <c r="V107" s="6" t="s">
        <v>94</v>
      </c>
      <c r="W107" s="6" t="s">
        <v>338</v>
      </c>
      <c r="X107" s="6" t="s">
        <v>1643</v>
      </c>
      <c r="Y107" s="6" t="s">
        <v>1643</v>
      </c>
      <c r="Z107" s="6" t="s">
        <v>1652</v>
      </c>
      <c r="AA107" s="8">
        <v>1</v>
      </c>
      <c r="AB107" s="8">
        <v>1</v>
      </c>
      <c r="AC107" s="8">
        <v>1</v>
      </c>
      <c r="AD107" s="8">
        <v>0</v>
      </c>
      <c r="AE107" s="8">
        <v>100</v>
      </c>
      <c r="AF107" s="6" t="s">
        <v>282</v>
      </c>
      <c r="AG107" s="6" t="s">
        <v>283</v>
      </c>
      <c r="AH107" s="6" t="s">
        <v>341</v>
      </c>
      <c r="AI107" s="6" t="s">
        <v>286</v>
      </c>
      <c r="AJ107" s="9">
        <v>40</v>
      </c>
      <c r="AK107" s="8">
        <v>40</v>
      </c>
      <c r="AL107" s="8">
        <v>40</v>
      </c>
      <c r="AM107" s="8">
        <v>40</v>
      </c>
      <c r="AN107" s="8">
        <v>40</v>
      </c>
      <c r="AO107" s="13">
        <v>40</v>
      </c>
      <c r="AP107" s="5"/>
    </row>
    <row r="108" spans="1:42">
      <c r="A108" s="12">
        <v>107</v>
      </c>
      <c r="B108" s="6" t="s">
        <v>646</v>
      </c>
      <c r="C108" s="6" t="s">
        <v>1780</v>
      </c>
      <c r="D108" s="6" t="s">
        <v>648</v>
      </c>
      <c r="E108" s="6" t="s">
        <v>86</v>
      </c>
      <c r="F108" s="7">
        <v>46180</v>
      </c>
      <c r="G108" s="6" t="s">
        <v>337</v>
      </c>
      <c r="H108" s="6" t="s">
        <v>94</v>
      </c>
      <c r="I108" s="6" t="s">
        <v>94</v>
      </c>
      <c r="J108" s="6" t="s">
        <v>90</v>
      </c>
      <c r="K108" s="6" t="s">
        <v>91</v>
      </c>
      <c r="L108" s="6" t="s">
        <v>92</v>
      </c>
      <c r="M108" s="6" t="s">
        <v>90</v>
      </c>
      <c r="N108" s="6" t="s">
        <v>94</v>
      </c>
      <c r="O108" s="6" t="s">
        <v>94</v>
      </c>
      <c r="P108" s="6" t="s">
        <v>131</v>
      </c>
      <c r="Q108" s="6" t="s">
        <v>104</v>
      </c>
      <c r="R108" s="6" t="s">
        <v>1643</v>
      </c>
      <c r="S108" s="6" t="s">
        <v>94</v>
      </c>
      <c r="T108" s="6" t="s">
        <v>94</v>
      </c>
      <c r="U108" s="6" t="s">
        <v>94</v>
      </c>
      <c r="V108" s="6" t="s">
        <v>94</v>
      </c>
      <c r="W108" s="6" t="s">
        <v>338</v>
      </c>
      <c r="X108" s="6" t="s">
        <v>1643</v>
      </c>
      <c r="Y108" s="6" t="s">
        <v>1643</v>
      </c>
      <c r="Z108" s="6" t="s">
        <v>1643</v>
      </c>
      <c r="AA108" s="8">
        <v>1</v>
      </c>
      <c r="AB108" s="8">
        <v>1</v>
      </c>
      <c r="AC108" s="8">
        <v>1</v>
      </c>
      <c r="AD108" s="8">
        <v>1</v>
      </c>
      <c r="AE108" s="8">
        <v>100</v>
      </c>
      <c r="AF108" s="6" t="s">
        <v>308</v>
      </c>
      <c r="AG108" s="6" t="s">
        <v>283</v>
      </c>
      <c r="AH108" s="6" t="s">
        <v>305</v>
      </c>
      <c r="AI108" s="6" t="s">
        <v>286</v>
      </c>
      <c r="AJ108" s="9">
        <v>40</v>
      </c>
      <c r="AK108" s="8">
        <v>40</v>
      </c>
      <c r="AL108" s="8">
        <v>40</v>
      </c>
      <c r="AM108" s="8">
        <v>40</v>
      </c>
      <c r="AN108" s="8">
        <v>40</v>
      </c>
      <c r="AO108" s="13">
        <v>40</v>
      </c>
      <c r="AP108" s="5"/>
    </row>
    <row r="109" spans="1:42">
      <c r="A109" s="12">
        <v>108</v>
      </c>
      <c r="B109" s="6" t="s">
        <v>649</v>
      </c>
      <c r="C109" s="6" t="s">
        <v>1781</v>
      </c>
      <c r="D109" s="6" t="s">
        <v>653</v>
      </c>
      <c r="E109" s="6" t="s">
        <v>86</v>
      </c>
      <c r="F109" s="7">
        <v>43359</v>
      </c>
      <c r="G109" s="6" t="s">
        <v>111</v>
      </c>
      <c r="H109" s="6" t="s">
        <v>187</v>
      </c>
      <c r="I109" s="6" t="s">
        <v>651</v>
      </c>
      <c r="J109" s="6" t="s">
        <v>90</v>
      </c>
      <c r="K109" s="6" t="s">
        <v>91</v>
      </c>
      <c r="L109" s="6" t="s">
        <v>92</v>
      </c>
      <c r="M109" s="6" t="s">
        <v>90</v>
      </c>
      <c r="N109" s="6" t="s">
        <v>103</v>
      </c>
      <c r="O109" s="6" t="s">
        <v>122</v>
      </c>
      <c r="P109" s="6" t="s">
        <v>117</v>
      </c>
      <c r="Q109" s="6" t="s">
        <v>122</v>
      </c>
      <c r="R109" s="6" t="s">
        <v>1643</v>
      </c>
      <c r="S109" s="6" t="s">
        <v>94</v>
      </c>
      <c r="T109" s="6" t="s">
        <v>94</v>
      </c>
      <c r="U109" s="6" t="s">
        <v>94</v>
      </c>
      <c r="V109" s="6" t="s">
        <v>94</v>
      </c>
      <c r="W109" s="6" t="s">
        <v>418</v>
      </c>
      <c r="X109" s="6" t="s">
        <v>1643</v>
      </c>
      <c r="Y109" s="6" t="s">
        <v>1643</v>
      </c>
      <c r="Z109" s="6" t="s">
        <v>1643</v>
      </c>
      <c r="AA109" s="8">
        <v>1</v>
      </c>
      <c r="AB109" s="8">
        <v>1</v>
      </c>
      <c r="AC109" s="8">
        <v>1</v>
      </c>
      <c r="AD109" s="8">
        <v>1</v>
      </c>
      <c r="AE109" s="8">
        <v>100</v>
      </c>
      <c r="AF109" s="6" t="s">
        <v>652</v>
      </c>
      <c r="AG109" s="6" t="s">
        <v>283</v>
      </c>
      <c r="AH109" s="6" t="s">
        <v>648</v>
      </c>
      <c r="AI109" s="6" t="s">
        <v>286</v>
      </c>
      <c r="AJ109" s="9">
        <v>40</v>
      </c>
      <c r="AK109" s="8">
        <v>40</v>
      </c>
      <c r="AL109" s="8">
        <v>40</v>
      </c>
      <c r="AM109" s="8">
        <v>40</v>
      </c>
      <c r="AN109" s="8">
        <v>40</v>
      </c>
      <c r="AO109" s="13">
        <v>40</v>
      </c>
      <c r="AP109" s="5"/>
    </row>
    <row r="110" spans="1:42">
      <c r="A110" s="12">
        <v>109</v>
      </c>
      <c r="B110" s="6" t="s">
        <v>654</v>
      </c>
      <c r="C110" s="6" t="s">
        <v>1782</v>
      </c>
      <c r="D110" s="6" t="s">
        <v>341</v>
      </c>
      <c r="E110" s="6" t="s">
        <v>86</v>
      </c>
      <c r="F110" s="7">
        <v>45276</v>
      </c>
      <c r="G110" s="6" t="s">
        <v>204</v>
      </c>
      <c r="H110" s="6" t="s">
        <v>151</v>
      </c>
      <c r="I110" s="6" t="s">
        <v>656</v>
      </c>
      <c r="J110" s="6" t="s">
        <v>90</v>
      </c>
      <c r="K110" s="6" t="s">
        <v>91</v>
      </c>
      <c r="L110" s="6" t="s">
        <v>92</v>
      </c>
      <c r="M110" s="6" t="s">
        <v>90</v>
      </c>
      <c r="N110" s="6" t="s">
        <v>94</v>
      </c>
      <c r="O110" s="6" t="s">
        <v>94</v>
      </c>
      <c r="P110" s="6" t="s">
        <v>642</v>
      </c>
      <c r="Q110" s="6" t="s">
        <v>95</v>
      </c>
      <c r="R110" s="6" t="s">
        <v>1643</v>
      </c>
      <c r="S110" s="6" t="s">
        <v>94</v>
      </c>
      <c r="T110" s="6" t="s">
        <v>94</v>
      </c>
      <c r="U110" s="6" t="s">
        <v>94</v>
      </c>
      <c r="V110" s="6" t="s">
        <v>94</v>
      </c>
      <c r="W110" s="6" t="s">
        <v>403</v>
      </c>
      <c r="X110" s="6" t="s">
        <v>1643</v>
      </c>
      <c r="Y110" s="6" t="s">
        <v>1643</v>
      </c>
      <c r="Z110" s="6" t="s">
        <v>1643</v>
      </c>
      <c r="AA110" s="8">
        <v>1</v>
      </c>
      <c r="AB110" s="8">
        <v>1</v>
      </c>
      <c r="AC110" s="8">
        <v>1</v>
      </c>
      <c r="AD110" s="8">
        <v>1</v>
      </c>
      <c r="AE110" s="8">
        <v>100</v>
      </c>
      <c r="AF110" s="6" t="s">
        <v>334</v>
      </c>
      <c r="AG110" s="6" t="s">
        <v>335</v>
      </c>
      <c r="AH110" s="6" t="s">
        <v>653</v>
      </c>
      <c r="AI110" s="6" t="s">
        <v>286</v>
      </c>
      <c r="AJ110" s="9">
        <v>40</v>
      </c>
      <c r="AK110" s="8">
        <v>40</v>
      </c>
      <c r="AL110" s="8">
        <v>40</v>
      </c>
      <c r="AM110" s="8">
        <v>40</v>
      </c>
      <c r="AN110" s="8">
        <v>40</v>
      </c>
      <c r="AO110" s="13">
        <v>40</v>
      </c>
      <c r="AP110" s="5"/>
    </row>
    <row r="111" spans="1:42">
      <c r="A111" s="12">
        <v>110</v>
      </c>
      <c r="B111" s="6" t="s">
        <v>657</v>
      </c>
      <c r="C111" s="6" t="s">
        <v>1783</v>
      </c>
      <c r="D111" s="6" t="s">
        <v>301</v>
      </c>
      <c r="E111" s="6" t="s">
        <v>86</v>
      </c>
      <c r="F111" s="7">
        <v>45215</v>
      </c>
      <c r="G111" s="6" t="s">
        <v>111</v>
      </c>
      <c r="H111" s="6" t="s">
        <v>495</v>
      </c>
      <c r="I111" s="6" t="s">
        <v>659</v>
      </c>
      <c r="J111" s="6" t="s">
        <v>90</v>
      </c>
      <c r="K111" s="6" t="s">
        <v>91</v>
      </c>
      <c r="L111" s="6" t="s">
        <v>92</v>
      </c>
      <c r="M111" s="6" t="s">
        <v>90</v>
      </c>
      <c r="N111" s="6" t="s">
        <v>136</v>
      </c>
      <c r="O111" s="6" t="s">
        <v>95</v>
      </c>
      <c r="P111" s="6" t="s">
        <v>136</v>
      </c>
      <c r="Q111" s="6" t="s">
        <v>122</v>
      </c>
      <c r="R111" s="6" t="s">
        <v>1643</v>
      </c>
      <c r="S111" s="6" t="s">
        <v>94</v>
      </c>
      <c r="T111" s="6" t="s">
        <v>94</v>
      </c>
      <c r="U111" s="6" t="s">
        <v>94</v>
      </c>
      <c r="V111" s="6" t="s">
        <v>94</v>
      </c>
      <c r="W111" s="6" t="s">
        <v>418</v>
      </c>
      <c r="X111" s="6" t="s">
        <v>1643</v>
      </c>
      <c r="Y111" s="6" t="s">
        <v>1643</v>
      </c>
      <c r="Z111" s="6" t="s">
        <v>1652</v>
      </c>
      <c r="AA111" s="8">
        <v>1</v>
      </c>
      <c r="AB111" s="8">
        <v>1</v>
      </c>
      <c r="AC111" s="8">
        <v>1</v>
      </c>
      <c r="AD111" s="8">
        <v>0</v>
      </c>
      <c r="AE111" s="8">
        <v>100</v>
      </c>
      <c r="AF111" s="6" t="s">
        <v>282</v>
      </c>
      <c r="AG111" s="6" t="s">
        <v>283</v>
      </c>
      <c r="AH111" s="6" t="s">
        <v>341</v>
      </c>
      <c r="AI111" s="6" t="s">
        <v>286</v>
      </c>
      <c r="AJ111" s="9">
        <v>40</v>
      </c>
      <c r="AK111" s="8">
        <v>40</v>
      </c>
      <c r="AL111" s="8">
        <v>40</v>
      </c>
      <c r="AM111" s="8">
        <v>40</v>
      </c>
      <c r="AN111" s="8">
        <v>40</v>
      </c>
      <c r="AO111" s="13">
        <v>40</v>
      </c>
      <c r="AP111" s="5"/>
    </row>
    <row r="112" spans="1:42">
      <c r="A112" s="12">
        <v>111</v>
      </c>
      <c r="B112" s="6" t="s">
        <v>660</v>
      </c>
      <c r="C112" s="6" t="s">
        <v>1784</v>
      </c>
      <c r="D112" s="6" t="s">
        <v>301</v>
      </c>
      <c r="E112" s="6" t="s">
        <v>86</v>
      </c>
      <c r="F112" s="7">
        <v>45824</v>
      </c>
      <c r="G112" s="6" t="s">
        <v>337</v>
      </c>
      <c r="H112" s="6" t="s">
        <v>94</v>
      </c>
      <c r="I112" s="6" t="s">
        <v>94</v>
      </c>
      <c r="J112" s="6" t="s">
        <v>90</v>
      </c>
      <c r="K112" s="6" t="s">
        <v>91</v>
      </c>
      <c r="L112" s="6" t="s">
        <v>92</v>
      </c>
      <c r="M112" s="6" t="s">
        <v>90</v>
      </c>
      <c r="N112" s="6" t="s">
        <v>94</v>
      </c>
      <c r="O112" s="6" t="s">
        <v>94</v>
      </c>
      <c r="P112" s="6" t="s">
        <v>136</v>
      </c>
      <c r="Q112" s="6" t="s">
        <v>104</v>
      </c>
      <c r="R112" s="6" t="s">
        <v>1643</v>
      </c>
      <c r="S112" s="6" t="s">
        <v>94</v>
      </c>
      <c r="T112" s="6" t="s">
        <v>94</v>
      </c>
      <c r="U112" s="6" t="s">
        <v>94</v>
      </c>
      <c r="V112" s="6" t="s">
        <v>94</v>
      </c>
      <c r="W112" s="6" t="s">
        <v>338</v>
      </c>
      <c r="X112" s="6" t="s">
        <v>1643</v>
      </c>
      <c r="Y112" s="6" t="s">
        <v>1643</v>
      </c>
      <c r="Z112" s="6" t="s">
        <v>1643</v>
      </c>
      <c r="AA112" s="8">
        <v>1</v>
      </c>
      <c r="AB112" s="8">
        <v>1</v>
      </c>
      <c r="AC112" s="8">
        <v>1</v>
      </c>
      <c r="AD112" s="8">
        <v>1</v>
      </c>
      <c r="AE112" s="8">
        <v>100</v>
      </c>
      <c r="AF112" s="6" t="s">
        <v>282</v>
      </c>
      <c r="AG112" s="6" t="s">
        <v>283</v>
      </c>
      <c r="AH112" s="6" t="s">
        <v>301</v>
      </c>
      <c r="AI112" s="6" t="s">
        <v>286</v>
      </c>
      <c r="AJ112" s="9">
        <v>40</v>
      </c>
      <c r="AK112" s="8">
        <v>40</v>
      </c>
      <c r="AL112" s="8">
        <v>40</v>
      </c>
      <c r="AM112" s="8">
        <v>40</v>
      </c>
      <c r="AN112" s="8">
        <v>40</v>
      </c>
      <c r="AO112" s="13">
        <v>40</v>
      </c>
      <c r="AP112" s="5"/>
    </row>
    <row r="113" spans="1:42">
      <c r="A113" s="12">
        <v>112</v>
      </c>
      <c r="B113" s="6" t="s">
        <v>662</v>
      </c>
      <c r="C113" s="6" t="s">
        <v>1785</v>
      </c>
      <c r="D113" s="6" t="s">
        <v>348</v>
      </c>
      <c r="E113" s="6" t="s">
        <v>86</v>
      </c>
      <c r="F113" s="7">
        <v>44485</v>
      </c>
      <c r="G113" s="6" t="s">
        <v>288</v>
      </c>
      <c r="H113" s="6" t="s">
        <v>175</v>
      </c>
      <c r="I113" s="6" t="s">
        <v>664</v>
      </c>
      <c r="J113" s="6" t="s">
        <v>90</v>
      </c>
      <c r="K113" s="6" t="s">
        <v>91</v>
      </c>
      <c r="L113" s="6" t="s">
        <v>92</v>
      </c>
      <c r="M113" s="6" t="s">
        <v>90</v>
      </c>
      <c r="N113" s="6" t="s">
        <v>136</v>
      </c>
      <c r="O113" s="6" t="s">
        <v>94</v>
      </c>
      <c r="P113" s="6" t="s">
        <v>131</v>
      </c>
      <c r="Q113" s="6" t="s">
        <v>95</v>
      </c>
      <c r="R113" s="6" t="s">
        <v>1643</v>
      </c>
      <c r="S113" s="6" t="s">
        <v>1786</v>
      </c>
      <c r="T113" s="6" t="s">
        <v>94</v>
      </c>
      <c r="U113" s="6" t="s">
        <v>94</v>
      </c>
      <c r="V113" s="6" t="s">
        <v>94</v>
      </c>
      <c r="W113" s="6" t="s">
        <v>291</v>
      </c>
      <c r="X113" s="6" t="s">
        <v>1643</v>
      </c>
      <c r="Y113" s="6" t="s">
        <v>1643</v>
      </c>
      <c r="Z113" s="6" t="s">
        <v>1643</v>
      </c>
      <c r="AA113" s="8">
        <v>1</v>
      </c>
      <c r="AB113" s="8">
        <v>1</v>
      </c>
      <c r="AC113" s="8">
        <v>1</v>
      </c>
      <c r="AD113" s="8">
        <v>1</v>
      </c>
      <c r="AE113" s="8">
        <v>100</v>
      </c>
      <c r="AF113" s="6" t="s">
        <v>282</v>
      </c>
      <c r="AG113" s="6" t="s">
        <v>283</v>
      </c>
      <c r="AH113" s="6" t="s">
        <v>301</v>
      </c>
      <c r="AI113" s="6" t="s">
        <v>286</v>
      </c>
      <c r="AJ113" s="9">
        <v>40</v>
      </c>
      <c r="AK113" s="8">
        <v>40</v>
      </c>
      <c r="AL113" s="8">
        <v>40</v>
      </c>
      <c r="AM113" s="8">
        <v>40</v>
      </c>
      <c r="AN113" s="8">
        <v>40</v>
      </c>
      <c r="AO113" s="13">
        <v>40</v>
      </c>
      <c r="AP113" s="5"/>
    </row>
    <row r="114" spans="1:42">
      <c r="A114" s="12">
        <v>113</v>
      </c>
      <c r="B114" s="6" t="s">
        <v>665</v>
      </c>
      <c r="C114" s="6" t="s">
        <v>1787</v>
      </c>
      <c r="D114" s="6" t="s">
        <v>668</v>
      </c>
      <c r="E114" s="6" t="s">
        <v>86</v>
      </c>
      <c r="F114" s="7">
        <v>45123</v>
      </c>
      <c r="G114" s="6" t="s">
        <v>430</v>
      </c>
      <c r="H114" s="6" t="s">
        <v>526</v>
      </c>
      <c r="I114" s="6" t="s">
        <v>667</v>
      </c>
      <c r="J114" s="6" t="s">
        <v>90</v>
      </c>
      <c r="K114" s="6" t="s">
        <v>91</v>
      </c>
      <c r="L114" s="6" t="s">
        <v>92</v>
      </c>
      <c r="M114" s="6" t="s">
        <v>90</v>
      </c>
      <c r="N114" s="6" t="s">
        <v>103</v>
      </c>
      <c r="O114" s="6" t="s">
        <v>122</v>
      </c>
      <c r="P114" s="6" t="s">
        <v>103</v>
      </c>
      <c r="Q114" s="6" t="s">
        <v>122</v>
      </c>
      <c r="R114" s="6" t="s">
        <v>1643</v>
      </c>
      <c r="S114" s="6" t="s">
        <v>94</v>
      </c>
      <c r="T114" s="6" t="s">
        <v>94</v>
      </c>
      <c r="U114" s="6" t="s">
        <v>94</v>
      </c>
      <c r="V114" s="6" t="s">
        <v>94</v>
      </c>
      <c r="W114" s="6" t="s">
        <v>433</v>
      </c>
      <c r="X114" s="6" t="s">
        <v>1643</v>
      </c>
      <c r="Y114" s="6" t="s">
        <v>1643</v>
      </c>
      <c r="Z114" s="6" t="s">
        <v>1643</v>
      </c>
      <c r="AA114" s="8">
        <v>1</v>
      </c>
      <c r="AB114" s="8">
        <v>1</v>
      </c>
      <c r="AC114" s="8">
        <v>1</v>
      </c>
      <c r="AD114" s="8">
        <v>1</v>
      </c>
      <c r="AE114" s="8">
        <v>100</v>
      </c>
      <c r="AF114" s="6" t="s">
        <v>351</v>
      </c>
      <c r="AG114" s="6" t="s">
        <v>283</v>
      </c>
      <c r="AH114" s="6" t="s">
        <v>348</v>
      </c>
      <c r="AI114" s="6" t="s">
        <v>286</v>
      </c>
      <c r="AJ114" s="9">
        <v>40</v>
      </c>
      <c r="AK114" s="8">
        <v>40</v>
      </c>
      <c r="AL114" s="8">
        <v>40</v>
      </c>
      <c r="AM114" s="8">
        <v>40</v>
      </c>
      <c r="AN114" s="8">
        <v>40</v>
      </c>
      <c r="AO114" s="13">
        <v>40</v>
      </c>
      <c r="AP114" s="5"/>
    </row>
    <row r="115" spans="1:42">
      <c r="A115" s="12">
        <v>114</v>
      </c>
      <c r="B115" s="6" t="s">
        <v>669</v>
      </c>
      <c r="C115" s="6" t="s">
        <v>1788</v>
      </c>
      <c r="D115" s="6" t="s">
        <v>387</v>
      </c>
      <c r="E115" s="6" t="s">
        <v>86</v>
      </c>
      <c r="F115" s="7">
        <v>45984</v>
      </c>
      <c r="G115" s="6" t="s">
        <v>100</v>
      </c>
      <c r="H115" s="6" t="s">
        <v>94</v>
      </c>
      <c r="I115" s="6" t="s">
        <v>94</v>
      </c>
      <c r="J115" s="6" t="s">
        <v>213</v>
      </c>
      <c r="K115" s="6" t="s">
        <v>91</v>
      </c>
      <c r="L115" s="6" t="s">
        <v>92</v>
      </c>
      <c r="M115" s="6" t="s">
        <v>213</v>
      </c>
      <c r="N115" s="6" t="s">
        <v>94</v>
      </c>
      <c r="O115" s="6" t="s">
        <v>94</v>
      </c>
      <c r="P115" s="6" t="s">
        <v>27</v>
      </c>
      <c r="Q115" s="6" t="s">
        <v>95</v>
      </c>
      <c r="R115" s="6" t="s">
        <v>1643</v>
      </c>
      <c r="S115" s="6" t="s">
        <v>1789</v>
      </c>
      <c r="T115" s="6" t="s">
        <v>94</v>
      </c>
      <c r="U115" s="6" t="s">
        <v>94</v>
      </c>
      <c r="V115" s="6" t="s">
        <v>94</v>
      </c>
      <c r="W115" s="6" t="s">
        <v>304</v>
      </c>
      <c r="X115" s="6" t="s">
        <v>1643</v>
      </c>
      <c r="Y115" s="6" t="s">
        <v>1643</v>
      </c>
      <c r="Z115" s="6" t="s">
        <v>1643</v>
      </c>
      <c r="AA115" s="8">
        <v>1</v>
      </c>
      <c r="AB115" s="8">
        <v>0.5</v>
      </c>
      <c r="AC115" s="8">
        <v>0.5</v>
      </c>
      <c r="AD115" s="8">
        <v>0.5</v>
      </c>
      <c r="AE115" s="8">
        <v>100</v>
      </c>
      <c r="AF115" s="6" t="s">
        <v>671</v>
      </c>
      <c r="AG115" s="6" t="s">
        <v>283</v>
      </c>
      <c r="AH115" s="6" t="s">
        <v>668</v>
      </c>
      <c r="AI115" s="6" t="s">
        <v>286</v>
      </c>
      <c r="AJ115" s="9">
        <v>40</v>
      </c>
      <c r="AK115" s="8">
        <v>40</v>
      </c>
      <c r="AL115" s="8">
        <v>24</v>
      </c>
      <c r="AM115" s="8">
        <v>20</v>
      </c>
      <c r="AN115" s="8">
        <v>20</v>
      </c>
      <c r="AO115" s="13">
        <v>20</v>
      </c>
      <c r="AP115" s="5"/>
    </row>
    <row r="116" spans="1:42">
      <c r="A116" s="12">
        <v>115</v>
      </c>
      <c r="B116" s="6" t="s">
        <v>672</v>
      </c>
      <c r="C116" s="6" t="s">
        <v>1790</v>
      </c>
      <c r="D116" s="6" t="s">
        <v>348</v>
      </c>
      <c r="E116" s="6" t="s">
        <v>86</v>
      </c>
      <c r="F116" s="7">
        <v>44553</v>
      </c>
      <c r="G116" s="6" t="s">
        <v>4</v>
      </c>
      <c r="H116" s="6" t="s">
        <v>389</v>
      </c>
      <c r="I116" s="6" t="s">
        <v>674</v>
      </c>
      <c r="J116" s="6" t="s">
        <v>90</v>
      </c>
      <c r="K116" s="6" t="s">
        <v>91</v>
      </c>
      <c r="L116" s="6" t="s">
        <v>92</v>
      </c>
      <c r="M116" s="6" t="s">
        <v>90</v>
      </c>
      <c r="N116" s="6" t="s">
        <v>675</v>
      </c>
      <c r="O116" s="6" t="s">
        <v>122</v>
      </c>
      <c r="P116" s="6" t="s">
        <v>93</v>
      </c>
      <c r="Q116" s="6" t="s">
        <v>122</v>
      </c>
      <c r="R116" s="6" t="s">
        <v>1643</v>
      </c>
      <c r="S116" s="6" t="s">
        <v>1791</v>
      </c>
      <c r="T116" s="6" t="s">
        <v>94</v>
      </c>
      <c r="U116" s="6" t="s">
        <v>94</v>
      </c>
      <c r="V116" s="6" t="s">
        <v>94</v>
      </c>
      <c r="W116" s="6" t="s">
        <v>399</v>
      </c>
      <c r="X116" s="6" t="s">
        <v>1643</v>
      </c>
      <c r="Y116" s="6" t="s">
        <v>1643</v>
      </c>
      <c r="Z116" s="6" t="s">
        <v>1643</v>
      </c>
      <c r="AA116" s="8">
        <v>1</v>
      </c>
      <c r="AB116" s="8">
        <v>1</v>
      </c>
      <c r="AC116" s="8">
        <v>1</v>
      </c>
      <c r="AD116" s="8">
        <v>1</v>
      </c>
      <c r="AE116" s="8">
        <v>100</v>
      </c>
      <c r="AF116" s="6" t="s">
        <v>391</v>
      </c>
      <c r="AG116" s="6" t="s">
        <v>386</v>
      </c>
      <c r="AH116" s="6" t="s">
        <v>387</v>
      </c>
      <c r="AI116" s="6" t="s">
        <v>286</v>
      </c>
      <c r="AJ116" s="9">
        <v>40</v>
      </c>
      <c r="AK116" s="8">
        <v>40</v>
      </c>
      <c r="AL116" s="8">
        <v>40</v>
      </c>
      <c r="AM116" s="8">
        <v>40</v>
      </c>
      <c r="AN116" s="8">
        <v>40</v>
      </c>
      <c r="AO116" s="13">
        <v>40</v>
      </c>
      <c r="AP116" s="5"/>
    </row>
    <row r="117" spans="1:42">
      <c r="A117" s="12">
        <v>116</v>
      </c>
      <c r="B117" s="6" t="s">
        <v>676</v>
      </c>
      <c r="C117" s="6" t="s">
        <v>1792</v>
      </c>
      <c r="D117" s="6" t="s">
        <v>679</v>
      </c>
      <c r="E117" s="6" t="s">
        <v>86</v>
      </c>
      <c r="F117" s="7">
        <v>44455</v>
      </c>
      <c r="G117" s="6" t="s">
        <v>111</v>
      </c>
      <c r="H117" s="6" t="s">
        <v>146</v>
      </c>
      <c r="I117" s="6" t="s">
        <v>678</v>
      </c>
      <c r="J117" s="6" t="s">
        <v>90</v>
      </c>
      <c r="K117" s="6" t="s">
        <v>91</v>
      </c>
      <c r="L117" s="6" t="s">
        <v>92</v>
      </c>
      <c r="M117" s="6" t="s">
        <v>90</v>
      </c>
      <c r="N117" s="6" t="s">
        <v>131</v>
      </c>
      <c r="O117" s="6" t="s">
        <v>95</v>
      </c>
      <c r="P117" s="6" t="s">
        <v>184</v>
      </c>
      <c r="Q117" s="6" t="s">
        <v>104</v>
      </c>
      <c r="R117" s="6" t="s">
        <v>1643</v>
      </c>
      <c r="S117" s="6" t="s">
        <v>1793</v>
      </c>
      <c r="T117" s="6" t="s">
        <v>94</v>
      </c>
      <c r="U117" s="6" t="s">
        <v>94</v>
      </c>
      <c r="V117" s="6" t="s">
        <v>94</v>
      </c>
      <c r="W117" s="6" t="s">
        <v>418</v>
      </c>
      <c r="X117" s="6" t="s">
        <v>1643</v>
      </c>
      <c r="Y117" s="6" t="s">
        <v>1643</v>
      </c>
      <c r="Z117" s="6" t="s">
        <v>1643</v>
      </c>
      <c r="AA117" s="8">
        <v>1</v>
      </c>
      <c r="AB117" s="8">
        <v>1</v>
      </c>
      <c r="AC117" s="8">
        <v>1</v>
      </c>
      <c r="AD117" s="8">
        <v>1</v>
      </c>
      <c r="AE117" s="8">
        <v>100</v>
      </c>
      <c r="AF117" s="6" t="s">
        <v>351</v>
      </c>
      <c r="AG117" s="6" t="s">
        <v>283</v>
      </c>
      <c r="AH117" s="6" t="s">
        <v>348</v>
      </c>
      <c r="AI117" s="6" t="s">
        <v>286</v>
      </c>
      <c r="AJ117" s="9">
        <v>40</v>
      </c>
      <c r="AK117" s="8">
        <v>40</v>
      </c>
      <c r="AL117" s="8">
        <v>40</v>
      </c>
      <c r="AM117" s="8">
        <v>40</v>
      </c>
      <c r="AN117" s="8">
        <v>40</v>
      </c>
      <c r="AO117" s="13">
        <v>40</v>
      </c>
      <c r="AP117" s="5"/>
    </row>
    <row r="118" spans="1:42">
      <c r="A118" s="12">
        <v>117</v>
      </c>
      <c r="B118" s="6" t="s">
        <v>680</v>
      </c>
      <c r="C118" s="6" t="s">
        <v>1794</v>
      </c>
      <c r="D118" s="6" t="s">
        <v>301</v>
      </c>
      <c r="E118" s="6" t="s">
        <v>86</v>
      </c>
      <c r="F118" s="7">
        <v>44485</v>
      </c>
      <c r="G118" s="6" t="s">
        <v>87</v>
      </c>
      <c r="H118" s="6" t="s">
        <v>120</v>
      </c>
      <c r="I118" s="6" t="s">
        <v>682</v>
      </c>
      <c r="J118" s="6" t="s">
        <v>90</v>
      </c>
      <c r="K118" s="6" t="s">
        <v>91</v>
      </c>
      <c r="L118" s="6" t="s">
        <v>92</v>
      </c>
      <c r="M118" s="6" t="s">
        <v>90</v>
      </c>
      <c r="N118" s="6" t="s">
        <v>93</v>
      </c>
      <c r="O118" s="6" t="s">
        <v>122</v>
      </c>
      <c r="P118" s="6" t="s">
        <v>93</v>
      </c>
      <c r="Q118" s="6" t="s">
        <v>95</v>
      </c>
      <c r="R118" s="6" t="s">
        <v>1643</v>
      </c>
      <c r="S118" s="6" t="s">
        <v>94</v>
      </c>
      <c r="T118" s="6" t="s">
        <v>94</v>
      </c>
      <c r="U118" s="6" t="s">
        <v>94</v>
      </c>
      <c r="V118" s="6" t="s">
        <v>94</v>
      </c>
      <c r="W118" s="6" t="s">
        <v>490</v>
      </c>
      <c r="X118" s="6" t="s">
        <v>1643</v>
      </c>
      <c r="Y118" s="6" t="s">
        <v>1643</v>
      </c>
      <c r="Z118" s="6" t="s">
        <v>1643</v>
      </c>
      <c r="AA118" s="8">
        <v>1</v>
      </c>
      <c r="AB118" s="8">
        <v>1</v>
      </c>
      <c r="AC118" s="8">
        <v>1</v>
      </c>
      <c r="AD118" s="8">
        <v>1</v>
      </c>
      <c r="AE118" s="8">
        <v>100</v>
      </c>
      <c r="AF118" s="6" t="s">
        <v>282</v>
      </c>
      <c r="AG118" s="6" t="s">
        <v>283</v>
      </c>
      <c r="AH118" s="6" t="s">
        <v>679</v>
      </c>
      <c r="AI118" s="6" t="s">
        <v>286</v>
      </c>
      <c r="AJ118" s="9">
        <v>40</v>
      </c>
      <c r="AK118" s="8">
        <v>40</v>
      </c>
      <c r="AL118" s="8">
        <v>40</v>
      </c>
      <c r="AM118" s="8">
        <v>40</v>
      </c>
      <c r="AN118" s="8">
        <v>40</v>
      </c>
      <c r="AO118" s="13">
        <v>40</v>
      </c>
      <c r="AP118" s="5"/>
    </row>
    <row r="119" spans="1:42">
      <c r="A119" s="12">
        <v>118</v>
      </c>
      <c r="B119" s="6" t="s">
        <v>683</v>
      </c>
      <c r="C119" s="6" t="s">
        <v>1795</v>
      </c>
      <c r="D119" s="6" t="s">
        <v>348</v>
      </c>
      <c r="E119" s="6" t="s">
        <v>86</v>
      </c>
      <c r="F119" s="7">
        <v>45748</v>
      </c>
      <c r="G119" s="6" t="s">
        <v>204</v>
      </c>
      <c r="H119" s="6" t="s">
        <v>94</v>
      </c>
      <c r="I119" s="6" t="s">
        <v>162</v>
      </c>
      <c r="J119" s="6" t="s">
        <v>90</v>
      </c>
      <c r="K119" s="6" t="s">
        <v>91</v>
      </c>
      <c r="L119" s="6" t="s">
        <v>92</v>
      </c>
      <c r="M119" s="6" t="s">
        <v>90</v>
      </c>
      <c r="N119" s="6" t="s">
        <v>94</v>
      </c>
      <c r="O119" s="6" t="s">
        <v>94</v>
      </c>
      <c r="P119" s="6" t="s">
        <v>43</v>
      </c>
      <c r="Q119" s="6" t="s">
        <v>104</v>
      </c>
      <c r="R119" s="6" t="s">
        <v>1643</v>
      </c>
      <c r="S119" s="6" t="s">
        <v>94</v>
      </c>
      <c r="T119" s="6" t="s">
        <v>94</v>
      </c>
      <c r="U119" s="6" t="s">
        <v>94</v>
      </c>
      <c r="V119" s="6" t="s">
        <v>94</v>
      </c>
      <c r="W119" s="6" t="s">
        <v>403</v>
      </c>
      <c r="X119" s="6" t="s">
        <v>1643</v>
      </c>
      <c r="Y119" s="6" t="s">
        <v>1643</v>
      </c>
      <c r="Z119" s="6" t="s">
        <v>1643</v>
      </c>
      <c r="AA119" s="8">
        <v>1</v>
      </c>
      <c r="AB119" s="8">
        <v>1</v>
      </c>
      <c r="AC119" s="8">
        <v>1</v>
      </c>
      <c r="AD119" s="8">
        <v>1</v>
      </c>
      <c r="AE119" s="8">
        <v>100</v>
      </c>
      <c r="AF119" s="6" t="s">
        <v>282</v>
      </c>
      <c r="AG119" s="6" t="s">
        <v>283</v>
      </c>
      <c r="AH119" s="6" t="s">
        <v>301</v>
      </c>
      <c r="AI119" s="6" t="s">
        <v>286</v>
      </c>
      <c r="AJ119" s="9">
        <v>40</v>
      </c>
      <c r="AK119" s="8">
        <v>40</v>
      </c>
      <c r="AL119" s="8">
        <v>40</v>
      </c>
      <c r="AM119" s="8">
        <v>40</v>
      </c>
      <c r="AN119" s="8">
        <v>40</v>
      </c>
      <c r="AO119" s="13">
        <v>40</v>
      </c>
      <c r="AP119" s="5"/>
    </row>
    <row r="120" spans="1:42">
      <c r="A120" s="12">
        <v>119</v>
      </c>
      <c r="B120" s="6" t="s">
        <v>685</v>
      </c>
      <c r="C120" s="6" t="s">
        <v>1796</v>
      </c>
      <c r="D120" s="6" t="s">
        <v>284</v>
      </c>
      <c r="E120" s="6" t="s">
        <v>86</v>
      </c>
      <c r="F120" s="7">
        <v>44933</v>
      </c>
      <c r="G120" s="6" t="s">
        <v>111</v>
      </c>
      <c r="H120" s="6" t="s">
        <v>311</v>
      </c>
      <c r="I120" s="6" t="s">
        <v>687</v>
      </c>
      <c r="J120" s="6" t="s">
        <v>90</v>
      </c>
      <c r="K120" s="6" t="s">
        <v>91</v>
      </c>
      <c r="L120" s="6" t="s">
        <v>92</v>
      </c>
      <c r="M120" s="6" t="s">
        <v>90</v>
      </c>
      <c r="N120" s="6" t="s">
        <v>675</v>
      </c>
      <c r="O120" s="6" t="s">
        <v>95</v>
      </c>
      <c r="P120" s="6" t="s">
        <v>550</v>
      </c>
      <c r="Q120" s="6" t="s">
        <v>122</v>
      </c>
      <c r="R120" s="6" t="s">
        <v>1643</v>
      </c>
      <c r="S120" s="6" t="s">
        <v>94</v>
      </c>
      <c r="T120" s="6" t="s">
        <v>94</v>
      </c>
      <c r="U120" s="6" t="s">
        <v>94</v>
      </c>
      <c r="V120" s="6" t="s">
        <v>94</v>
      </c>
      <c r="W120" s="6" t="s">
        <v>281</v>
      </c>
      <c r="X120" s="6" t="s">
        <v>1643</v>
      </c>
      <c r="Y120" s="6" t="s">
        <v>1643</v>
      </c>
      <c r="Z120" s="6" t="s">
        <v>1643</v>
      </c>
      <c r="AA120" s="8">
        <v>1</v>
      </c>
      <c r="AB120" s="8">
        <v>1</v>
      </c>
      <c r="AC120" s="8">
        <v>1</v>
      </c>
      <c r="AD120" s="8">
        <v>1</v>
      </c>
      <c r="AE120" s="8">
        <v>100</v>
      </c>
      <c r="AF120" s="6" t="s">
        <v>351</v>
      </c>
      <c r="AG120" s="6" t="s">
        <v>283</v>
      </c>
      <c r="AH120" s="6" t="s">
        <v>348</v>
      </c>
      <c r="AI120" s="6" t="s">
        <v>286</v>
      </c>
      <c r="AJ120" s="9">
        <v>40</v>
      </c>
      <c r="AK120" s="8">
        <v>40</v>
      </c>
      <c r="AL120" s="8">
        <v>40</v>
      </c>
      <c r="AM120" s="8">
        <v>40</v>
      </c>
      <c r="AN120" s="8">
        <v>40</v>
      </c>
      <c r="AO120" s="13">
        <v>40</v>
      </c>
      <c r="AP120" s="5"/>
    </row>
    <row r="121" spans="1:42">
      <c r="A121" s="12">
        <v>120</v>
      </c>
      <c r="B121" s="6" t="s">
        <v>688</v>
      </c>
      <c r="C121" s="6" t="s">
        <v>1797</v>
      </c>
      <c r="D121" s="6" t="s">
        <v>387</v>
      </c>
      <c r="E121" s="6" t="s">
        <v>86</v>
      </c>
      <c r="F121" s="7">
        <v>44827</v>
      </c>
      <c r="G121" s="6" t="s">
        <v>111</v>
      </c>
      <c r="H121" s="6" t="s">
        <v>294</v>
      </c>
      <c r="I121" s="6" t="s">
        <v>690</v>
      </c>
      <c r="J121" s="6" t="s">
        <v>90</v>
      </c>
      <c r="K121" s="6" t="s">
        <v>91</v>
      </c>
      <c r="L121" s="6" t="s">
        <v>92</v>
      </c>
      <c r="M121" s="6" t="s">
        <v>90</v>
      </c>
      <c r="N121" s="6" t="s">
        <v>131</v>
      </c>
      <c r="O121" s="6" t="s">
        <v>122</v>
      </c>
      <c r="P121" s="6" t="s">
        <v>131</v>
      </c>
      <c r="Q121" s="6" t="s">
        <v>122</v>
      </c>
      <c r="R121" s="6" t="s">
        <v>1643</v>
      </c>
      <c r="S121" s="6" t="s">
        <v>1798</v>
      </c>
      <c r="T121" s="6" t="s">
        <v>94</v>
      </c>
      <c r="U121" s="6" t="s">
        <v>94</v>
      </c>
      <c r="V121" s="6" t="s">
        <v>94</v>
      </c>
      <c r="W121" s="6" t="s">
        <v>418</v>
      </c>
      <c r="X121" s="6" t="s">
        <v>1643</v>
      </c>
      <c r="Y121" s="6" t="s">
        <v>1643</v>
      </c>
      <c r="Z121" s="6" t="s">
        <v>1643</v>
      </c>
      <c r="AA121" s="8">
        <v>1</v>
      </c>
      <c r="AB121" s="8">
        <v>1</v>
      </c>
      <c r="AC121" s="8">
        <v>1</v>
      </c>
      <c r="AD121" s="8">
        <v>1</v>
      </c>
      <c r="AE121" s="8">
        <v>100</v>
      </c>
      <c r="AF121" s="6" t="s">
        <v>282</v>
      </c>
      <c r="AG121" s="6" t="s">
        <v>283</v>
      </c>
      <c r="AH121" s="6" t="s">
        <v>284</v>
      </c>
      <c r="AI121" s="6" t="s">
        <v>286</v>
      </c>
      <c r="AJ121" s="9">
        <v>40</v>
      </c>
      <c r="AK121" s="8">
        <v>40</v>
      </c>
      <c r="AL121" s="8">
        <v>40</v>
      </c>
      <c r="AM121" s="8">
        <v>40</v>
      </c>
      <c r="AN121" s="8">
        <v>40</v>
      </c>
      <c r="AO121" s="13">
        <v>40</v>
      </c>
      <c r="AP121" s="5"/>
    </row>
    <row r="122" spans="1:42">
      <c r="A122" s="12">
        <v>121</v>
      </c>
      <c r="B122" s="6" t="s">
        <v>691</v>
      </c>
      <c r="C122" s="6" t="s">
        <v>1799</v>
      </c>
      <c r="D122" s="6" t="s">
        <v>387</v>
      </c>
      <c r="E122" s="6" t="s">
        <v>86</v>
      </c>
      <c r="F122" s="7">
        <v>46158</v>
      </c>
      <c r="G122" s="6" t="s">
        <v>288</v>
      </c>
      <c r="H122" s="6" t="s">
        <v>94</v>
      </c>
      <c r="I122" s="6" t="s">
        <v>94</v>
      </c>
      <c r="J122" s="6" t="s">
        <v>90</v>
      </c>
      <c r="K122" s="6" t="s">
        <v>91</v>
      </c>
      <c r="L122" s="6" t="s">
        <v>92</v>
      </c>
      <c r="M122" s="6" t="s">
        <v>90</v>
      </c>
      <c r="N122" s="6" t="s">
        <v>94</v>
      </c>
      <c r="O122" s="6" t="s">
        <v>94</v>
      </c>
      <c r="P122" s="6" t="s">
        <v>94</v>
      </c>
      <c r="Q122" s="6" t="s">
        <v>94</v>
      </c>
      <c r="R122" s="6" t="s">
        <v>1643</v>
      </c>
      <c r="S122" s="6" t="s">
        <v>1646</v>
      </c>
      <c r="T122" s="6" t="s">
        <v>94</v>
      </c>
      <c r="U122" s="6" t="s">
        <v>94</v>
      </c>
      <c r="V122" s="6" t="s">
        <v>94</v>
      </c>
      <c r="W122" s="6" t="s">
        <v>291</v>
      </c>
      <c r="X122" s="6" t="s">
        <v>1652</v>
      </c>
      <c r="Y122" s="6" t="s">
        <v>1652</v>
      </c>
      <c r="Z122" s="6" t="s">
        <v>1652</v>
      </c>
      <c r="AA122" s="8">
        <v>0.81</v>
      </c>
      <c r="AB122" s="8">
        <v>0</v>
      </c>
      <c r="AC122" s="8">
        <v>0</v>
      </c>
      <c r="AD122" s="8">
        <v>0</v>
      </c>
      <c r="AE122" s="8">
        <v>85.714285709999999</v>
      </c>
      <c r="AF122" s="6" t="s">
        <v>391</v>
      </c>
      <c r="AG122" s="6" t="s">
        <v>386</v>
      </c>
      <c r="AH122" s="6" t="s">
        <v>387</v>
      </c>
      <c r="AI122" s="6" t="s">
        <v>286</v>
      </c>
      <c r="AJ122" s="9">
        <v>40</v>
      </c>
      <c r="AK122" s="8">
        <v>16</v>
      </c>
      <c r="AL122" s="8">
        <v>0</v>
      </c>
      <c r="AM122" s="8">
        <v>0</v>
      </c>
      <c r="AN122" s="8">
        <v>0</v>
      </c>
      <c r="AO122" s="13">
        <v>0</v>
      </c>
      <c r="AP122" s="5"/>
    </row>
    <row r="123" spans="1:42">
      <c r="A123" s="12">
        <v>122</v>
      </c>
      <c r="B123" s="6" t="s">
        <v>693</v>
      </c>
      <c r="C123" s="6" t="s">
        <v>1800</v>
      </c>
      <c r="D123" s="6" t="s">
        <v>501</v>
      </c>
      <c r="E123" s="6" t="s">
        <v>86</v>
      </c>
      <c r="F123" s="7">
        <v>40072</v>
      </c>
      <c r="G123" s="6" t="s">
        <v>87</v>
      </c>
      <c r="H123" s="6" t="s">
        <v>94</v>
      </c>
      <c r="I123" s="6" t="s">
        <v>695</v>
      </c>
      <c r="J123" s="6" t="s">
        <v>213</v>
      </c>
      <c r="K123" s="6" t="s">
        <v>91</v>
      </c>
      <c r="L123" s="6" t="s">
        <v>92</v>
      </c>
      <c r="M123" s="6" t="s">
        <v>213</v>
      </c>
      <c r="N123" s="6" t="s">
        <v>696</v>
      </c>
      <c r="O123" s="6" t="s">
        <v>94</v>
      </c>
      <c r="P123" s="6" t="s">
        <v>117</v>
      </c>
      <c r="Q123" s="6" t="s">
        <v>104</v>
      </c>
      <c r="R123" s="6" t="s">
        <v>1643</v>
      </c>
      <c r="S123" s="6" t="s">
        <v>1693</v>
      </c>
      <c r="T123" s="6" t="s">
        <v>94</v>
      </c>
      <c r="U123" s="6" t="s">
        <v>94</v>
      </c>
      <c r="V123" s="6" t="s">
        <v>94</v>
      </c>
      <c r="W123" s="6" t="s">
        <v>697</v>
      </c>
      <c r="X123" s="6" t="s">
        <v>1643</v>
      </c>
      <c r="Y123" s="6" t="s">
        <v>1643</v>
      </c>
      <c r="Z123" s="6" t="s">
        <v>1643</v>
      </c>
      <c r="AA123" s="8">
        <v>1</v>
      </c>
      <c r="AB123" s="8">
        <v>1</v>
      </c>
      <c r="AC123" s="8">
        <v>1</v>
      </c>
      <c r="AD123" s="8">
        <v>1</v>
      </c>
      <c r="AE123" s="8">
        <v>100</v>
      </c>
      <c r="AF123" s="6" t="s">
        <v>391</v>
      </c>
      <c r="AG123" s="6" t="s">
        <v>386</v>
      </c>
      <c r="AH123" s="6" t="s">
        <v>387</v>
      </c>
      <c r="AI123" s="6" t="s">
        <v>286</v>
      </c>
      <c r="AJ123" s="9">
        <v>40</v>
      </c>
      <c r="AK123" s="8">
        <v>40</v>
      </c>
      <c r="AL123" s="8">
        <v>40</v>
      </c>
      <c r="AM123" s="8">
        <v>40</v>
      </c>
      <c r="AN123" s="8">
        <v>40</v>
      </c>
      <c r="AO123" s="13">
        <v>40</v>
      </c>
      <c r="AP123" s="5"/>
    </row>
    <row r="124" spans="1:42">
      <c r="A124" s="12">
        <v>123</v>
      </c>
      <c r="B124" s="6" t="s">
        <v>698</v>
      </c>
      <c r="C124" s="6" t="s">
        <v>1801</v>
      </c>
      <c r="D124" s="6" t="s">
        <v>298</v>
      </c>
      <c r="E124" s="6" t="s">
        <v>86</v>
      </c>
      <c r="F124" s="7">
        <v>44492</v>
      </c>
      <c r="G124" s="6" t="s">
        <v>111</v>
      </c>
      <c r="H124" s="6" t="s">
        <v>420</v>
      </c>
      <c r="I124" s="6" t="s">
        <v>700</v>
      </c>
      <c r="J124" s="6" t="s">
        <v>90</v>
      </c>
      <c r="K124" s="6" t="s">
        <v>91</v>
      </c>
      <c r="L124" s="6" t="s">
        <v>92</v>
      </c>
      <c r="M124" s="6" t="s">
        <v>90</v>
      </c>
      <c r="N124" s="6" t="s">
        <v>131</v>
      </c>
      <c r="O124" s="6" t="s">
        <v>94</v>
      </c>
      <c r="P124" s="6" t="s">
        <v>136</v>
      </c>
      <c r="Q124" s="6" t="s">
        <v>95</v>
      </c>
      <c r="R124" s="6" t="s">
        <v>1643</v>
      </c>
      <c r="S124" s="6" t="s">
        <v>94</v>
      </c>
      <c r="T124" s="6" t="s">
        <v>94</v>
      </c>
      <c r="U124" s="6" t="s">
        <v>94</v>
      </c>
      <c r="V124" s="6" t="s">
        <v>94</v>
      </c>
      <c r="W124" s="6" t="s">
        <v>281</v>
      </c>
      <c r="X124" s="6" t="s">
        <v>1643</v>
      </c>
      <c r="Y124" s="6" t="s">
        <v>1643</v>
      </c>
      <c r="Z124" s="6" t="s">
        <v>1643</v>
      </c>
      <c r="AA124" s="8">
        <v>1</v>
      </c>
      <c r="AB124" s="8">
        <v>1</v>
      </c>
      <c r="AC124" s="8">
        <v>1</v>
      </c>
      <c r="AD124" s="8">
        <v>1</v>
      </c>
      <c r="AE124" s="8">
        <v>100</v>
      </c>
      <c r="AF124" s="6" t="s">
        <v>334</v>
      </c>
      <c r="AG124" s="6" t="s">
        <v>335</v>
      </c>
      <c r="AH124" s="6" t="s">
        <v>501</v>
      </c>
      <c r="AI124" s="6" t="s">
        <v>286</v>
      </c>
      <c r="AJ124" s="9">
        <v>40</v>
      </c>
      <c r="AK124" s="8">
        <v>40</v>
      </c>
      <c r="AL124" s="8">
        <v>40</v>
      </c>
      <c r="AM124" s="8">
        <v>40</v>
      </c>
      <c r="AN124" s="8">
        <v>40</v>
      </c>
      <c r="AO124" s="13">
        <v>40</v>
      </c>
      <c r="AP124" s="5"/>
    </row>
    <row r="125" spans="1:42">
      <c r="A125" s="12">
        <v>124</v>
      </c>
      <c r="B125" s="6" t="s">
        <v>701</v>
      </c>
      <c r="C125" s="6" t="s">
        <v>48</v>
      </c>
      <c r="D125" s="6" t="s">
        <v>387</v>
      </c>
      <c r="E125" s="6" t="s">
        <v>86</v>
      </c>
      <c r="F125" s="7">
        <v>43206</v>
      </c>
      <c r="G125" s="6" t="s">
        <v>111</v>
      </c>
      <c r="H125" s="6" t="s">
        <v>107</v>
      </c>
      <c r="I125" s="6" t="s">
        <v>210</v>
      </c>
      <c r="J125" s="6" t="s">
        <v>90</v>
      </c>
      <c r="K125" s="6" t="s">
        <v>91</v>
      </c>
      <c r="L125" s="6" t="s">
        <v>92</v>
      </c>
      <c r="M125" s="6" t="s">
        <v>90</v>
      </c>
      <c r="N125" s="6" t="s">
        <v>103</v>
      </c>
      <c r="O125" s="6" t="s">
        <v>95</v>
      </c>
      <c r="P125" s="6" t="s">
        <v>117</v>
      </c>
      <c r="Q125" s="6" t="s">
        <v>122</v>
      </c>
      <c r="R125" s="6" t="s">
        <v>1643</v>
      </c>
      <c r="S125" s="6" t="s">
        <v>94</v>
      </c>
      <c r="T125" s="6" t="s">
        <v>94</v>
      </c>
      <c r="U125" s="6" t="s">
        <v>94</v>
      </c>
      <c r="V125" s="6" t="s">
        <v>94</v>
      </c>
      <c r="W125" s="6" t="s">
        <v>281</v>
      </c>
      <c r="X125" s="6" t="s">
        <v>1643</v>
      </c>
      <c r="Y125" s="6" t="s">
        <v>1643</v>
      </c>
      <c r="Z125" s="6" t="s">
        <v>1643</v>
      </c>
      <c r="AA125" s="8">
        <v>1</v>
      </c>
      <c r="AB125" s="8">
        <v>1</v>
      </c>
      <c r="AC125" s="8">
        <v>1</v>
      </c>
      <c r="AD125" s="8">
        <v>1</v>
      </c>
      <c r="AE125" s="8">
        <v>100</v>
      </c>
      <c r="AF125" s="6" t="s">
        <v>300</v>
      </c>
      <c r="AG125" s="6" t="s">
        <v>283</v>
      </c>
      <c r="AH125" s="6" t="s">
        <v>298</v>
      </c>
      <c r="AI125" s="6" t="s">
        <v>286</v>
      </c>
      <c r="AJ125" s="9">
        <v>40</v>
      </c>
      <c r="AK125" s="8">
        <v>40</v>
      </c>
      <c r="AL125" s="8">
        <v>40</v>
      </c>
      <c r="AM125" s="8">
        <v>40</v>
      </c>
      <c r="AN125" s="8">
        <v>40</v>
      </c>
      <c r="AO125" s="13">
        <v>40</v>
      </c>
      <c r="AP125" s="5"/>
    </row>
    <row r="126" spans="1:42">
      <c r="A126" s="12">
        <v>125</v>
      </c>
      <c r="B126" s="6" t="s">
        <v>703</v>
      </c>
      <c r="C126" s="6" t="s">
        <v>1802</v>
      </c>
      <c r="D126" s="6" t="s">
        <v>323</v>
      </c>
      <c r="E126" s="6" t="s">
        <v>86</v>
      </c>
      <c r="F126" s="7">
        <v>46045</v>
      </c>
      <c r="G126" s="6" t="s">
        <v>337</v>
      </c>
      <c r="H126" s="6" t="s">
        <v>94</v>
      </c>
      <c r="I126" s="6" t="s">
        <v>94</v>
      </c>
      <c r="J126" s="6" t="s">
        <v>90</v>
      </c>
      <c r="K126" s="6" t="s">
        <v>91</v>
      </c>
      <c r="L126" s="6" t="s">
        <v>92</v>
      </c>
      <c r="M126" s="6" t="s">
        <v>90</v>
      </c>
      <c r="N126" s="6" t="s">
        <v>94</v>
      </c>
      <c r="O126" s="6" t="s">
        <v>94</v>
      </c>
      <c r="P126" s="6" t="s">
        <v>131</v>
      </c>
      <c r="Q126" s="6" t="s">
        <v>95</v>
      </c>
      <c r="R126" s="6" t="s">
        <v>1643</v>
      </c>
      <c r="S126" s="6" t="s">
        <v>94</v>
      </c>
      <c r="T126" s="6" t="s">
        <v>94</v>
      </c>
      <c r="U126" s="6" t="s">
        <v>94</v>
      </c>
      <c r="V126" s="6" t="s">
        <v>94</v>
      </c>
      <c r="W126" s="6" t="s">
        <v>338</v>
      </c>
      <c r="X126" s="6" t="s">
        <v>1643</v>
      </c>
      <c r="Y126" s="6" t="s">
        <v>1643</v>
      </c>
      <c r="Z126" s="6" t="s">
        <v>1643</v>
      </c>
      <c r="AA126" s="8">
        <v>1</v>
      </c>
      <c r="AB126" s="8">
        <v>1</v>
      </c>
      <c r="AC126" s="8">
        <v>1</v>
      </c>
      <c r="AD126" s="8">
        <v>1</v>
      </c>
      <c r="AE126" s="8">
        <v>100</v>
      </c>
      <c r="AF126" s="6" t="s">
        <v>391</v>
      </c>
      <c r="AG126" s="6" t="s">
        <v>386</v>
      </c>
      <c r="AH126" s="6" t="s">
        <v>387</v>
      </c>
      <c r="AI126" s="6" t="s">
        <v>286</v>
      </c>
      <c r="AJ126" s="9">
        <v>40</v>
      </c>
      <c r="AK126" s="8">
        <v>40</v>
      </c>
      <c r="AL126" s="8">
        <v>40</v>
      </c>
      <c r="AM126" s="8">
        <v>40</v>
      </c>
      <c r="AN126" s="8">
        <v>40</v>
      </c>
      <c r="AO126" s="13">
        <v>40</v>
      </c>
      <c r="AP126" s="5"/>
    </row>
    <row r="127" spans="1:42">
      <c r="A127" s="12">
        <v>126</v>
      </c>
      <c r="B127" s="6" t="s">
        <v>705</v>
      </c>
      <c r="C127" s="6" t="s">
        <v>1803</v>
      </c>
      <c r="D127" s="6" t="s">
        <v>708</v>
      </c>
      <c r="E127" s="6" t="s">
        <v>86</v>
      </c>
      <c r="F127" s="7">
        <v>44667</v>
      </c>
      <c r="G127" s="6" t="s">
        <v>288</v>
      </c>
      <c r="H127" s="6" t="s">
        <v>120</v>
      </c>
      <c r="I127" s="6" t="s">
        <v>707</v>
      </c>
      <c r="J127" s="6" t="s">
        <v>90</v>
      </c>
      <c r="K127" s="6" t="s">
        <v>91</v>
      </c>
      <c r="L127" s="6" t="s">
        <v>92</v>
      </c>
      <c r="M127" s="6" t="s">
        <v>90</v>
      </c>
      <c r="N127" s="6" t="s">
        <v>131</v>
      </c>
      <c r="O127" s="6" t="s">
        <v>104</v>
      </c>
      <c r="P127" s="6" t="s">
        <v>136</v>
      </c>
      <c r="Q127" s="6" t="s">
        <v>95</v>
      </c>
      <c r="R127" s="6" t="s">
        <v>1643</v>
      </c>
      <c r="S127" s="6" t="s">
        <v>94</v>
      </c>
      <c r="T127" s="6" t="s">
        <v>94</v>
      </c>
      <c r="U127" s="6" t="s">
        <v>94</v>
      </c>
      <c r="V127" s="6" t="s">
        <v>94</v>
      </c>
      <c r="W127" s="6" t="s">
        <v>291</v>
      </c>
      <c r="X127" s="6" t="s">
        <v>1643</v>
      </c>
      <c r="Y127" s="6" t="s">
        <v>1643</v>
      </c>
      <c r="Z127" s="6" t="s">
        <v>1643</v>
      </c>
      <c r="AA127" s="8">
        <v>1</v>
      </c>
      <c r="AB127" s="8">
        <v>1</v>
      </c>
      <c r="AC127" s="8">
        <v>1</v>
      </c>
      <c r="AD127" s="8">
        <v>1</v>
      </c>
      <c r="AE127" s="8">
        <v>0</v>
      </c>
      <c r="AF127" s="6" t="s">
        <v>326</v>
      </c>
      <c r="AG127" s="6" t="s">
        <v>283</v>
      </c>
      <c r="AH127" s="6" t="s">
        <v>323</v>
      </c>
      <c r="AI127" s="6" t="s">
        <v>286</v>
      </c>
      <c r="AJ127" s="9">
        <v>40</v>
      </c>
      <c r="AK127" s="8">
        <v>40</v>
      </c>
      <c r="AL127" s="8">
        <v>40</v>
      </c>
      <c r="AM127" s="8">
        <v>40</v>
      </c>
      <c r="AN127" s="8">
        <v>40</v>
      </c>
      <c r="AO127" s="13">
        <v>40</v>
      </c>
      <c r="AP127" s="5"/>
    </row>
    <row r="128" spans="1:42">
      <c r="A128" s="12">
        <v>127</v>
      </c>
      <c r="B128" s="6" t="s">
        <v>709</v>
      </c>
      <c r="C128" s="6" t="s">
        <v>1804</v>
      </c>
      <c r="D128" s="6" t="s">
        <v>373</v>
      </c>
      <c r="E128" s="6" t="s">
        <v>86</v>
      </c>
      <c r="F128" s="7">
        <v>44384</v>
      </c>
      <c r="G128" s="6" t="s">
        <v>100</v>
      </c>
      <c r="H128" s="6" t="s">
        <v>344</v>
      </c>
      <c r="I128" s="6" t="s">
        <v>711</v>
      </c>
      <c r="J128" s="6" t="s">
        <v>90</v>
      </c>
      <c r="K128" s="6" t="s">
        <v>91</v>
      </c>
      <c r="L128" s="6" t="s">
        <v>92</v>
      </c>
      <c r="M128" s="6" t="s">
        <v>90</v>
      </c>
      <c r="N128" s="6" t="s">
        <v>103</v>
      </c>
      <c r="O128" s="6" t="s">
        <v>95</v>
      </c>
      <c r="P128" s="6" t="s">
        <v>117</v>
      </c>
      <c r="Q128" s="6" t="s">
        <v>95</v>
      </c>
      <c r="R128" s="6" t="s">
        <v>1643</v>
      </c>
      <c r="S128" s="6" t="s">
        <v>1805</v>
      </c>
      <c r="T128" s="6" t="s">
        <v>94</v>
      </c>
      <c r="U128" s="6" t="s">
        <v>94</v>
      </c>
      <c r="V128" s="6" t="s">
        <v>94</v>
      </c>
      <c r="W128" s="6" t="s">
        <v>304</v>
      </c>
      <c r="X128" s="6" t="s">
        <v>1643</v>
      </c>
      <c r="Y128" s="6" t="s">
        <v>1643</v>
      </c>
      <c r="Z128" s="6" t="s">
        <v>1643</v>
      </c>
      <c r="AA128" s="8">
        <v>1</v>
      </c>
      <c r="AB128" s="8">
        <v>1</v>
      </c>
      <c r="AC128" s="8">
        <v>1</v>
      </c>
      <c r="AD128" s="8">
        <v>1</v>
      </c>
      <c r="AE128" s="8">
        <v>100</v>
      </c>
      <c r="AF128" s="6" t="s">
        <v>652</v>
      </c>
      <c r="AG128" s="6" t="s">
        <v>283</v>
      </c>
      <c r="AH128" s="6" t="s">
        <v>708</v>
      </c>
      <c r="AI128" s="6" t="s">
        <v>286</v>
      </c>
      <c r="AJ128" s="9">
        <v>40</v>
      </c>
      <c r="AK128" s="8">
        <v>40</v>
      </c>
      <c r="AL128" s="8">
        <v>40</v>
      </c>
      <c r="AM128" s="8">
        <v>40</v>
      </c>
      <c r="AN128" s="8">
        <v>40</v>
      </c>
      <c r="AO128" s="13">
        <v>40</v>
      </c>
      <c r="AP128" s="5"/>
    </row>
    <row r="129" spans="1:42">
      <c r="A129" s="12">
        <v>128</v>
      </c>
      <c r="B129" s="6" t="s">
        <v>712</v>
      </c>
      <c r="C129" s="6" t="s">
        <v>1806</v>
      </c>
      <c r="D129" s="6" t="s">
        <v>305</v>
      </c>
      <c r="E129" s="6" t="s">
        <v>86</v>
      </c>
      <c r="F129" s="7">
        <v>44348</v>
      </c>
      <c r="G129" s="6" t="s">
        <v>111</v>
      </c>
      <c r="H129" s="6" t="s">
        <v>420</v>
      </c>
      <c r="I129" s="6" t="s">
        <v>714</v>
      </c>
      <c r="J129" s="6" t="s">
        <v>90</v>
      </c>
      <c r="K129" s="6" t="s">
        <v>91</v>
      </c>
      <c r="L129" s="6" t="s">
        <v>92</v>
      </c>
      <c r="M129" s="6" t="s">
        <v>90</v>
      </c>
      <c r="N129" s="6" t="s">
        <v>131</v>
      </c>
      <c r="O129" s="6" t="s">
        <v>94</v>
      </c>
      <c r="P129" s="6" t="s">
        <v>136</v>
      </c>
      <c r="Q129" s="6" t="s">
        <v>122</v>
      </c>
      <c r="R129" s="6" t="s">
        <v>1643</v>
      </c>
      <c r="S129" s="6" t="s">
        <v>1690</v>
      </c>
      <c r="T129" s="6" t="s">
        <v>94</v>
      </c>
      <c r="U129" s="6" t="s">
        <v>94</v>
      </c>
      <c r="V129" s="6" t="s">
        <v>94</v>
      </c>
      <c r="W129" s="6" t="s">
        <v>281</v>
      </c>
      <c r="X129" s="6" t="s">
        <v>1643</v>
      </c>
      <c r="Y129" s="6" t="s">
        <v>1643</v>
      </c>
      <c r="Z129" s="6" t="s">
        <v>1643</v>
      </c>
      <c r="AA129" s="8">
        <v>1</v>
      </c>
      <c r="AB129" s="8">
        <v>1</v>
      </c>
      <c r="AC129" s="8">
        <v>1</v>
      </c>
      <c r="AD129" s="8">
        <v>1</v>
      </c>
      <c r="AE129" s="8">
        <v>100</v>
      </c>
      <c r="AF129" s="6" t="s">
        <v>334</v>
      </c>
      <c r="AG129" s="6" t="s">
        <v>335</v>
      </c>
      <c r="AH129" s="6" t="s">
        <v>373</v>
      </c>
      <c r="AI129" s="6" t="s">
        <v>286</v>
      </c>
      <c r="AJ129" s="9">
        <v>40</v>
      </c>
      <c r="AK129" s="8">
        <v>40</v>
      </c>
      <c r="AL129" s="8">
        <v>40</v>
      </c>
      <c r="AM129" s="8">
        <v>40</v>
      </c>
      <c r="AN129" s="8">
        <v>40</v>
      </c>
      <c r="AO129" s="13">
        <v>40</v>
      </c>
      <c r="AP129" s="5"/>
    </row>
    <row r="130" spans="1:42">
      <c r="A130" s="12">
        <v>129</v>
      </c>
      <c r="B130" s="6" t="s">
        <v>715</v>
      </c>
      <c r="C130" s="6" t="s">
        <v>1807</v>
      </c>
      <c r="D130" s="6" t="s">
        <v>648</v>
      </c>
      <c r="E130" s="6" t="s">
        <v>86</v>
      </c>
      <c r="F130" s="7">
        <v>44743</v>
      </c>
      <c r="G130" s="6" t="s">
        <v>204</v>
      </c>
      <c r="H130" s="6" t="s">
        <v>311</v>
      </c>
      <c r="I130" s="6" t="s">
        <v>717</v>
      </c>
      <c r="J130" s="6" t="s">
        <v>90</v>
      </c>
      <c r="K130" s="6" t="s">
        <v>91</v>
      </c>
      <c r="L130" s="6" t="s">
        <v>92</v>
      </c>
      <c r="M130" s="6" t="s">
        <v>90</v>
      </c>
      <c r="N130" s="6" t="s">
        <v>43</v>
      </c>
      <c r="O130" s="6" t="s">
        <v>94</v>
      </c>
      <c r="P130" s="6" t="s">
        <v>43</v>
      </c>
      <c r="Q130" s="6" t="s">
        <v>95</v>
      </c>
      <c r="R130" s="6" t="s">
        <v>1643</v>
      </c>
      <c r="S130" s="6" t="s">
        <v>1690</v>
      </c>
      <c r="T130" s="6" t="s">
        <v>94</v>
      </c>
      <c r="U130" s="6" t="s">
        <v>94</v>
      </c>
      <c r="V130" s="6" t="s">
        <v>94</v>
      </c>
      <c r="W130" s="6" t="s">
        <v>403</v>
      </c>
      <c r="X130" s="6" t="s">
        <v>1643</v>
      </c>
      <c r="Y130" s="6" t="s">
        <v>1643</v>
      </c>
      <c r="Z130" s="6" t="s">
        <v>1643</v>
      </c>
      <c r="AA130" s="8">
        <v>1</v>
      </c>
      <c r="AB130" s="8">
        <v>1</v>
      </c>
      <c r="AC130" s="8">
        <v>1</v>
      </c>
      <c r="AD130" s="8">
        <v>1</v>
      </c>
      <c r="AE130" s="8">
        <v>100</v>
      </c>
      <c r="AF130" s="6" t="s">
        <v>308</v>
      </c>
      <c r="AG130" s="6" t="s">
        <v>283</v>
      </c>
      <c r="AH130" s="6" t="s">
        <v>305</v>
      </c>
      <c r="AI130" s="6" t="s">
        <v>286</v>
      </c>
      <c r="AJ130" s="9">
        <v>40</v>
      </c>
      <c r="AK130" s="8">
        <v>40</v>
      </c>
      <c r="AL130" s="8">
        <v>40</v>
      </c>
      <c r="AM130" s="8">
        <v>40</v>
      </c>
      <c r="AN130" s="8">
        <v>40</v>
      </c>
      <c r="AO130" s="13">
        <v>40</v>
      </c>
      <c r="AP130" s="5"/>
    </row>
    <row r="131" spans="1:42">
      <c r="A131" s="12">
        <v>130</v>
      </c>
      <c r="B131" s="6" t="s">
        <v>718</v>
      </c>
      <c r="C131" s="6" t="s">
        <v>1808</v>
      </c>
      <c r="D131" s="6" t="s">
        <v>298</v>
      </c>
      <c r="E131" s="6" t="s">
        <v>86</v>
      </c>
      <c r="F131" s="7">
        <v>43206</v>
      </c>
      <c r="G131" s="6" t="s">
        <v>111</v>
      </c>
      <c r="H131" s="6" t="s">
        <v>175</v>
      </c>
      <c r="I131" s="6" t="s">
        <v>720</v>
      </c>
      <c r="J131" s="6" t="s">
        <v>90</v>
      </c>
      <c r="K131" s="6" t="s">
        <v>91</v>
      </c>
      <c r="L131" s="6" t="s">
        <v>92</v>
      </c>
      <c r="M131" s="6" t="s">
        <v>90</v>
      </c>
      <c r="N131" s="6" t="s">
        <v>103</v>
      </c>
      <c r="O131" s="6" t="s">
        <v>95</v>
      </c>
      <c r="P131" s="6" t="s">
        <v>117</v>
      </c>
      <c r="Q131" s="6" t="s">
        <v>122</v>
      </c>
      <c r="R131" s="6" t="s">
        <v>1643</v>
      </c>
      <c r="S131" s="6" t="s">
        <v>94</v>
      </c>
      <c r="T131" s="6" t="s">
        <v>94</v>
      </c>
      <c r="U131" s="6" t="s">
        <v>94</v>
      </c>
      <c r="V131" s="6" t="s">
        <v>94</v>
      </c>
      <c r="W131" s="6" t="s">
        <v>418</v>
      </c>
      <c r="X131" s="6" t="s">
        <v>1643</v>
      </c>
      <c r="Y131" s="6" t="s">
        <v>1643</v>
      </c>
      <c r="Z131" s="6" t="s">
        <v>1643</v>
      </c>
      <c r="AA131" s="8">
        <v>1</v>
      </c>
      <c r="AB131" s="8">
        <v>1</v>
      </c>
      <c r="AC131" s="8">
        <v>1</v>
      </c>
      <c r="AD131" s="8">
        <v>1</v>
      </c>
      <c r="AE131" s="8">
        <v>100</v>
      </c>
      <c r="AF131" s="6" t="s">
        <v>652</v>
      </c>
      <c r="AG131" s="6" t="s">
        <v>283</v>
      </c>
      <c r="AH131" s="6" t="s">
        <v>648</v>
      </c>
      <c r="AI131" s="6" t="s">
        <v>286</v>
      </c>
      <c r="AJ131" s="9">
        <v>40</v>
      </c>
      <c r="AK131" s="8">
        <v>40</v>
      </c>
      <c r="AL131" s="8">
        <v>40</v>
      </c>
      <c r="AM131" s="8">
        <v>40</v>
      </c>
      <c r="AN131" s="8">
        <v>40</v>
      </c>
      <c r="AO131" s="13">
        <v>40</v>
      </c>
      <c r="AP131" s="5"/>
    </row>
    <row r="132" spans="1:42">
      <c r="A132" s="12">
        <v>131</v>
      </c>
      <c r="B132" s="6" t="s">
        <v>721</v>
      </c>
      <c r="C132" s="6" t="s">
        <v>47</v>
      </c>
      <c r="D132" s="6" t="s">
        <v>318</v>
      </c>
      <c r="E132" s="6" t="s">
        <v>86</v>
      </c>
      <c r="F132" s="7">
        <v>45937</v>
      </c>
      <c r="G132" s="6" t="s">
        <v>204</v>
      </c>
      <c r="H132" s="6" t="s">
        <v>94</v>
      </c>
      <c r="I132" s="6" t="s">
        <v>94</v>
      </c>
      <c r="J132" s="6" t="s">
        <v>90</v>
      </c>
      <c r="K132" s="6" t="s">
        <v>91</v>
      </c>
      <c r="L132" s="6" t="s">
        <v>92</v>
      </c>
      <c r="M132" s="6" t="s">
        <v>90</v>
      </c>
      <c r="N132" s="6" t="s">
        <v>94</v>
      </c>
      <c r="O132" s="6" t="s">
        <v>94</v>
      </c>
      <c r="P132" s="6" t="s">
        <v>43</v>
      </c>
      <c r="Q132" s="6" t="s">
        <v>95</v>
      </c>
      <c r="R132" s="6" t="s">
        <v>1643</v>
      </c>
      <c r="S132" s="6" t="s">
        <v>94</v>
      </c>
      <c r="T132" s="6" t="s">
        <v>94</v>
      </c>
      <c r="U132" s="6" t="s">
        <v>94</v>
      </c>
      <c r="V132" s="6" t="s">
        <v>94</v>
      </c>
      <c r="W132" s="6" t="s">
        <v>403</v>
      </c>
      <c r="X132" s="6" t="s">
        <v>1643</v>
      </c>
      <c r="Y132" s="6" t="s">
        <v>1643</v>
      </c>
      <c r="Z132" s="6" t="s">
        <v>1643</v>
      </c>
      <c r="AA132" s="8">
        <v>1</v>
      </c>
      <c r="AB132" s="8">
        <v>1</v>
      </c>
      <c r="AC132" s="8">
        <v>1</v>
      </c>
      <c r="AD132" s="8">
        <v>1</v>
      </c>
      <c r="AE132" s="8">
        <v>100</v>
      </c>
      <c r="AF132" s="6" t="s">
        <v>300</v>
      </c>
      <c r="AG132" s="6" t="s">
        <v>283</v>
      </c>
      <c r="AH132" s="6" t="s">
        <v>298</v>
      </c>
      <c r="AI132" s="6" t="s">
        <v>286</v>
      </c>
      <c r="AJ132" s="9">
        <v>40</v>
      </c>
      <c r="AK132" s="8">
        <v>40</v>
      </c>
      <c r="AL132" s="8">
        <v>40</v>
      </c>
      <c r="AM132" s="8">
        <v>40</v>
      </c>
      <c r="AN132" s="8">
        <v>40</v>
      </c>
      <c r="AO132" s="13">
        <v>40</v>
      </c>
      <c r="AP132" s="5"/>
    </row>
    <row r="133" spans="1:42">
      <c r="A133" s="12">
        <v>132</v>
      </c>
      <c r="B133" s="6" t="s">
        <v>723</v>
      </c>
      <c r="C133" s="6" t="s">
        <v>1809</v>
      </c>
      <c r="D133" s="6" t="s">
        <v>387</v>
      </c>
      <c r="E133" s="6" t="s">
        <v>86</v>
      </c>
      <c r="F133" s="7">
        <v>42629</v>
      </c>
      <c r="G133" s="6" t="s">
        <v>14</v>
      </c>
      <c r="H133" s="6" t="s">
        <v>252</v>
      </c>
      <c r="I133" s="6" t="s">
        <v>725</v>
      </c>
      <c r="J133" s="6" t="s">
        <v>90</v>
      </c>
      <c r="K133" s="6" t="s">
        <v>91</v>
      </c>
      <c r="L133" s="6" t="s">
        <v>92</v>
      </c>
      <c r="M133" s="6" t="s">
        <v>90</v>
      </c>
      <c r="N133" s="6" t="s">
        <v>117</v>
      </c>
      <c r="O133" s="6" t="s">
        <v>94</v>
      </c>
      <c r="P133" s="6" t="s">
        <v>103</v>
      </c>
      <c r="Q133" s="6" t="s">
        <v>122</v>
      </c>
      <c r="R133" s="6" t="s">
        <v>1643</v>
      </c>
      <c r="S133" s="6" t="s">
        <v>94</v>
      </c>
      <c r="T133" s="6" t="s">
        <v>94</v>
      </c>
      <c r="U133" s="6" t="s">
        <v>94</v>
      </c>
      <c r="V133" s="6" t="s">
        <v>94</v>
      </c>
      <c r="W133" s="6" t="s">
        <v>422</v>
      </c>
      <c r="X133" s="6" t="s">
        <v>1643</v>
      </c>
      <c r="Y133" s="6" t="s">
        <v>1643</v>
      </c>
      <c r="Z133" s="6" t="s">
        <v>1643</v>
      </c>
      <c r="AA133" s="8">
        <v>1</v>
      </c>
      <c r="AB133" s="8">
        <v>1</v>
      </c>
      <c r="AC133" s="8">
        <v>1</v>
      </c>
      <c r="AD133" s="8">
        <v>1</v>
      </c>
      <c r="AE133" s="8">
        <v>100</v>
      </c>
      <c r="AF133" s="6" t="s">
        <v>308</v>
      </c>
      <c r="AG133" s="6" t="s">
        <v>283</v>
      </c>
      <c r="AH133" s="6" t="s">
        <v>318</v>
      </c>
      <c r="AI133" s="6" t="s">
        <v>286</v>
      </c>
      <c r="AJ133" s="9">
        <v>40</v>
      </c>
      <c r="AK133" s="8">
        <v>40</v>
      </c>
      <c r="AL133" s="8">
        <v>40</v>
      </c>
      <c r="AM133" s="8">
        <v>40</v>
      </c>
      <c r="AN133" s="8">
        <v>40</v>
      </c>
      <c r="AO133" s="13">
        <v>40</v>
      </c>
      <c r="AP133" s="5"/>
    </row>
    <row r="134" spans="1:42">
      <c r="A134" s="12">
        <v>133</v>
      </c>
      <c r="B134" s="6" t="s">
        <v>726</v>
      </c>
      <c r="C134" s="6" t="s">
        <v>1810</v>
      </c>
      <c r="D134" s="6" t="s">
        <v>301</v>
      </c>
      <c r="E134" s="6" t="s">
        <v>86</v>
      </c>
      <c r="F134" s="7">
        <v>46045</v>
      </c>
      <c r="G134" s="6" t="s">
        <v>337</v>
      </c>
      <c r="H134" s="6" t="s">
        <v>94</v>
      </c>
      <c r="I134" s="6" t="s">
        <v>303</v>
      </c>
      <c r="J134" s="6" t="s">
        <v>90</v>
      </c>
      <c r="K134" s="6" t="s">
        <v>91</v>
      </c>
      <c r="L134" s="6" t="s">
        <v>92</v>
      </c>
      <c r="M134" s="6" t="s">
        <v>90</v>
      </c>
      <c r="N134" s="6" t="s">
        <v>94</v>
      </c>
      <c r="O134" s="6" t="s">
        <v>94</v>
      </c>
      <c r="P134" s="6" t="s">
        <v>131</v>
      </c>
      <c r="Q134" s="6" t="s">
        <v>95</v>
      </c>
      <c r="R134" s="6" t="s">
        <v>1643</v>
      </c>
      <c r="S134" s="6" t="s">
        <v>94</v>
      </c>
      <c r="T134" s="6" t="s">
        <v>94</v>
      </c>
      <c r="U134" s="6" t="s">
        <v>94</v>
      </c>
      <c r="V134" s="6" t="s">
        <v>94</v>
      </c>
      <c r="W134" s="6" t="s">
        <v>338</v>
      </c>
      <c r="X134" s="6" t="s">
        <v>1643</v>
      </c>
      <c r="Y134" s="6" t="s">
        <v>1643</v>
      </c>
      <c r="Z134" s="6" t="s">
        <v>1643</v>
      </c>
      <c r="AA134" s="8">
        <v>1</v>
      </c>
      <c r="AB134" s="8">
        <v>1</v>
      </c>
      <c r="AC134" s="8">
        <v>1</v>
      </c>
      <c r="AD134" s="8">
        <v>1</v>
      </c>
      <c r="AE134" s="8">
        <v>100</v>
      </c>
      <c r="AF134" s="6" t="s">
        <v>391</v>
      </c>
      <c r="AG134" s="6" t="s">
        <v>386</v>
      </c>
      <c r="AH134" s="6" t="s">
        <v>387</v>
      </c>
      <c r="AI134" s="6" t="s">
        <v>286</v>
      </c>
      <c r="AJ134" s="9">
        <v>40</v>
      </c>
      <c r="AK134" s="8">
        <v>40</v>
      </c>
      <c r="AL134" s="8">
        <v>40</v>
      </c>
      <c r="AM134" s="8">
        <v>40</v>
      </c>
      <c r="AN134" s="8">
        <v>40</v>
      </c>
      <c r="AO134" s="13">
        <v>40</v>
      </c>
      <c r="AP134" s="5"/>
    </row>
    <row r="135" spans="1:42">
      <c r="A135" s="12">
        <v>134</v>
      </c>
      <c r="B135" s="6" t="s">
        <v>728</v>
      </c>
      <c r="C135" s="6" t="s">
        <v>1811</v>
      </c>
      <c r="D135" s="6" t="s">
        <v>434</v>
      </c>
      <c r="E135" s="6" t="s">
        <v>86</v>
      </c>
      <c r="F135" s="7">
        <v>45809</v>
      </c>
      <c r="G135" s="6" t="s">
        <v>26</v>
      </c>
      <c r="H135" s="6" t="s">
        <v>94</v>
      </c>
      <c r="I135" s="6" t="s">
        <v>94</v>
      </c>
      <c r="J135" s="6" t="s">
        <v>90</v>
      </c>
      <c r="K135" s="6" t="s">
        <v>91</v>
      </c>
      <c r="L135" s="6" t="s">
        <v>92</v>
      </c>
      <c r="M135" s="6" t="s">
        <v>90</v>
      </c>
      <c r="N135" s="6" t="s">
        <v>94</v>
      </c>
      <c r="O135" s="6" t="s">
        <v>94</v>
      </c>
      <c r="P135" s="6" t="s">
        <v>27</v>
      </c>
      <c r="Q135" s="6" t="s">
        <v>95</v>
      </c>
      <c r="R135" s="6" t="s">
        <v>1643</v>
      </c>
      <c r="S135" s="6" t="s">
        <v>1646</v>
      </c>
      <c r="T135" s="6" t="s">
        <v>94</v>
      </c>
      <c r="U135" s="6" t="s">
        <v>94</v>
      </c>
      <c r="V135" s="6" t="s">
        <v>94</v>
      </c>
      <c r="W135" s="6" t="s">
        <v>296</v>
      </c>
      <c r="X135" s="6" t="s">
        <v>1643</v>
      </c>
      <c r="Y135" s="6" t="s">
        <v>1643</v>
      </c>
      <c r="Z135" s="6" t="s">
        <v>1643</v>
      </c>
      <c r="AA135" s="8">
        <v>1</v>
      </c>
      <c r="AB135" s="8">
        <v>1</v>
      </c>
      <c r="AC135" s="8">
        <v>1</v>
      </c>
      <c r="AD135" s="8">
        <v>1</v>
      </c>
      <c r="AE135" s="8">
        <v>100</v>
      </c>
      <c r="AF135" s="6" t="s">
        <v>282</v>
      </c>
      <c r="AG135" s="6" t="s">
        <v>283</v>
      </c>
      <c r="AH135" s="6" t="s">
        <v>301</v>
      </c>
      <c r="AI135" s="6" t="s">
        <v>286</v>
      </c>
      <c r="AJ135" s="9">
        <v>40</v>
      </c>
      <c r="AK135" s="8">
        <v>40</v>
      </c>
      <c r="AL135" s="8">
        <v>40</v>
      </c>
      <c r="AM135" s="8">
        <v>40</v>
      </c>
      <c r="AN135" s="8">
        <v>40</v>
      </c>
      <c r="AO135" s="13">
        <v>40</v>
      </c>
      <c r="AP135" s="5"/>
    </row>
    <row r="136" spans="1:42">
      <c r="A136" s="12">
        <v>135</v>
      </c>
      <c r="B136" s="6" t="s">
        <v>730</v>
      </c>
      <c r="C136" s="6" t="s">
        <v>1812</v>
      </c>
      <c r="D136" s="6" t="s">
        <v>301</v>
      </c>
      <c r="E136" s="6" t="s">
        <v>86</v>
      </c>
      <c r="F136" s="7">
        <v>44044</v>
      </c>
      <c r="G136" s="6" t="s">
        <v>732</v>
      </c>
      <c r="H136" s="6" t="s">
        <v>526</v>
      </c>
      <c r="I136" s="6" t="s">
        <v>733</v>
      </c>
      <c r="J136" s="6" t="s">
        <v>90</v>
      </c>
      <c r="K136" s="6" t="s">
        <v>91</v>
      </c>
      <c r="L136" s="6" t="s">
        <v>92</v>
      </c>
      <c r="M136" s="6" t="s">
        <v>90</v>
      </c>
      <c r="N136" s="6" t="s">
        <v>43</v>
      </c>
      <c r="O136" s="6" t="s">
        <v>94</v>
      </c>
      <c r="P136" s="6" t="s">
        <v>642</v>
      </c>
      <c r="Q136" s="6" t="s">
        <v>122</v>
      </c>
      <c r="R136" s="6" t="s">
        <v>1643</v>
      </c>
      <c r="S136" s="6" t="s">
        <v>1813</v>
      </c>
      <c r="T136" s="6" t="s">
        <v>94</v>
      </c>
      <c r="U136" s="6" t="s">
        <v>94</v>
      </c>
      <c r="V136" s="6" t="s">
        <v>94</v>
      </c>
      <c r="W136" s="6" t="s">
        <v>734</v>
      </c>
      <c r="X136" s="6" t="s">
        <v>1643</v>
      </c>
      <c r="Y136" s="6" t="s">
        <v>1643</v>
      </c>
      <c r="Z136" s="6" t="s">
        <v>1643</v>
      </c>
      <c r="AA136" s="8">
        <v>1</v>
      </c>
      <c r="AB136" s="8">
        <v>1</v>
      </c>
      <c r="AC136" s="8">
        <v>1</v>
      </c>
      <c r="AD136" s="8">
        <v>1</v>
      </c>
      <c r="AE136" s="8">
        <v>100</v>
      </c>
      <c r="AF136" s="6" t="s">
        <v>334</v>
      </c>
      <c r="AG136" s="6" t="s">
        <v>335</v>
      </c>
      <c r="AH136" s="6" t="s">
        <v>434</v>
      </c>
      <c r="AI136" s="6" t="s">
        <v>286</v>
      </c>
      <c r="AJ136" s="9">
        <v>40</v>
      </c>
      <c r="AK136" s="8">
        <v>40</v>
      </c>
      <c r="AL136" s="8">
        <v>40</v>
      </c>
      <c r="AM136" s="8">
        <v>40</v>
      </c>
      <c r="AN136" s="8">
        <v>40</v>
      </c>
      <c r="AO136" s="13">
        <v>40</v>
      </c>
      <c r="AP136" s="5"/>
    </row>
    <row r="137" spans="1:42">
      <c r="A137" s="12">
        <v>136</v>
      </c>
      <c r="B137" s="6" t="s">
        <v>735</v>
      </c>
      <c r="C137" s="6" t="s">
        <v>1814</v>
      </c>
      <c r="D137" s="6" t="s">
        <v>501</v>
      </c>
      <c r="E137" s="6" t="s">
        <v>86</v>
      </c>
      <c r="F137" s="7">
        <v>46014</v>
      </c>
      <c r="G137" s="6" t="s">
        <v>337</v>
      </c>
      <c r="H137" s="6" t="s">
        <v>94</v>
      </c>
      <c r="I137" s="6" t="s">
        <v>737</v>
      </c>
      <c r="J137" s="6" t="s">
        <v>90</v>
      </c>
      <c r="K137" s="6" t="s">
        <v>91</v>
      </c>
      <c r="L137" s="6" t="s">
        <v>92</v>
      </c>
      <c r="M137" s="6" t="s">
        <v>90</v>
      </c>
      <c r="N137" s="6" t="s">
        <v>94</v>
      </c>
      <c r="O137" s="6" t="s">
        <v>94</v>
      </c>
      <c r="P137" s="6" t="s">
        <v>131</v>
      </c>
      <c r="Q137" s="6" t="s">
        <v>104</v>
      </c>
      <c r="R137" s="6" t="s">
        <v>1643</v>
      </c>
      <c r="S137" s="6" t="s">
        <v>94</v>
      </c>
      <c r="T137" s="6" t="s">
        <v>94</v>
      </c>
      <c r="U137" s="6" t="s">
        <v>94</v>
      </c>
      <c r="V137" s="6" t="s">
        <v>94</v>
      </c>
      <c r="W137" s="6" t="s">
        <v>338</v>
      </c>
      <c r="X137" s="6" t="s">
        <v>1643</v>
      </c>
      <c r="Y137" s="6" t="s">
        <v>1643</v>
      </c>
      <c r="Z137" s="6" t="s">
        <v>1643</v>
      </c>
      <c r="AA137" s="8">
        <v>1</v>
      </c>
      <c r="AB137" s="8">
        <v>1</v>
      </c>
      <c r="AC137" s="8">
        <v>1</v>
      </c>
      <c r="AD137" s="8">
        <v>1</v>
      </c>
      <c r="AE137" s="8">
        <v>100</v>
      </c>
      <c r="AF137" s="6" t="s">
        <v>282</v>
      </c>
      <c r="AG137" s="6" t="s">
        <v>283</v>
      </c>
      <c r="AH137" s="6" t="s">
        <v>301</v>
      </c>
      <c r="AI137" s="6" t="s">
        <v>286</v>
      </c>
      <c r="AJ137" s="9">
        <v>40</v>
      </c>
      <c r="AK137" s="8">
        <v>40</v>
      </c>
      <c r="AL137" s="8">
        <v>40</v>
      </c>
      <c r="AM137" s="8">
        <v>40</v>
      </c>
      <c r="AN137" s="8">
        <v>40</v>
      </c>
      <c r="AO137" s="13">
        <v>40</v>
      </c>
      <c r="AP137" s="5"/>
    </row>
    <row r="138" spans="1:42">
      <c r="A138" s="12">
        <v>137</v>
      </c>
      <c r="B138" s="6" t="s">
        <v>738</v>
      </c>
      <c r="C138" s="6" t="s">
        <v>1815</v>
      </c>
      <c r="D138" s="6" t="s">
        <v>575</v>
      </c>
      <c r="E138" s="6" t="s">
        <v>86</v>
      </c>
      <c r="F138" s="7">
        <v>44719</v>
      </c>
      <c r="G138" s="6" t="s">
        <v>288</v>
      </c>
      <c r="H138" s="6" t="s">
        <v>389</v>
      </c>
      <c r="I138" s="6" t="s">
        <v>740</v>
      </c>
      <c r="J138" s="6" t="s">
        <v>90</v>
      </c>
      <c r="K138" s="6" t="s">
        <v>91</v>
      </c>
      <c r="L138" s="6" t="s">
        <v>92</v>
      </c>
      <c r="M138" s="6" t="s">
        <v>90</v>
      </c>
      <c r="N138" s="6" t="s">
        <v>675</v>
      </c>
      <c r="O138" s="6" t="s">
        <v>104</v>
      </c>
      <c r="P138" s="6" t="s">
        <v>136</v>
      </c>
      <c r="Q138" s="6" t="s">
        <v>104</v>
      </c>
      <c r="R138" s="6" t="s">
        <v>1643</v>
      </c>
      <c r="S138" s="6" t="s">
        <v>1702</v>
      </c>
      <c r="T138" s="6" t="s">
        <v>94</v>
      </c>
      <c r="U138" s="6" t="s">
        <v>94</v>
      </c>
      <c r="V138" s="6" t="s">
        <v>94</v>
      </c>
      <c r="W138" s="6" t="s">
        <v>291</v>
      </c>
      <c r="X138" s="6" t="s">
        <v>1643</v>
      </c>
      <c r="Y138" s="6" t="s">
        <v>1643</v>
      </c>
      <c r="Z138" s="6" t="s">
        <v>1643</v>
      </c>
      <c r="AA138" s="8">
        <v>1</v>
      </c>
      <c r="AB138" s="8">
        <v>1</v>
      </c>
      <c r="AC138" s="8">
        <v>1</v>
      </c>
      <c r="AD138" s="8">
        <v>1</v>
      </c>
      <c r="AE138" s="8">
        <v>100</v>
      </c>
      <c r="AF138" s="6" t="s">
        <v>334</v>
      </c>
      <c r="AG138" s="6" t="s">
        <v>335</v>
      </c>
      <c r="AH138" s="6" t="s">
        <v>501</v>
      </c>
      <c r="AI138" s="6" t="s">
        <v>286</v>
      </c>
      <c r="AJ138" s="9">
        <v>40</v>
      </c>
      <c r="AK138" s="8">
        <v>40</v>
      </c>
      <c r="AL138" s="8">
        <v>40</v>
      </c>
      <c r="AM138" s="8">
        <v>40</v>
      </c>
      <c r="AN138" s="8">
        <v>40</v>
      </c>
      <c r="AO138" s="13">
        <v>40</v>
      </c>
      <c r="AP138" s="5"/>
    </row>
    <row r="139" spans="1:42">
      <c r="A139" s="12">
        <v>138</v>
      </c>
      <c r="B139" s="6" t="s">
        <v>741</v>
      </c>
      <c r="C139" s="6" t="s">
        <v>1816</v>
      </c>
      <c r="D139" s="6" t="s">
        <v>341</v>
      </c>
      <c r="E139" s="6" t="s">
        <v>86</v>
      </c>
      <c r="F139" s="7">
        <v>45237</v>
      </c>
      <c r="G139" s="6" t="s">
        <v>111</v>
      </c>
      <c r="H139" s="6" t="s">
        <v>344</v>
      </c>
      <c r="I139" s="6" t="s">
        <v>743</v>
      </c>
      <c r="J139" s="6" t="s">
        <v>90</v>
      </c>
      <c r="K139" s="6" t="s">
        <v>91</v>
      </c>
      <c r="L139" s="6" t="s">
        <v>92</v>
      </c>
      <c r="M139" s="6" t="s">
        <v>90</v>
      </c>
      <c r="N139" s="6" t="s">
        <v>94</v>
      </c>
      <c r="O139" s="6" t="s">
        <v>94</v>
      </c>
      <c r="P139" s="6" t="s">
        <v>131</v>
      </c>
      <c r="Q139" s="6" t="s">
        <v>122</v>
      </c>
      <c r="R139" s="6" t="s">
        <v>1643</v>
      </c>
      <c r="S139" s="6" t="s">
        <v>1817</v>
      </c>
      <c r="T139" s="6" t="s">
        <v>94</v>
      </c>
      <c r="U139" s="6" t="s">
        <v>94</v>
      </c>
      <c r="V139" s="6" t="s">
        <v>94</v>
      </c>
      <c r="W139" s="6" t="s">
        <v>281</v>
      </c>
      <c r="X139" s="6" t="s">
        <v>1643</v>
      </c>
      <c r="Y139" s="6" t="s">
        <v>1643</v>
      </c>
      <c r="Z139" s="6" t="s">
        <v>1643</v>
      </c>
      <c r="AA139" s="8">
        <v>1</v>
      </c>
      <c r="AB139" s="8">
        <v>1</v>
      </c>
      <c r="AC139" s="8">
        <v>1</v>
      </c>
      <c r="AD139" s="8">
        <v>1</v>
      </c>
      <c r="AE139" s="8">
        <v>100</v>
      </c>
      <c r="AF139" s="6" t="s">
        <v>282</v>
      </c>
      <c r="AG139" s="6" t="s">
        <v>283</v>
      </c>
      <c r="AH139" s="6" t="s">
        <v>575</v>
      </c>
      <c r="AI139" s="6" t="s">
        <v>286</v>
      </c>
      <c r="AJ139" s="9">
        <v>40</v>
      </c>
      <c r="AK139" s="8">
        <v>40</v>
      </c>
      <c r="AL139" s="8">
        <v>40</v>
      </c>
      <c r="AM139" s="8">
        <v>40</v>
      </c>
      <c r="AN139" s="8">
        <v>40</v>
      </c>
      <c r="AO139" s="13">
        <v>40</v>
      </c>
      <c r="AP139" s="5"/>
    </row>
    <row r="140" spans="1:42">
      <c r="A140" s="12">
        <v>139</v>
      </c>
      <c r="B140" s="6" t="s">
        <v>744</v>
      </c>
      <c r="C140" s="6" t="s">
        <v>1818</v>
      </c>
      <c r="D140" s="6" t="s">
        <v>348</v>
      </c>
      <c r="E140" s="6" t="s">
        <v>86</v>
      </c>
      <c r="F140" s="7">
        <v>46069</v>
      </c>
      <c r="G140" s="6" t="s">
        <v>337</v>
      </c>
      <c r="H140" s="6" t="s">
        <v>94</v>
      </c>
      <c r="I140" s="6" t="s">
        <v>746</v>
      </c>
      <c r="J140" s="6" t="s">
        <v>90</v>
      </c>
      <c r="K140" s="6" t="s">
        <v>91</v>
      </c>
      <c r="L140" s="6" t="s">
        <v>92</v>
      </c>
      <c r="M140" s="6" t="s">
        <v>90</v>
      </c>
      <c r="N140" s="6" t="s">
        <v>94</v>
      </c>
      <c r="O140" s="6" t="s">
        <v>94</v>
      </c>
      <c r="P140" s="6" t="s">
        <v>131</v>
      </c>
      <c r="Q140" s="6" t="s">
        <v>104</v>
      </c>
      <c r="R140" s="6" t="s">
        <v>1643</v>
      </c>
      <c r="S140" s="6" t="s">
        <v>94</v>
      </c>
      <c r="T140" s="6" t="s">
        <v>94</v>
      </c>
      <c r="U140" s="6" t="s">
        <v>94</v>
      </c>
      <c r="V140" s="6" t="s">
        <v>94</v>
      </c>
      <c r="W140" s="6" t="s">
        <v>338</v>
      </c>
      <c r="X140" s="6" t="s">
        <v>1643</v>
      </c>
      <c r="Y140" s="6" t="s">
        <v>1643</v>
      </c>
      <c r="Z140" s="6" t="s">
        <v>1652</v>
      </c>
      <c r="AA140" s="8">
        <v>1</v>
      </c>
      <c r="AB140" s="8">
        <v>1</v>
      </c>
      <c r="AC140" s="8">
        <v>1</v>
      </c>
      <c r="AD140" s="8">
        <v>0</v>
      </c>
      <c r="AE140" s="8">
        <v>100</v>
      </c>
      <c r="AF140" s="6" t="s">
        <v>282</v>
      </c>
      <c r="AG140" s="6" t="s">
        <v>283</v>
      </c>
      <c r="AH140" s="6" t="s">
        <v>341</v>
      </c>
      <c r="AI140" s="6" t="s">
        <v>286</v>
      </c>
      <c r="AJ140" s="9">
        <v>40</v>
      </c>
      <c r="AK140" s="8">
        <v>40</v>
      </c>
      <c r="AL140" s="8">
        <v>40</v>
      </c>
      <c r="AM140" s="8">
        <v>40</v>
      </c>
      <c r="AN140" s="8">
        <v>40</v>
      </c>
      <c r="AO140" s="13">
        <v>40</v>
      </c>
      <c r="AP140" s="5"/>
    </row>
    <row r="141" spans="1:42">
      <c r="A141" s="12">
        <v>140</v>
      </c>
      <c r="B141" s="6" t="s">
        <v>747</v>
      </c>
      <c r="C141" s="6" t="s">
        <v>1819</v>
      </c>
      <c r="D141" s="6" t="s">
        <v>323</v>
      </c>
      <c r="E141" s="6" t="s">
        <v>86</v>
      </c>
      <c r="F141" s="7">
        <v>44309</v>
      </c>
      <c r="G141" s="6" t="s">
        <v>111</v>
      </c>
      <c r="H141" s="6" t="s">
        <v>101</v>
      </c>
      <c r="I141" s="6" t="s">
        <v>749</v>
      </c>
      <c r="J141" s="6" t="s">
        <v>90</v>
      </c>
      <c r="K141" s="6" t="s">
        <v>91</v>
      </c>
      <c r="L141" s="6" t="s">
        <v>92</v>
      </c>
      <c r="M141" s="6" t="s">
        <v>90</v>
      </c>
      <c r="N141" s="6" t="s">
        <v>675</v>
      </c>
      <c r="O141" s="6" t="s">
        <v>122</v>
      </c>
      <c r="P141" s="6" t="s">
        <v>550</v>
      </c>
      <c r="Q141" s="6" t="s">
        <v>95</v>
      </c>
      <c r="R141" s="6" t="s">
        <v>1643</v>
      </c>
      <c r="S141" s="6" t="s">
        <v>94</v>
      </c>
      <c r="T141" s="6" t="s">
        <v>94</v>
      </c>
      <c r="U141" s="6" t="s">
        <v>94</v>
      </c>
      <c r="V141" s="6" t="s">
        <v>94</v>
      </c>
      <c r="W141" s="6" t="s">
        <v>418</v>
      </c>
      <c r="X141" s="6" t="s">
        <v>1643</v>
      </c>
      <c r="Y141" s="6" t="s">
        <v>1643</v>
      </c>
      <c r="Z141" s="6" t="s">
        <v>1643</v>
      </c>
      <c r="AA141" s="8">
        <v>1</v>
      </c>
      <c r="AB141" s="8">
        <v>1</v>
      </c>
      <c r="AC141" s="8">
        <v>1</v>
      </c>
      <c r="AD141" s="8">
        <v>1</v>
      </c>
      <c r="AE141" s="8">
        <v>100</v>
      </c>
      <c r="AF141" s="6" t="s">
        <v>351</v>
      </c>
      <c r="AG141" s="6" t="s">
        <v>283</v>
      </c>
      <c r="AH141" s="6" t="s">
        <v>348</v>
      </c>
      <c r="AI141" s="6" t="s">
        <v>286</v>
      </c>
      <c r="AJ141" s="9">
        <v>40</v>
      </c>
      <c r="AK141" s="8">
        <v>40</v>
      </c>
      <c r="AL141" s="8">
        <v>40</v>
      </c>
      <c r="AM141" s="8">
        <v>40</v>
      </c>
      <c r="AN141" s="8">
        <v>40</v>
      </c>
      <c r="AO141" s="13">
        <v>40</v>
      </c>
      <c r="AP141" s="5"/>
    </row>
    <row r="142" spans="1:42">
      <c r="A142" s="12">
        <v>141</v>
      </c>
      <c r="B142" s="6" t="s">
        <v>750</v>
      </c>
      <c r="C142" s="6" t="s">
        <v>1820</v>
      </c>
      <c r="D142" s="6" t="s">
        <v>348</v>
      </c>
      <c r="E142" s="6" t="s">
        <v>86</v>
      </c>
      <c r="F142" s="7">
        <v>43101</v>
      </c>
      <c r="G142" s="6" t="s">
        <v>14</v>
      </c>
      <c r="H142" s="6" t="s">
        <v>120</v>
      </c>
      <c r="I142" s="6" t="s">
        <v>752</v>
      </c>
      <c r="J142" s="6" t="s">
        <v>90</v>
      </c>
      <c r="K142" s="6" t="s">
        <v>91</v>
      </c>
      <c r="L142" s="6" t="s">
        <v>92</v>
      </c>
      <c r="M142" s="6" t="s">
        <v>90</v>
      </c>
      <c r="N142" s="6" t="s">
        <v>346</v>
      </c>
      <c r="O142" s="6" t="s">
        <v>95</v>
      </c>
      <c r="P142" s="6" t="s">
        <v>346</v>
      </c>
      <c r="Q142" s="6" t="s">
        <v>122</v>
      </c>
      <c r="R142" s="6" t="s">
        <v>1643</v>
      </c>
      <c r="S142" s="6" t="s">
        <v>1821</v>
      </c>
      <c r="T142" s="6" t="s">
        <v>94</v>
      </c>
      <c r="U142" s="6" t="s">
        <v>94</v>
      </c>
      <c r="V142" s="6" t="s">
        <v>94</v>
      </c>
      <c r="W142" s="6" t="s">
        <v>422</v>
      </c>
      <c r="X142" s="6" t="s">
        <v>1643</v>
      </c>
      <c r="Y142" s="6" t="s">
        <v>1643</v>
      </c>
      <c r="Z142" s="6" t="s">
        <v>1643</v>
      </c>
      <c r="AA142" s="8">
        <v>1</v>
      </c>
      <c r="AB142" s="8">
        <v>1</v>
      </c>
      <c r="AC142" s="8">
        <v>1</v>
      </c>
      <c r="AD142" s="8">
        <v>1</v>
      </c>
      <c r="AE142" s="8">
        <v>0</v>
      </c>
      <c r="AF142" s="6" t="s">
        <v>326</v>
      </c>
      <c r="AG142" s="6" t="s">
        <v>283</v>
      </c>
      <c r="AH142" s="6" t="s">
        <v>323</v>
      </c>
      <c r="AI142" s="6" t="s">
        <v>286</v>
      </c>
      <c r="AJ142" s="9">
        <v>40</v>
      </c>
      <c r="AK142" s="8">
        <v>40</v>
      </c>
      <c r="AL142" s="8">
        <v>40</v>
      </c>
      <c r="AM142" s="8">
        <v>40</v>
      </c>
      <c r="AN142" s="8">
        <v>40</v>
      </c>
      <c r="AO142" s="13">
        <v>40</v>
      </c>
      <c r="AP142" s="5"/>
    </row>
    <row r="143" spans="1:42">
      <c r="A143" s="12">
        <v>142</v>
      </c>
      <c r="B143" s="6" t="s">
        <v>753</v>
      </c>
      <c r="C143" s="6" t="s">
        <v>1822</v>
      </c>
      <c r="D143" s="6" t="s">
        <v>305</v>
      </c>
      <c r="E143" s="6" t="s">
        <v>86</v>
      </c>
      <c r="F143" s="7">
        <v>44728</v>
      </c>
      <c r="G143" s="6" t="s">
        <v>111</v>
      </c>
      <c r="H143" s="6" t="s">
        <v>311</v>
      </c>
      <c r="I143" s="6" t="s">
        <v>755</v>
      </c>
      <c r="J143" s="6" t="s">
        <v>90</v>
      </c>
      <c r="K143" s="6" t="s">
        <v>91</v>
      </c>
      <c r="L143" s="6" t="s">
        <v>92</v>
      </c>
      <c r="M143" s="6" t="s">
        <v>90</v>
      </c>
      <c r="N143" s="6" t="s">
        <v>675</v>
      </c>
      <c r="O143" s="6" t="s">
        <v>95</v>
      </c>
      <c r="P143" s="6" t="s">
        <v>550</v>
      </c>
      <c r="Q143" s="6" t="s">
        <v>95</v>
      </c>
      <c r="R143" s="6" t="s">
        <v>1643</v>
      </c>
      <c r="S143" s="6" t="s">
        <v>1823</v>
      </c>
      <c r="T143" s="6" t="s">
        <v>94</v>
      </c>
      <c r="U143" s="6" t="s">
        <v>94</v>
      </c>
      <c r="V143" s="6" t="s">
        <v>94</v>
      </c>
      <c r="W143" s="6" t="s">
        <v>281</v>
      </c>
      <c r="X143" s="6" t="s">
        <v>1643</v>
      </c>
      <c r="Y143" s="6" t="s">
        <v>1643</v>
      </c>
      <c r="Z143" s="6" t="s">
        <v>1643</v>
      </c>
      <c r="AA143" s="8">
        <v>1</v>
      </c>
      <c r="AB143" s="8">
        <v>1</v>
      </c>
      <c r="AC143" s="8">
        <v>1</v>
      </c>
      <c r="AD143" s="8">
        <v>1</v>
      </c>
      <c r="AE143" s="8">
        <v>100</v>
      </c>
      <c r="AF143" s="6" t="s">
        <v>351</v>
      </c>
      <c r="AG143" s="6" t="s">
        <v>283</v>
      </c>
      <c r="AH143" s="6" t="s">
        <v>348</v>
      </c>
      <c r="AI143" s="6" t="s">
        <v>286</v>
      </c>
      <c r="AJ143" s="9">
        <v>40</v>
      </c>
      <c r="AK143" s="8">
        <v>40</v>
      </c>
      <c r="AL143" s="8">
        <v>40</v>
      </c>
      <c r="AM143" s="8">
        <v>40</v>
      </c>
      <c r="AN143" s="8">
        <v>40</v>
      </c>
      <c r="AO143" s="13">
        <v>40</v>
      </c>
      <c r="AP143" s="5"/>
    </row>
    <row r="144" spans="1:42">
      <c r="A144" s="12">
        <v>143</v>
      </c>
      <c r="B144" s="6" t="s">
        <v>756</v>
      </c>
      <c r="C144" s="6" t="s">
        <v>1824</v>
      </c>
      <c r="D144" s="6" t="s">
        <v>305</v>
      </c>
      <c r="E144" s="6" t="s">
        <v>86</v>
      </c>
      <c r="F144" s="7">
        <v>46189</v>
      </c>
      <c r="G144" s="6" t="s">
        <v>337</v>
      </c>
      <c r="H144" s="6" t="s">
        <v>94</v>
      </c>
      <c r="I144" s="6" t="s">
        <v>94</v>
      </c>
      <c r="J144" s="6" t="s">
        <v>90</v>
      </c>
      <c r="K144" s="6" t="s">
        <v>91</v>
      </c>
      <c r="L144" s="6" t="s">
        <v>92</v>
      </c>
      <c r="M144" s="6" t="s">
        <v>90</v>
      </c>
      <c r="N144" s="6" t="s">
        <v>94</v>
      </c>
      <c r="O144" s="6" t="s">
        <v>94</v>
      </c>
      <c r="P144" s="6" t="s">
        <v>131</v>
      </c>
      <c r="Q144" s="6" t="s">
        <v>104</v>
      </c>
      <c r="R144" s="6" t="s">
        <v>1643</v>
      </c>
      <c r="S144" s="6" t="s">
        <v>94</v>
      </c>
      <c r="T144" s="6" t="s">
        <v>94</v>
      </c>
      <c r="U144" s="6" t="s">
        <v>94</v>
      </c>
      <c r="V144" s="6" t="s">
        <v>94</v>
      </c>
      <c r="W144" s="6" t="s">
        <v>338</v>
      </c>
      <c r="X144" s="6" t="s">
        <v>1643</v>
      </c>
      <c r="Y144" s="6" t="s">
        <v>1643</v>
      </c>
      <c r="Z144" s="6" t="s">
        <v>1643</v>
      </c>
      <c r="AA144" s="8">
        <v>1</v>
      </c>
      <c r="AB144" s="8">
        <v>1</v>
      </c>
      <c r="AC144" s="8">
        <v>1</v>
      </c>
      <c r="AD144" s="8">
        <v>1</v>
      </c>
      <c r="AE144" s="8">
        <v>100</v>
      </c>
      <c r="AF144" s="6" t="s">
        <v>308</v>
      </c>
      <c r="AG144" s="6" t="s">
        <v>283</v>
      </c>
      <c r="AH144" s="6" t="s">
        <v>305</v>
      </c>
      <c r="AI144" s="6" t="s">
        <v>286</v>
      </c>
      <c r="AJ144" s="9">
        <v>40</v>
      </c>
      <c r="AK144" s="8">
        <v>40</v>
      </c>
      <c r="AL144" s="8">
        <v>40</v>
      </c>
      <c r="AM144" s="8">
        <v>40</v>
      </c>
      <c r="AN144" s="8">
        <v>40</v>
      </c>
      <c r="AO144" s="13">
        <v>40</v>
      </c>
      <c r="AP144" s="5"/>
    </row>
    <row r="145" spans="1:42">
      <c r="A145" s="12">
        <v>144</v>
      </c>
      <c r="B145" s="6" t="s">
        <v>758</v>
      </c>
      <c r="C145" s="6" t="s">
        <v>1825</v>
      </c>
      <c r="D145" s="6" t="s">
        <v>501</v>
      </c>
      <c r="E145" s="6" t="s">
        <v>86</v>
      </c>
      <c r="F145" s="7">
        <v>44866</v>
      </c>
      <c r="G145" s="6" t="s">
        <v>288</v>
      </c>
      <c r="H145" s="6" t="s">
        <v>107</v>
      </c>
      <c r="I145" s="6" t="s">
        <v>760</v>
      </c>
      <c r="J145" s="6" t="s">
        <v>90</v>
      </c>
      <c r="K145" s="6" t="s">
        <v>91</v>
      </c>
      <c r="L145" s="6" t="s">
        <v>92</v>
      </c>
      <c r="M145" s="6" t="s">
        <v>90</v>
      </c>
      <c r="N145" s="6" t="s">
        <v>131</v>
      </c>
      <c r="O145" s="6" t="s">
        <v>104</v>
      </c>
      <c r="P145" s="6" t="s">
        <v>131</v>
      </c>
      <c r="Q145" s="6" t="s">
        <v>95</v>
      </c>
      <c r="R145" s="6" t="s">
        <v>1643</v>
      </c>
      <c r="S145" s="6" t="s">
        <v>1793</v>
      </c>
      <c r="T145" s="6" t="s">
        <v>94</v>
      </c>
      <c r="U145" s="6" t="s">
        <v>94</v>
      </c>
      <c r="V145" s="6" t="s">
        <v>94</v>
      </c>
      <c r="W145" s="6" t="s">
        <v>291</v>
      </c>
      <c r="X145" s="6" t="s">
        <v>1643</v>
      </c>
      <c r="Y145" s="6" t="s">
        <v>1643</v>
      </c>
      <c r="Z145" s="6" t="s">
        <v>1643</v>
      </c>
      <c r="AA145" s="8">
        <v>1</v>
      </c>
      <c r="AB145" s="8">
        <v>1</v>
      </c>
      <c r="AC145" s="8">
        <v>1</v>
      </c>
      <c r="AD145" s="8">
        <v>1</v>
      </c>
      <c r="AE145" s="8">
        <v>100</v>
      </c>
      <c r="AF145" s="6" t="s">
        <v>308</v>
      </c>
      <c r="AG145" s="6" t="s">
        <v>283</v>
      </c>
      <c r="AH145" s="6" t="s">
        <v>305</v>
      </c>
      <c r="AI145" s="6" t="s">
        <v>286</v>
      </c>
      <c r="AJ145" s="9">
        <v>40</v>
      </c>
      <c r="AK145" s="8">
        <v>40</v>
      </c>
      <c r="AL145" s="8">
        <v>40</v>
      </c>
      <c r="AM145" s="8">
        <v>40</v>
      </c>
      <c r="AN145" s="8">
        <v>40</v>
      </c>
      <c r="AO145" s="13">
        <v>40</v>
      </c>
      <c r="AP145" s="5"/>
    </row>
    <row r="146" spans="1:42">
      <c r="A146" s="12">
        <v>145</v>
      </c>
      <c r="B146" s="6" t="s">
        <v>761</v>
      </c>
      <c r="C146" s="6" t="s">
        <v>1826</v>
      </c>
      <c r="D146" s="6" t="s">
        <v>763</v>
      </c>
      <c r="E146" s="6" t="s">
        <v>86</v>
      </c>
      <c r="F146" s="7">
        <v>45673</v>
      </c>
      <c r="G146" s="6" t="s">
        <v>337</v>
      </c>
      <c r="H146" s="6" t="s">
        <v>94</v>
      </c>
      <c r="I146" s="6" t="s">
        <v>333</v>
      </c>
      <c r="J146" s="6" t="s">
        <v>90</v>
      </c>
      <c r="K146" s="6" t="s">
        <v>91</v>
      </c>
      <c r="L146" s="6" t="s">
        <v>92</v>
      </c>
      <c r="M146" s="6" t="s">
        <v>90</v>
      </c>
      <c r="N146" s="6" t="s">
        <v>94</v>
      </c>
      <c r="O146" s="6" t="s">
        <v>94</v>
      </c>
      <c r="P146" s="6" t="s">
        <v>136</v>
      </c>
      <c r="Q146" s="6" t="s">
        <v>104</v>
      </c>
      <c r="R146" s="6" t="s">
        <v>1643</v>
      </c>
      <c r="S146" s="6" t="s">
        <v>1827</v>
      </c>
      <c r="T146" s="6" t="s">
        <v>94</v>
      </c>
      <c r="U146" s="6" t="s">
        <v>94</v>
      </c>
      <c r="V146" s="6" t="s">
        <v>94</v>
      </c>
      <c r="W146" s="6" t="s">
        <v>338</v>
      </c>
      <c r="X146" s="6" t="s">
        <v>1643</v>
      </c>
      <c r="Y146" s="6" t="s">
        <v>1643</v>
      </c>
      <c r="Z146" s="6" t="s">
        <v>1643</v>
      </c>
      <c r="AA146" s="8">
        <v>1</v>
      </c>
      <c r="AB146" s="8">
        <v>1</v>
      </c>
      <c r="AC146" s="8">
        <v>1</v>
      </c>
      <c r="AD146" s="8">
        <v>1</v>
      </c>
      <c r="AE146" s="8">
        <v>100</v>
      </c>
      <c r="AF146" s="6" t="s">
        <v>334</v>
      </c>
      <c r="AG146" s="6" t="s">
        <v>335</v>
      </c>
      <c r="AH146" s="6" t="s">
        <v>501</v>
      </c>
      <c r="AI146" s="6" t="s">
        <v>286</v>
      </c>
      <c r="AJ146" s="9">
        <v>40</v>
      </c>
      <c r="AK146" s="8">
        <v>40</v>
      </c>
      <c r="AL146" s="8">
        <v>40</v>
      </c>
      <c r="AM146" s="8">
        <v>40</v>
      </c>
      <c r="AN146" s="8">
        <v>40</v>
      </c>
      <c r="AO146" s="13">
        <v>40</v>
      </c>
      <c r="AP146" s="5"/>
    </row>
    <row r="147" spans="1:42">
      <c r="A147" s="12">
        <v>146</v>
      </c>
      <c r="B147" s="6" t="s">
        <v>764</v>
      </c>
      <c r="C147" s="6" t="s">
        <v>1828</v>
      </c>
      <c r="D147" s="6" t="s">
        <v>378</v>
      </c>
      <c r="E147" s="6" t="s">
        <v>86</v>
      </c>
      <c r="F147" s="7">
        <v>44827</v>
      </c>
      <c r="G147" s="6" t="s">
        <v>288</v>
      </c>
      <c r="H147" s="6" t="s">
        <v>252</v>
      </c>
      <c r="I147" s="6" t="s">
        <v>766</v>
      </c>
      <c r="J147" s="6" t="s">
        <v>90</v>
      </c>
      <c r="K147" s="6" t="s">
        <v>91</v>
      </c>
      <c r="L147" s="6" t="s">
        <v>92</v>
      </c>
      <c r="M147" s="6" t="s">
        <v>90</v>
      </c>
      <c r="N147" s="6" t="s">
        <v>432</v>
      </c>
      <c r="O147" s="6" t="s">
        <v>94</v>
      </c>
      <c r="P147" s="6" t="s">
        <v>438</v>
      </c>
      <c r="Q147" s="6" t="s">
        <v>95</v>
      </c>
      <c r="R147" s="6" t="s">
        <v>1643</v>
      </c>
      <c r="S147" s="6" t="s">
        <v>94</v>
      </c>
      <c r="T147" s="6" t="s">
        <v>94</v>
      </c>
      <c r="U147" s="6" t="s">
        <v>94</v>
      </c>
      <c r="V147" s="6" t="s">
        <v>94</v>
      </c>
      <c r="W147" s="6" t="s">
        <v>291</v>
      </c>
      <c r="X147" s="6" t="s">
        <v>1643</v>
      </c>
      <c r="Y147" s="6" t="s">
        <v>1643</v>
      </c>
      <c r="Z147" s="6" t="s">
        <v>1643</v>
      </c>
      <c r="AA147" s="8">
        <v>1</v>
      </c>
      <c r="AB147" s="8">
        <v>1</v>
      </c>
      <c r="AC147" s="8">
        <v>1</v>
      </c>
      <c r="AD147" s="8">
        <v>1</v>
      </c>
      <c r="AE147" s="8">
        <v>100</v>
      </c>
      <c r="AF147" s="6" t="s">
        <v>334</v>
      </c>
      <c r="AG147" s="6" t="s">
        <v>335</v>
      </c>
      <c r="AH147" s="6" t="s">
        <v>763</v>
      </c>
      <c r="AI147" s="6" t="s">
        <v>286</v>
      </c>
      <c r="AJ147" s="9">
        <v>40</v>
      </c>
      <c r="AK147" s="8">
        <v>40</v>
      </c>
      <c r="AL147" s="8">
        <v>40</v>
      </c>
      <c r="AM147" s="8">
        <v>40</v>
      </c>
      <c r="AN147" s="8">
        <v>40</v>
      </c>
      <c r="AO147" s="13">
        <v>40</v>
      </c>
      <c r="AP147" s="5"/>
    </row>
    <row r="148" spans="1:42">
      <c r="A148" s="12">
        <v>147</v>
      </c>
      <c r="B148" s="6" t="s">
        <v>767</v>
      </c>
      <c r="C148" s="6" t="s">
        <v>1829</v>
      </c>
      <c r="D148" s="6" t="s">
        <v>771</v>
      </c>
      <c r="E148" s="6" t="s">
        <v>86</v>
      </c>
      <c r="F148" s="7">
        <v>45053</v>
      </c>
      <c r="G148" s="6" t="s">
        <v>26</v>
      </c>
      <c r="H148" s="6" t="s">
        <v>769</v>
      </c>
      <c r="I148" s="6" t="s">
        <v>770</v>
      </c>
      <c r="J148" s="6" t="s">
        <v>90</v>
      </c>
      <c r="K148" s="6" t="s">
        <v>91</v>
      </c>
      <c r="L148" s="6" t="s">
        <v>92</v>
      </c>
      <c r="M148" s="6" t="s">
        <v>90</v>
      </c>
      <c r="N148" s="6" t="s">
        <v>27</v>
      </c>
      <c r="O148" s="6" t="s">
        <v>94</v>
      </c>
      <c r="P148" s="6" t="s">
        <v>27</v>
      </c>
      <c r="Q148" s="6" t="s">
        <v>95</v>
      </c>
      <c r="R148" s="6" t="s">
        <v>1643</v>
      </c>
      <c r="S148" s="6" t="s">
        <v>94</v>
      </c>
      <c r="T148" s="6" t="s">
        <v>94</v>
      </c>
      <c r="U148" s="6" t="s">
        <v>94</v>
      </c>
      <c r="V148" s="6" t="s">
        <v>94</v>
      </c>
      <c r="W148" s="6" t="s">
        <v>296</v>
      </c>
      <c r="X148" s="6" t="s">
        <v>1643</v>
      </c>
      <c r="Y148" s="6" t="s">
        <v>1643</v>
      </c>
      <c r="Z148" s="6" t="s">
        <v>1643</v>
      </c>
      <c r="AA148" s="8">
        <v>1</v>
      </c>
      <c r="AB148" s="8">
        <v>1</v>
      </c>
      <c r="AC148" s="8">
        <v>1</v>
      </c>
      <c r="AD148" s="8">
        <v>1</v>
      </c>
      <c r="AE148" s="8">
        <v>100</v>
      </c>
      <c r="AF148" s="6" t="s">
        <v>381</v>
      </c>
      <c r="AG148" s="6" t="s">
        <v>283</v>
      </c>
      <c r="AH148" s="6" t="s">
        <v>378</v>
      </c>
      <c r="AI148" s="6" t="s">
        <v>286</v>
      </c>
      <c r="AJ148" s="9">
        <v>40</v>
      </c>
      <c r="AK148" s="8">
        <v>40</v>
      </c>
      <c r="AL148" s="8">
        <v>40</v>
      </c>
      <c r="AM148" s="8">
        <v>40</v>
      </c>
      <c r="AN148" s="8">
        <v>40</v>
      </c>
      <c r="AO148" s="13">
        <v>40</v>
      </c>
      <c r="AP148" s="5"/>
    </row>
    <row r="149" spans="1:42">
      <c r="A149" s="12">
        <v>148</v>
      </c>
      <c r="B149" s="6" t="s">
        <v>772</v>
      </c>
      <c r="C149" s="6" t="s">
        <v>1830</v>
      </c>
      <c r="D149" s="6" t="s">
        <v>387</v>
      </c>
      <c r="E149" s="6" t="s">
        <v>251</v>
      </c>
      <c r="F149" s="7">
        <v>46235</v>
      </c>
      <c r="G149" s="6" t="s">
        <v>111</v>
      </c>
      <c r="H149" s="6" t="s">
        <v>94</v>
      </c>
      <c r="I149" s="6" t="s">
        <v>94</v>
      </c>
      <c r="J149" s="6" t="s">
        <v>90</v>
      </c>
      <c r="K149" s="6" t="s">
        <v>91</v>
      </c>
      <c r="L149" s="6" t="s">
        <v>92</v>
      </c>
      <c r="M149" s="6" t="s">
        <v>90</v>
      </c>
      <c r="N149" s="6" t="s">
        <v>94</v>
      </c>
      <c r="O149" s="6" t="s">
        <v>94</v>
      </c>
      <c r="P149" s="6" t="s">
        <v>94</v>
      </c>
      <c r="Q149" s="6" t="s">
        <v>94</v>
      </c>
      <c r="R149" s="6" t="s">
        <v>1643</v>
      </c>
      <c r="S149" s="6" t="s">
        <v>1831</v>
      </c>
      <c r="T149" s="6" t="s">
        <v>94</v>
      </c>
      <c r="U149" s="6" t="s">
        <v>94</v>
      </c>
      <c r="V149" s="6" t="s">
        <v>94</v>
      </c>
      <c r="W149" s="6" t="s">
        <v>418</v>
      </c>
      <c r="X149" s="6" t="s">
        <v>1652</v>
      </c>
      <c r="Y149" s="6" t="s">
        <v>1652</v>
      </c>
      <c r="Z149" s="6" t="s">
        <v>1652</v>
      </c>
      <c r="AA149" s="8">
        <v>1</v>
      </c>
      <c r="AB149" s="8">
        <v>0</v>
      </c>
      <c r="AC149" s="8">
        <v>0</v>
      </c>
      <c r="AD149" s="8">
        <v>0</v>
      </c>
      <c r="AE149" s="8">
        <v>95.238095239999993</v>
      </c>
      <c r="AF149" s="6" t="s">
        <v>446</v>
      </c>
      <c r="AG149" s="6" t="s">
        <v>774</v>
      </c>
      <c r="AH149" s="6" t="s">
        <v>771</v>
      </c>
      <c r="AI149" s="6" t="s">
        <v>448</v>
      </c>
      <c r="AJ149" s="9">
        <v>40</v>
      </c>
      <c r="AK149" s="8">
        <v>40</v>
      </c>
      <c r="AL149" s="8">
        <v>8</v>
      </c>
      <c r="AM149" s="8">
        <v>0</v>
      </c>
      <c r="AN149" s="8">
        <v>0</v>
      </c>
      <c r="AO149" s="13">
        <v>0</v>
      </c>
      <c r="AP149" s="5"/>
    </row>
    <row r="150" spans="1:42">
      <c r="A150" s="12">
        <v>149</v>
      </c>
      <c r="B150" s="6" t="s">
        <v>775</v>
      </c>
      <c r="C150" s="6" t="s">
        <v>1832</v>
      </c>
      <c r="D150" s="6" t="s">
        <v>354</v>
      </c>
      <c r="E150" s="6" t="s">
        <v>86</v>
      </c>
      <c r="F150" s="7">
        <v>44973</v>
      </c>
      <c r="G150" s="6" t="s">
        <v>26</v>
      </c>
      <c r="H150" s="6" t="s">
        <v>94</v>
      </c>
      <c r="I150" s="6" t="s">
        <v>777</v>
      </c>
      <c r="J150" s="6" t="s">
        <v>90</v>
      </c>
      <c r="K150" s="6" t="s">
        <v>91</v>
      </c>
      <c r="L150" s="6" t="s">
        <v>92</v>
      </c>
      <c r="M150" s="6" t="s">
        <v>90</v>
      </c>
      <c r="N150" s="6" t="s">
        <v>27</v>
      </c>
      <c r="O150" s="6" t="s">
        <v>104</v>
      </c>
      <c r="P150" s="6" t="s">
        <v>136</v>
      </c>
      <c r="Q150" s="6" t="s">
        <v>95</v>
      </c>
      <c r="R150" s="6" t="s">
        <v>1643</v>
      </c>
      <c r="S150" s="6" t="s">
        <v>94</v>
      </c>
      <c r="T150" s="6" t="s">
        <v>94</v>
      </c>
      <c r="U150" s="6" t="s">
        <v>94</v>
      </c>
      <c r="V150" s="6" t="s">
        <v>94</v>
      </c>
      <c r="W150" s="6" t="s">
        <v>296</v>
      </c>
      <c r="X150" s="6" t="s">
        <v>1643</v>
      </c>
      <c r="Y150" s="6" t="s">
        <v>1643</v>
      </c>
      <c r="Z150" s="6" t="s">
        <v>1643</v>
      </c>
      <c r="AA150" s="8">
        <v>1</v>
      </c>
      <c r="AB150" s="8">
        <v>1</v>
      </c>
      <c r="AC150" s="8">
        <v>1</v>
      </c>
      <c r="AD150" s="8">
        <v>1</v>
      </c>
      <c r="AE150" s="8">
        <v>100</v>
      </c>
      <c r="AF150" s="6" t="s">
        <v>391</v>
      </c>
      <c r="AG150" s="6" t="s">
        <v>386</v>
      </c>
      <c r="AH150" s="6" t="s">
        <v>387</v>
      </c>
      <c r="AI150" s="6" t="s">
        <v>286</v>
      </c>
      <c r="AJ150" s="9">
        <v>40</v>
      </c>
      <c r="AK150" s="8">
        <v>40</v>
      </c>
      <c r="AL150" s="8">
        <v>40</v>
      </c>
      <c r="AM150" s="8">
        <v>40</v>
      </c>
      <c r="AN150" s="8">
        <v>40</v>
      </c>
      <c r="AO150" s="13">
        <v>40</v>
      </c>
      <c r="AP150" s="5"/>
    </row>
    <row r="151" spans="1:42">
      <c r="A151" s="12">
        <v>150</v>
      </c>
      <c r="B151" s="6" t="s">
        <v>778</v>
      </c>
      <c r="C151" s="6" t="s">
        <v>1833</v>
      </c>
      <c r="D151" s="6" t="s">
        <v>318</v>
      </c>
      <c r="E151" s="6" t="s">
        <v>86</v>
      </c>
      <c r="F151" s="7">
        <v>43745</v>
      </c>
      <c r="G151" s="6" t="s">
        <v>100</v>
      </c>
      <c r="H151" s="6" t="s">
        <v>526</v>
      </c>
      <c r="I151" s="6" t="s">
        <v>780</v>
      </c>
      <c r="J151" s="6" t="s">
        <v>90</v>
      </c>
      <c r="K151" s="6" t="s">
        <v>91</v>
      </c>
      <c r="L151" s="6" t="s">
        <v>92</v>
      </c>
      <c r="M151" s="6" t="s">
        <v>90</v>
      </c>
      <c r="N151" s="6" t="s">
        <v>416</v>
      </c>
      <c r="O151" s="6" t="s">
        <v>94</v>
      </c>
      <c r="P151" s="6" t="s">
        <v>93</v>
      </c>
      <c r="Q151" s="6" t="s">
        <v>104</v>
      </c>
      <c r="R151" s="6" t="s">
        <v>1643</v>
      </c>
      <c r="S151" s="6" t="s">
        <v>1779</v>
      </c>
      <c r="T151" s="6" t="s">
        <v>94</v>
      </c>
      <c r="U151" s="6" t="s">
        <v>94</v>
      </c>
      <c r="V151" s="6" t="s">
        <v>94</v>
      </c>
      <c r="W151" s="6" t="s">
        <v>304</v>
      </c>
      <c r="X151" s="6" t="s">
        <v>1643</v>
      </c>
      <c r="Y151" s="6" t="s">
        <v>1643</v>
      </c>
      <c r="Z151" s="6" t="s">
        <v>1643</v>
      </c>
      <c r="AA151" s="8">
        <v>1</v>
      </c>
      <c r="AB151" s="8">
        <v>1</v>
      </c>
      <c r="AC151" s="8">
        <v>1</v>
      </c>
      <c r="AD151" s="8">
        <v>1</v>
      </c>
      <c r="AE151" s="8">
        <v>100</v>
      </c>
      <c r="AF151" s="6" t="s">
        <v>357</v>
      </c>
      <c r="AG151" s="6" t="s">
        <v>283</v>
      </c>
      <c r="AH151" s="6" t="s">
        <v>354</v>
      </c>
      <c r="AI151" s="6" t="s">
        <v>286</v>
      </c>
      <c r="AJ151" s="9">
        <v>40</v>
      </c>
      <c r="AK151" s="8">
        <v>40</v>
      </c>
      <c r="AL151" s="8">
        <v>40</v>
      </c>
      <c r="AM151" s="8">
        <v>40</v>
      </c>
      <c r="AN151" s="8">
        <v>40</v>
      </c>
      <c r="AO151" s="13">
        <v>40</v>
      </c>
      <c r="AP151" s="5"/>
    </row>
    <row r="152" spans="1:42">
      <c r="A152" s="12">
        <v>151</v>
      </c>
      <c r="B152" s="6" t="s">
        <v>781</v>
      </c>
      <c r="C152" s="6" t="s">
        <v>1834</v>
      </c>
      <c r="D152" s="6" t="s">
        <v>339</v>
      </c>
      <c r="E152" s="6" t="s">
        <v>86</v>
      </c>
      <c r="F152" s="7">
        <v>41775</v>
      </c>
      <c r="G152" s="6" t="s">
        <v>4</v>
      </c>
      <c r="H152" s="6" t="s">
        <v>182</v>
      </c>
      <c r="I152" s="6" t="s">
        <v>783</v>
      </c>
      <c r="J152" s="6" t="s">
        <v>90</v>
      </c>
      <c r="K152" s="6" t="s">
        <v>91</v>
      </c>
      <c r="L152" s="6" t="s">
        <v>92</v>
      </c>
      <c r="M152" s="6" t="s">
        <v>90</v>
      </c>
      <c r="N152" s="6" t="s">
        <v>784</v>
      </c>
      <c r="O152" s="6" t="s">
        <v>95</v>
      </c>
      <c r="P152" s="6" t="s">
        <v>93</v>
      </c>
      <c r="Q152" s="6" t="s">
        <v>122</v>
      </c>
      <c r="R152" s="6" t="s">
        <v>1643</v>
      </c>
      <c r="S152" s="6" t="s">
        <v>94</v>
      </c>
      <c r="T152" s="6" t="s">
        <v>94</v>
      </c>
      <c r="U152" s="6" t="s">
        <v>94</v>
      </c>
      <c r="V152" s="6" t="s">
        <v>94</v>
      </c>
      <c r="W152" s="6" t="s">
        <v>399</v>
      </c>
      <c r="X152" s="6" t="s">
        <v>1643</v>
      </c>
      <c r="Y152" s="6" t="s">
        <v>1643</v>
      </c>
      <c r="Z152" s="6" t="s">
        <v>1643</v>
      </c>
      <c r="AA152" s="8">
        <v>1</v>
      </c>
      <c r="AB152" s="8">
        <v>1</v>
      </c>
      <c r="AC152" s="8">
        <v>1</v>
      </c>
      <c r="AD152" s="8">
        <v>1</v>
      </c>
      <c r="AE152" s="8">
        <v>100</v>
      </c>
      <c r="AF152" s="6" t="s">
        <v>308</v>
      </c>
      <c r="AG152" s="6" t="s">
        <v>283</v>
      </c>
      <c r="AH152" s="6" t="s">
        <v>318</v>
      </c>
      <c r="AI152" s="6" t="s">
        <v>286</v>
      </c>
      <c r="AJ152" s="9">
        <v>40</v>
      </c>
      <c r="AK152" s="8">
        <v>40</v>
      </c>
      <c r="AL152" s="8">
        <v>40</v>
      </c>
      <c r="AM152" s="8">
        <v>40</v>
      </c>
      <c r="AN152" s="8">
        <v>40</v>
      </c>
      <c r="AO152" s="13">
        <v>40</v>
      </c>
      <c r="AP152" s="5"/>
    </row>
    <row r="153" spans="1:42">
      <c r="A153" s="12">
        <v>152</v>
      </c>
      <c r="B153" s="6" t="s">
        <v>785</v>
      </c>
      <c r="C153" s="6" t="s">
        <v>1835</v>
      </c>
      <c r="D153" s="6" t="s">
        <v>789</v>
      </c>
      <c r="E153" s="6" t="s">
        <v>86</v>
      </c>
      <c r="F153" s="7">
        <v>44470</v>
      </c>
      <c r="G153" s="6" t="s">
        <v>204</v>
      </c>
      <c r="H153" s="6" t="s">
        <v>787</v>
      </c>
      <c r="I153" s="6" t="s">
        <v>788</v>
      </c>
      <c r="J153" s="6" t="s">
        <v>90</v>
      </c>
      <c r="K153" s="6" t="s">
        <v>91</v>
      </c>
      <c r="L153" s="6" t="s">
        <v>92</v>
      </c>
      <c r="M153" s="6" t="s">
        <v>90</v>
      </c>
      <c r="N153" s="6" t="s">
        <v>43</v>
      </c>
      <c r="O153" s="6" t="s">
        <v>122</v>
      </c>
      <c r="P153" s="6" t="s">
        <v>103</v>
      </c>
      <c r="Q153" s="6" t="s">
        <v>122</v>
      </c>
      <c r="R153" s="6" t="s">
        <v>1643</v>
      </c>
      <c r="S153" s="6" t="s">
        <v>1836</v>
      </c>
      <c r="T153" s="6" t="s">
        <v>94</v>
      </c>
      <c r="U153" s="6" t="s">
        <v>94</v>
      </c>
      <c r="V153" s="6" t="s">
        <v>94</v>
      </c>
      <c r="W153" s="6" t="s">
        <v>321</v>
      </c>
      <c r="X153" s="6" t="s">
        <v>1643</v>
      </c>
      <c r="Y153" s="6" t="s">
        <v>1643</v>
      </c>
      <c r="Z153" s="6" t="s">
        <v>1643</v>
      </c>
      <c r="AA153" s="8">
        <v>1</v>
      </c>
      <c r="AB153" s="8">
        <v>1</v>
      </c>
      <c r="AC153" s="8">
        <v>1</v>
      </c>
      <c r="AD153" s="8">
        <v>1</v>
      </c>
      <c r="AE153" s="8">
        <v>100</v>
      </c>
      <c r="AF153" s="6" t="s">
        <v>334</v>
      </c>
      <c r="AG153" s="6" t="s">
        <v>335</v>
      </c>
      <c r="AH153" s="6" t="s">
        <v>339</v>
      </c>
      <c r="AI153" s="6" t="s">
        <v>286</v>
      </c>
      <c r="AJ153" s="9">
        <v>40</v>
      </c>
      <c r="AK153" s="8">
        <v>40</v>
      </c>
      <c r="AL153" s="8">
        <v>40</v>
      </c>
      <c r="AM153" s="8">
        <v>40</v>
      </c>
      <c r="AN153" s="8">
        <v>40</v>
      </c>
      <c r="AO153" s="13">
        <v>40</v>
      </c>
      <c r="AP153" s="5"/>
    </row>
    <row r="154" spans="1:42">
      <c r="A154" s="12">
        <v>153</v>
      </c>
      <c r="B154" s="6" t="s">
        <v>790</v>
      </c>
      <c r="C154" s="6" t="s">
        <v>1837</v>
      </c>
      <c r="D154" s="6" t="s">
        <v>341</v>
      </c>
      <c r="E154" s="6" t="s">
        <v>86</v>
      </c>
      <c r="F154" s="7">
        <v>43252</v>
      </c>
      <c r="G154" s="6" t="s">
        <v>204</v>
      </c>
      <c r="H154" s="6" t="s">
        <v>495</v>
      </c>
      <c r="I154" s="6" t="s">
        <v>792</v>
      </c>
      <c r="J154" s="6" t="s">
        <v>90</v>
      </c>
      <c r="K154" s="6" t="s">
        <v>91</v>
      </c>
      <c r="L154" s="6" t="s">
        <v>92</v>
      </c>
      <c r="M154" s="6" t="s">
        <v>90</v>
      </c>
      <c r="N154" s="6" t="s">
        <v>43</v>
      </c>
      <c r="O154" s="6" t="s">
        <v>122</v>
      </c>
      <c r="P154" s="6" t="s">
        <v>43</v>
      </c>
      <c r="Q154" s="6" t="s">
        <v>95</v>
      </c>
      <c r="R154" s="11" t="s">
        <v>1838</v>
      </c>
      <c r="S154" s="6" t="s">
        <v>94</v>
      </c>
      <c r="T154" s="6" t="s">
        <v>94</v>
      </c>
      <c r="U154" s="6" t="s">
        <v>94</v>
      </c>
      <c r="V154" s="6" t="s">
        <v>94</v>
      </c>
      <c r="W154" s="6" t="s">
        <v>321</v>
      </c>
      <c r="X154" s="6" t="s">
        <v>1652</v>
      </c>
      <c r="Y154" s="6" t="s">
        <v>1652</v>
      </c>
      <c r="Z154" s="6" t="s">
        <v>1652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6" t="s">
        <v>793</v>
      </c>
      <c r="AG154" s="6" t="s">
        <v>794</v>
      </c>
      <c r="AH154" s="6" t="s">
        <v>789</v>
      </c>
      <c r="AI154" s="6" t="s">
        <v>286</v>
      </c>
      <c r="AJ154" s="9">
        <v>0</v>
      </c>
      <c r="AK154" s="8">
        <v>0</v>
      </c>
      <c r="AL154" s="8">
        <v>0</v>
      </c>
      <c r="AM154" s="8">
        <v>0</v>
      </c>
      <c r="AN154" s="8">
        <v>0</v>
      </c>
      <c r="AO154" s="13">
        <v>0</v>
      </c>
      <c r="AP154" s="5"/>
    </row>
    <row r="155" spans="1:42">
      <c r="A155" s="12">
        <v>154</v>
      </c>
      <c r="B155" s="6" t="s">
        <v>795</v>
      </c>
      <c r="C155" s="6" t="s">
        <v>1839</v>
      </c>
      <c r="D155" s="6" t="s">
        <v>387</v>
      </c>
      <c r="E155" s="6" t="s">
        <v>86</v>
      </c>
      <c r="F155" s="7">
        <v>45931</v>
      </c>
      <c r="G155" s="6" t="s">
        <v>111</v>
      </c>
      <c r="H155" s="6" t="s">
        <v>94</v>
      </c>
      <c r="I155" s="6" t="s">
        <v>797</v>
      </c>
      <c r="J155" s="6" t="s">
        <v>90</v>
      </c>
      <c r="K155" s="6" t="s">
        <v>91</v>
      </c>
      <c r="L155" s="6" t="s">
        <v>92</v>
      </c>
      <c r="M155" s="6" t="s">
        <v>90</v>
      </c>
      <c r="N155" s="6" t="s">
        <v>94</v>
      </c>
      <c r="O155" s="6" t="s">
        <v>94</v>
      </c>
      <c r="P155" s="6" t="s">
        <v>136</v>
      </c>
      <c r="Q155" s="6" t="s">
        <v>95</v>
      </c>
      <c r="R155" s="6" t="s">
        <v>1643</v>
      </c>
      <c r="S155" s="6" t="s">
        <v>1840</v>
      </c>
      <c r="T155" s="6" t="s">
        <v>94</v>
      </c>
      <c r="U155" s="6" t="s">
        <v>94</v>
      </c>
      <c r="V155" s="6" t="s">
        <v>94</v>
      </c>
      <c r="W155" s="6" t="s">
        <v>281</v>
      </c>
      <c r="X155" s="6" t="s">
        <v>1643</v>
      </c>
      <c r="Y155" s="6" t="s">
        <v>1643</v>
      </c>
      <c r="Z155" s="6" t="s">
        <v>1652</v>
      </c>
      <c r="AA155" s="8">
        <v>1</v>
      </c>
      <c r="AB155" s="8">
        <v>1</v>
      </c>
      <c r="AC155" s="8">
        <v>1</v>
      </c>
      <c r="AD155" s="8">
        <v>0</v>
      </c>
      <c r="AE155" s="8">
        <v>100</v>
      </c>
      <c r="AF155" s="6" t="s">
        <v>282</v>
      </c>
      <c r="AG155" s="6" t="s">
        <v>283</v>
      </c>
      <c r="AH155" s="6" t="s">
        <v>341</v>
      </c>
      <c r="AI155" s="6" t="s">
        <v>286</v>
      </c>
      <c r="AJ155" s="9">
        <v>40</v>
      </c>
      <c r="AK155" s="8">
        <v>40</v>
      </c>
      <c r="AL155" s="8">
        <v>40</v>
      </c>
      <c r="AM155" s="8">
        <v>40</v>
      </c>
      <c r="AN155" s="8">
        <v>40</v>
      </c>
      <c r="AO155" s="13">
        <v>40</v>
      </c>
      <c r="AP155" s="5"/>
    </row>
    <row r="156" spans="1:42">
      <c r="A156" s="12">
        <v>155</v>
      </c>
      <c r="B156" s="6" t="s">
        <v>798</v>
      </c>
      <c r="C156" s="6" t="s">
        <v>1841</v>
      </c>
      <c r="D156" s="6" t="s">
        <v>339</v>
      </c>
      <c r="E156" s="6" t="s">
        <v>86</v>
      </c>
      <c r="F156" s="7">
        <v>44896</v>
      </c>
      <c r="G156" s="6" t="s">
        <v>288</v>
      </c>
      <c r="H156" s="6" t="s">
        <v>371</v>
      </c>
      <c r="I156" s="6" t="s">
        <v>800</v>
      </c>
      <c r="J156" s="6" t="s">
        <v>90</v>
      </c>
      <c r="K156" s="6" t="s">
        <v>91</v>
      </c>
      <c r="L156" s="6" t="s">
        <v>92</v>
      </c>
      <c r="M156" s="6" t="s">
        <v>90</v>
      </c>
      <c r="N156" s="6" t="s">
        <v>131</v>
      </c>
      <c r="O156" s="6" t="s">
        <v>104</v>
      </c>
      <c r="P156" s="6" t="s">
        <v>136</v>
      </c>
      <c r="Q156" s="6" t="s">
        <v>95</v>
      </c>
      <c r="R156" s="6" t="s">
        <v>1643</v>
      </c>
      <c r="S156" s="6" t="s">
        <v>94</v>
      </c>
      <c r="T156" s="6" t="s">
        <v>94</v>
      </c>
      <c r="U156" s="6" t="s">
        <v>94</v>
      </c>
      <c r="V156" s="6" t="s">
        <v>94</v>
      </c>
      <c r="W156" s="6" t="s">
        <v>291</v>
      </c>
      <c r="X156" s="6" t="s">
        <v>1643</v>
      </c>
      <c r="Y156" s="6" t="s">
        <v>1643</v>
      </c>
      <c r="Z156" s="6" t="s">
        <v>1643</v>
      </c>
      <c r="AA156" s="8">
        <v>1</v>
      </c>
      <c r="AB156" s="8">
        <v>1</v>
      </c>
      <c r="AC156" s="8">
        <v>1</v>
      </c>
      <c r="AD156" s="8">
        <v>1</v>
      </c>
      <c r="AE156" s="8">
        <v>100</v>
      </c>
      <c r="AF156" s="6" t="s">
        <v>391</v>
      </c>
      <c r="AG156" s="6" t="s">
        <v>386</v>
      </c>
      <c r="AH156" s="6" t="s">
        <v>387</v>
      </c>
      <c r="AI156" s="6" t="s">
        <v>286</v>
      </c>
      <c r="AJ156" s="9">
        <v>40</v>
      </c>
      <c r="AK156" s="8">
        <v>40</v>
      </c>
      <c r="AL156" s="8">
        <v>40</v>
      </c>
      <c r="AM156" s="8">
        <v>40</v>
      </c>
      <c r="AN156" s="8">
        <v>40</v>
      </c>
      <c r="AO156" s="13">
        <v>40</v>
      </c>
      <c r="AP156" s="5"/>
    </row>
    <row r="157" spans="1:42">
      <c r="A157" s="12">
        <v>156</v>
      </c>
      <c r="B157" s="6" t="s">
        <v>801</v>
      </c>
      <c r="C157" s="6" t="s">
        <v>1842</v>
      </c>
      <c r="D157" s="6" t="s">
        <v>387</v>
      </c>
      <c r="E157" s="6" t="s">
        <v>86</v>
      </c>
      <c r="F157" s="7">
        <v>44850</v>
      </c>
      <c r="G157" s="6" t="s">
        <v>288</v>
      </c>
      <c r="H157" s="6" t="s">
        <v>146</v>
      </c>
      <c r="I157" s="6" t="s">
        <v>803</v>
      </c>
      <c r="J157" s="6" t="s">
        <v>90</v>
      </c>
      <c r="K157" s="6" t="s">
        <v>91</v>
      </c>
      <c r="L157" s="6" t="s">
        <v>92</v>
      </c>
      <c r="M157" s="6" t="s">
        <v>90</v>
      </c>
      <c r="N157" s="6" t="s">
        <v>103</v>
      </c>
      <c r="O157" s="6" t="s">
        <v>104</v>
      </c>
      <c r="P157" s="6" t="s">
        <v>184</v>
      </c>
      <c r="Q157" s="6" t="s">
        <v>104</v>
      </c>
      <c r="R157" s="6" t="s">
        <v>1643</v>
      </c>
      <c r="S157" s="6" t="s">
        <v>94</v>
      </c>
      <c r="T157" s="6" t="s">
        <v>94</v>
      </c>
      <c r="U157" s="6" t="s">
        <v>94</v>
      </c>
      <c r="V157" s="6" t="s">
        <v>94</v>
      </c>
      <c r="W157" s="6" t="s">
        <v>291</v>
      </c>
      <c r="X157" s="6" t="s">
        <v>1643</v>
      </c>
      <c r="Y157" s="6" t="s">
        <v>1643</v>
      </c>
      <c r="Z157" s="6" t="s">
        <v>1643</v>
      </c>
      <c r="AA157" s="8">
        <v>1</v>
      </c>
      <c r="AB157" s="8">
        <v>1</v>
      </c>
      <c r="AC157" s="8">
        <v>1</v>
      </c>
      <c r="AD157" s="8">
        <v>1</v>
      </c>
      <c r="AE157" s="8">
        <v>100</v>
      </c>
      <c r="AF157" s="6" t="s">
        <v>334</v>
      </c>
      <c r="AG157" s="6" t="s">
        <v>335</v>
      </c>
      <c r="AH157" s="6" t="s">
        <v>339</v>
      </c>
      <c r="AI157" s="6" t="s">
        <v>286</v>
      </c>
      <c r="AJ157" s="9">
        <v>40</v>
      </c>
      <c r="AK157" s="8">
        <v>40</v>
      </c>
      <c r="AL157" s="8">
        <v>40</v>
      </c>
      <c r="AM157" s="8">
        <v>40</v>
      </c>
      <c r="AN157" s="8">
        <v>40</v>
      </c>
      <c r="AO157" s="13">
        <v>40</v>
      </c>
      <c r="AP157" s="5"/>
    </row>
    <row r="158" spans="1:42">
      <c r="A158" s="12">
        <v>157</v>
      </c>
      <c r="B158" s="6" t="s">
        <v>804</v>
      </c>
      <c r="C158" s="6" t="s">
        <v>1843</v>
      </c>
      <c r="D158" s="6" t="s">
        <v>305</v>
      </c>
      <c r="E158" s="6" t="s">
        <v>86</v>
      </c>
      <c r="F158" s="7">
        <v>43191</v>
      </c>
      <c r="G158" s="6" t="s">
        <v>204</v>
      </c>
      <c r="H158" s="6" t="s">
        <v>187</v>
      </c>
      <c r="I158" s="6" t="s">
        <v>806</v>
      </c>
      <c r="J158" s="6" t="s">
        <v>90</v>
      </c>
      <c r="K158" s="6" t="s">
        <v>91</v>
      </c>
      <c r="L158" s="6" t="s">
        <v>92</v>
      </c>
      <c r="M158" s="6" t="s">
        <v>90</v>
      </c>
      <c r="N158" s="6" t="s">
        <v>103</v>
      </c>
      <c r="O158" s="6" t="s">
        <v>94</v>
      </c>
      <c r="P158" s="6" t="s">
        <v>43</v>
      </c>
      <c r="Q158" s="6" t="s">
        <v>95</v>
      </c>
      <c r="R158" s="6" t="s">
        <v>1643</v>
      </c>
      <c r="S158" s="6" t="s">
        <v>1844</v>
      </c>
      <c r="T158" s="6" t="s">
        <v>94</v>
      </c>
      <c r="U158" s="6" t="s">
        <v>94</v>
      </c>
      <c r="V158" s="6" t="s">
        <v>94</v>
      </c>
      <c r="W158" s="6" t="s">
        <v>403</v>
      </c>
      <c r="X158" s="6" t="s">
        <v>1643</v>
      </c>
      <c r="Y158" s="6" t="s">
        <v>1643</v>
      </c>
      <c r="Z158" s="6" t="s">
        <v>1643</v>
      </c>
      <c r="AA158" s="8">
        <v>1</v>
      </c>
      <c r="AB158" s="8">
        <v>1</v>
      </c>
      <c r="AC158" s="8">
        <v>1</v>
      </c>
      <c r="AD158" s="8">
        <v>1</v>
      </c>
      <c r="AE158" s="8">
        <v>90.47619048</v>
      </c>
      <c r="AF158" s="6" t="s">
        <v>391</v>
      </c>
      <c r="AG158" s="6" t="s">
        <v>386</v>
      </c>
      <c r="AH158" s="6" t="s">
        <v>387</v>
      </c>
      <c r="AI158" s="6" t="s">
        <v>286</v>
      </c>
      <c r="AJ158" s="9">
        <v>40</v>
      </c>
      <c r="AK158" s="8">
        <v>40</v>
      </c>
      <c r="AL158" s="8">
        <v>40</v>
      </c>
      <c r="AM158" s="8">
        <v>40</v>
      </c>
      <c r="AN158" s="8">
        <v>40</v>
      </c>
      <c r="AO158" s="13">
        <v>40</v>
      </c>
      <c r="AP158" s="5"/>
    </row>
    <row r="159" spans="1:42">
      <c r="A159" s="12">
        <v>158</v>
      </c>
      <c r="B159" s="6" t="s">
        <v>807</v>
      </c>
      <c r="C159" s="6" t="s">
        <v>1845</v>
      </c>
      <c r="D159" s="6" t="s">
        <v>348</v>
      </c>
      <c r="E159" s="6" t="s">
        <v>86</v>
      </c>
      <c r="F159" s="7">
        <v>40910</v>
      </c>
      <c r="G159" s="6" t="s">
        <v>4</v>
      </c>
      <c r="H159" s="6" t="s">
        <v>311</v>
      </c>
      <c r="I159" s="6" t="s">
        <v>809</v>
      </c>
      <c r="J159" s="6" t="s">
        <v>90</v>
      </c>
      <c r="K159" s="6" t="s">
        <v>91</v>
      </c>
      <c r="L159" s="6" t="s">
        <v>92</v>
      </c>
      <c r="M159" s="6" t="s">
        <v>90</v>
      </c>
      <c r="N159" s="6" t="s">
        <v>93</v>
      </c>
      <c r="O159" s="6" t="s">
        <v>94</v>
      </c>
      <c r="P159" s="6" t="s">
        <v>93</v>
      </c>
      <c r="Q159" s="6" t="s">
        <v>95</v>
      </c>
      <c r="R159" s="6" t="s">
        <v>1643</v>
      </c>
      <c r="S159" s="6" t="s">
        <v>94</v>
      </c>
      <c r="T159" s="6" t="s">
        <v>94</v>
      </c>
      <c r="U159" s="6" t="s">
        <v>94</v>
      </c>
      <c r="V159" s="6" t="s">
        <v>94</v>
      </c>
      <c r="W159" s="6" t="s">
        <v>399</v>
      </c>
      <c r="X159" s="6" t="s">
        <v>1643</v>
      </c>
      <c r="Y159" s="6" t="s">
        <v>1652</v>
      </c>
      <c r="Z159" s="6" t="s">
        <v>1652</v>
      </c>
      <c r="AA159" s="8">
        <v>1</v>
      </c>
      <c r="AB159" s="8">
        <v>1</v>
      </c>
      <c r="AC159" s="8">
        <v>0</v>
      </c>
      <c r="AD159" s="8">
        <v>0</v>
      </c>
      <c r="AE159" s="8">
        <v>100</v>
      </c>
      <c r="AF159" s="6" t="s">
        <v>308</v>
      </c>
      <c r="AG159" s="6" t="s">
        <v>283</v>
      </c>
      <c r="AH159" s="6" t="s">
        <v>305</v>
      </c>
      <c r="AI159" s="6" t="s">
        <v>286</v>
      </c>
      <c r="AJ159" s="9">
        <v>40</v>
      </c>
      <c r="AK159" s="8">
        <v>40</v>
      </c>
      <c r="AL159" s="8">
        <v>40</v>
      </c>
      <c r="AM159" s="8">
        <v>40</v>
      </c>
      <c r="AN159" s="8">
        <v>40</v>
      </c>
      <c r="AO159" s="13">
        <v>40</v>
      </c>
      <c r="AP159" s="5"/>
    </row>
    <row r="160" spans="1:42">
      <c r="A160" s="12">
        <v>159</v>
      </c>
      <c r="B160" s="6" t="s">
        <v>810</v>
      </c>
      <c r="C160" s="6" t="s">
        <v>1846</v>
      </c>
      <c r="D160" s="6" t="s">
        <v>301</v>
      </c>
      <c r="E160" s="6" t="s">
        <v>86</v>
      </c>
      <c r="F160" s="7">
        <v>45612</v>
      </c>
      <c r="G160" s="6" t="s">
        <v>288</v>
      </c>
      <c r="H160" s="6" t="s">
        <v>94</v>
      </c>
      <c r="I160" s="6" t="s">
        <v>94</v>
      </c>
      <c r="J160" s="6" t="s">
        <v>90</v>
      </c>
      <c r="K160" s="6" t="s">
        <v>91</v>
      </c>
      <c r="L160" s="6" t="s">
        <v>92</v>
      </c>
      <c r="M160" s="6" t="s">
        <v>90</v>
      </c>
      <c r="N160" s="6" t="s">
        <v>94</v>
      </c>
      <c r="O160" s="6" t="s">
        <v>94</v>
      </c>
      <c r="P160" s="6" t="s">
        <v>103</v>
      </c>
      <c r="Q160" s="6" t="s">
        <v>104</v>
      </c>
      <c r="R160" s="6" t="s">
        <v>1643</v>
      </c>
      <c r="S160" s="6" t="s">
        <v>1847</v>
      </c>
      <c r="T160" s="6" t="s">
        <v>1848</v>
      </c>
      <c r="U160" s="7">
        <v>46372.291666666664</v>
      </c>
      <c r="V160" s="6" t="s">
        <v>94</v>
      </c>
      <c r="W160" s="6" t="s">
        <v>291</v>
      </c>
      <c r="X160" s="6" t="s">
        <v>1643</v>
      </c>
      <c r="Y160" s="6" t="s">
        <v>1643</v>
      </c>
      <c r="Z160" s="6" t="s">
        <v>1643</v>
      </c>
      <c r="AA160" s="8">
        <v>1</v>
      </c>
      <c r="AB160" s="8">
        <v>1</v>
      </c>
      <c r="AC160" s="8">
        <v>1</v>
      </c>
      <c r="AD160" s="8">
        <v>1</v>
      </c>
      <c r="AE160" s="8">
        <v>100</v>
      </c>
      <c r="AF160" s="6" t="s">
        <v>351</v>
      </c>
      <c r="AG160" s="6" t="s">
        <v>283</v>
      </c>
      <c r="AH160" s="6" t="s">
        <v>348</v>
      </c>
      <c r="AI160" s="6" t="s">
        <v>286</v>
      </c>
      <c r="AJ160" s="9">
        <v>40</v>
      </c>
      <c r="AK160" s="8">
        <v>40</v>
      </c>
      <c r="AL160" s="8">
        <v>40</v>
      </c>
      <c r="AM160" s="8">
        <v>40</v>
      </c>
      <c r="AN160" s="8">
        <v>40</v>
      </c>
      <c r="AO160" s="13">
        <v>40</v>
      </c>
      <c r="AP160" s="5"/>
    </row>
    <row r="161" spans="1:42">
      <c r="A161" s="12">
        <v>160</v>
      </c>
      <c r="B161" s="6" t="s">
        <v>812</v>
      </c>
      <c r="C161" s="6" t="s">
        <v>1849</v>
      </c>
      <c r="D161" s="6" t="s">
        <v>814</v>
      </c>
      <c r="E161" s="6" t="s">
        <v>86</v>
      </c>
      <c r="F161" s="7">
        <v>43472</v>
      </c>
      <c r="G161" s="6" t="s">
        <v>150</v>
      </c>
      <c r="H161" s="6" t="s">
        <v>94</v>
      </c>
      <c r="I161" s="6" t="s">
        <v>94</v>
      </c>
      <c r="J161" s="6" t="s">
        <v>90</v>
      </c>
      <c r="K161" s="6" t="s">
        <v>91</v>
      </c>
      <c r="L161" s="6" t="s">
        <v>92</v>
      </c>
      <c r="M161" s="6" t="s">
        <v>90</v>
      </c>
      <c r="N161" s="6" t="s">
        <v>103</v>
      </c>
      <c r="O161" s="6" t="s">
        <v>94</v>
      </c>
      <c r="P161" s="6" t="s">
        <v>27</v>
      </c>
      <c r="Q161" s="6" t="s">
        <v>95</v>
      </c>
      <c r="R161" s="6" t="s">
        <v>1643</v>
      </c>
      <c r="S161" s="6" t="s">
        <v>1850</v>
      </c>
      <c r="T161" s="6" t="s">
        <v>94</v>
      </c>
      <c r="U161" s="6" t="s">
        <v>94</v>
      </c>
      <c r="V161" s="6" t="s">
        <v>94</v>
      </c>
      <c r="W161" s="6" t="s">
        <v>445</v>
      </c>
      <c r="X161" s="6" t="s">
        <v>1643</v>
      </c>
      <c r="Y161" s="6" t="s">
        <v>1643</v>
      </c>
      <c r="Z161" s="6" t="s">
        <v>1643</v>
      </c>
      <c r="AA161" s="8">
        <v>1</v>
      </c>
      <c r="AB161" s="8">
        <v>1</v>
      </c>
      <c r="AC161" s="8">
        <v>1</v>
      </c>
      <c r="AD161" s="8">
        <v>1</v>
      </c>
      <c r="AE161" s="8">
        <v>100</v>
      </c>
      <c r="AF161" s="6" t="s">
        <v>282</v>
      </c>
      <c r="AG161" s="6" t="s">
        <v>283</v>
      </c>
      <c r="AH161" s="6" t="s">
        <v>301</v>
      </c>
      <c r="AI161" s="6" t="s">
        <v>286</v>
      </c>
      <c r="AJ161" s="9">
        <v>40</v>
      </c>
      <c r="AK161" s="8">
        <v>40</v>
      </c>
      <c r="AL161" s="8">
        <v>40</v>
      </c>
      <c r="AM161" s="8">
        <v>40</v>
      </c>
      <c r="AN161" s="8">
        <v>40</v>
      </c>
      <c r="AO161" s="13">
        <v>40</v>
      </c>
      <c r="AP161" s="5"/>
    </row>
    <row r="162" spans="1:42">
      <c r="A162" s="12">
        <v>161</v>
      </c>
      <c r="B162" s="6" t="s">
        <v>815</v>
      </c>
      <c r="C162" s="6" t="s">
        <v>1851</v>
      </c>
      <c r="D162" s="6" t="s">
        <v>341</v>
      </c>
      <c r="E162" s="6" t="s">
        <v>86</v>
      </c>
      <c r="F162" s="7">
        <v>43868</v>
      </c>
      <c r="G162" s="6" t="s">
        <v>430</v>
      </c>
      <c r="H162" s="6" t="s">
        <v>311</v>
      </c>
      <c r="I162" s="6" t="s">
        <v>817</v>
      </c>
      <c r="J162" s="6" t="s">
        <v>90</v>
      </c>
      <c r="K162" s="6" t="s">
        <v>91</v>
      </c>
      <c r="L162" s="6" t="s">
        <v>92</v>
      </c>
      <c r="M162" s="6" t="s">
        <v>90</v>
      </c>
      <c r="N162" s="6" t="s">
        <v>136</v>
      </c>
      <c r="O162" s="6" t="s">
        <v>417</v>
      </c>
      <c r="P162" s="6" t="s">
        <v>117</v>
      </c>
      <c r="Q162" s="6" t="s">
        <v>104</v>
      </c>
      <c r="R162" s="6" t="s">
        <v>1643</v>
      </c>
      <c r="S162" s="6" t="s">
        <v>94</v>
      </c>
      <c r="T162" s="6" t="s">
        <v>94</v>
      </c>
      <c r="U162" s="6" t="s">
        <v>94</v>
      </c>
      <c r="V162" s="6" t="s">
        <v>94</v>
      </c>
      <c r="W162" s="6" t="s">
        <v>818</v>
      </c>
      <c r="X162" s="6" t="s">
        <v>1652</v>
      </c>
      <c r="Y162" s="6" t="s">
        <v>1652</v>
      </c>
      <c r="Z162" s="6" t="s">
        <v>1652</v>
      </c>
      <c r="AA162" s="8">
        <v>1</v>
      </c>
      <c r="AB162" s="8">
        <v>0</v>
      </c>
      <c r="AC162" s="8">
        <v>0</v>
      </c>
      <c r="AD162" s="8">
        <v>0</v>
      </c>
      <c r="AE162" s="8">
        <v>100</v>
      </c>
      <c r="AF162" s="6" t="s">
        <v>446</v>
      </c>
      <c r="AG162" s="6" t="s">
        <v>447</v>
      </c>
      <c r="AH162" s="6" t="s">
        <v>814</v>
      </c>
      <c r="AI162" s="6" t="s">
        <v>448</v>
      </c>
      <c r="AJ162" s="9">
        <v>40</v>
      </c>
      <c r="AK162" s="8">
        <v>40</v>
      </c>
      <c r="AL162" s="8">
        <v>8</v>
      </c>
      <c r="AM162" s="8">
        <v>0</v>
      </c>
      <c r="AN162" s="8">
        <v>0</v>
      </c>
      <c r="AO162" s="13">
        <v>0</v>
      </c>
      <c r="AP162" s="5"/>
    </row>
    <row r="163" spans="1:42">
      <c r="A163" s="12">
        <v>162</v>
      </c>
      <c r="B163" s="6" t="s">
        <v>819</v>
      </c>
      <c r="C163" s="6" t="s">
        <v>1852</v>
      </c>
      <c r="D163" s="6" t="s">
        <v>94</v>
      </c>
      <c r="E163" s="6" t="s">
        <v>86</v>
      </c>
      <c r="F163" s="7">
        <v>44287</v>
      </c>
      <c r="G163" s="6" t="s">
        <v>288</v>
      </c>
      <c r="H163" s="6" t="s">
        <v>134</v>
      </c>
      <c r="I163" s="6" t="s">
        <v>821</v>
      </c>
      <c r="J163" s="6" t="s">
        <v>90</v>
      </c>
      <c r="K163" s="6" t="s">
        <v>91</v>
      </c>
      <c r="L163" s="6" t="s">
        <v>92</v>
      </c>
      <c r="M163" s="6" t="s">
        <v>90</v>
      </c>
      <c r="N163" s="6" t="s">
        <v>43</v>
      </c>
      <c r="O163" s="6" t="s">
        <v>94</v>
      </c>
      <c r="P163" s="6" t="s">
        <v>131</v>
      </c>
      <c r="Q163" s="6" t="s">
        <v>95</v>
      </c>
      <c r="R163" s="6" t="s">
        <v>1643</v>
      </c>
      <c r="S163" s="6" t="s">
        <v>94</v>
      </c>
      <c r="T163" s="6" t="s">
        <v>94</v>
      </c>
      <c r="U163" s="6" t="s">
        <v>94</v>
      </c>
      <c r="V163" s="6" t="s">
        <v>94</v>
      </c>
      <c r="W163" s="6" t="s">
        <v>291</v>
      </c>
      <c r="X163" s="6" t="s">
        <v>1643</v>
      </c>
      <c r="Y163" s="6" t="s">
        <v>1643</v>
      </c>
      <c r="Z163" s="6" t="s">
        <v>1652</v>
      </c>
      <c r="AA163" s="8">
        <v>1</v>
      </c>
      <c r="AB163" s="8">
        <v>1</v>
      </c>
      <c r="AC163" s="8">
        <v>1</v>
      </c>
      <c r="AD163" s="8">
        <v>0</v>
      </c>
      <c r="AE163" s="8">
        <v>100</v>
      </c>
      <c r="AF163" s="6" t="s">
        <v>282</v>
      </c>
      <c r="AG163" s="6" t="s">
        <v>283</v>
      </c>
      <c r="AH163" s="6" t="s">
        <v>341</v>
      </c>
      <c r="AI163" s="6" t="s">
        <v>286</v>
      </c>
      <c r="AJ163" s="9">
        <v>40</v>
      </c>
      <c r="AK163" s="8">
        <v>40</v>
      </c>
      <c r="AL163" s="8">
        <v>40</v>
      </c>
      <c r="AM163" s="8">
        <v>40</v>
      </c>
      <c r="AN163" s="8">
        <v>40</v>
      </c>
      <c r="AO163" s="13">
        <v>40</v>
      </c>
      <c r="AP163" s="5"/>
    </row>
    <row r="164" spans="1:42">
      <c r="A164" s="12">
        <v>163</v>
      </c>
      <c r="B164" s="6" t="s">
        <v>822</v>
      </c>
      <c r="C164" s="6" t="s">
        <v>1853</v>
      </c>
      <c r="D164" s="6" t="s">
        <v>94</v>
      </c>
      <c r="E164" s="6" t="s">
        <v>86</v>
      </c>
      <c r="F164" s="7">
        <v>45763</v>
      </c>
      <c r="G164" s="6" t="s">
        <v>343</v>
      </c>
      <c r="H164" s="6" t="s">
        <v>120</v>
      </c>
      <c r="I164" s="6" t="s">
        <v>824</v>
      </c>
      <c r="J164" s="6" t="s">
        <v>90</v>
      </c>
      <c r="K164" s="6" t="s">
        <v>91</v>
      </c>
      <c r="L164" s="6" t="s">
        <v>92</v>
      </c>
      <c r="M164" s="6" t="s">
        <v>90</v>
      </c>
      <c r="N164" s="6" t="s">
        <v>94</v>
      </c>
      <c r="O164" s="6" t="s">
        <v>94</v>
      </c>
      <c r="P164" s="6" t="s">
        <v>313</v>
      </c>
      <c r="Q164" s="6" t="s">
        <v>122</v>
      </c>
      <c r="R164" s="10" t="s">
        <v>1854</v>
      </c>
      <c r="S164" s="6" t="s">
        <v>1855</v>
      </c>
      <c r="T164" s="6" t="s">
        <v>94</v>
      </c>
      <c r="U164" s="6" t="s">
        <v>94</v>
      </c>
      <c r="V164" s="6" t="s">
        <v>94</v>
      </c>
      <c r="W164" s="6" t="s">
        <v>347</v>
      </c>
      <c r="X164" s="6" t="s">
        <v>1854</v>
      </c>
      <c r="Y164" s="6" t="s">
        <v>1652</v>
      </c>
      <c r="Z164" s="6" t="s">
        <v>1652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6" t="s">
        <v>94</v>
      </c>
      <c r="AG164" s="6" t="s">
        <v>94</v>
      </c>
      <c r="AH164" s="6" t="s">
        <v>94</v>
      </c>
      <c r="AI164" s="6" t="s">
        <v>94</v>
      </c>
      <c r="AJ164" s="9">
        <v>0</v>
      </c>
      <c r="AK164" s="8">
        <v>0</v>
      </c>
      <c r="AL164" s="8">
        <v>0</v>
      </c>
      <c r="AM164" s="8">
        <v>0</v>
      </c>
      <c r="AN164" s="8">
        <v>0</v>
      </c>
      <c r="AO164" s="13">
        <v>0</v>
      </c>
      <c r="AP164" s="5"/>
    </row>
    <row r="165" spans="1:42">
      <c r="A165" s="12">
        <v>164</v>
      </c>
      <c r="B165" s="6" t="s">
        <v>825</v>
      </c>
      <c r="C165" s="6" t="s">
        <v>1856</v>
      </c>
      <c r="D165" s="6" t="s">
        <v>464</v>
      </c>
      <c r="E165" s="6" t="s">
        <v>86</v>
      </c>
      <c r="F165" s="7">
        <v>44531</v>
      </c>
      <c r="G165" s="6" t="s">
        <v>111</v>
      </c>
      <c r="H165" s="6" t="s">
        <v>182</v>
      </c>
      <c r="I165" s="6" t="s">
        <v>827</v>
      </c>
      <c r="J165" s="6" t="s">
        <v>90</v>
      </c>
      <c r="K165" s="6" t="s">
        <v>91</v>
      </c>
      <c r="L165" s="6" t="s">
        <v>92</v>
      </c>
      <c r="M165" s="6" t="s">
        <v>90</v>
      </c>
      <c r="N165" s="6" t="s">
        <v>675</v>
      </c>
      <c r="O165" s="6" t="s">
        <v>94</v>
      </c>
      <c r="P165" s="6" t="s">
        <v>184</v>
      </c>
      <c r="Q165" s="6" t="s">
        <v>104</v>
      </c>
      <c r="R165" s="10" t="s">
        <v>1854</v>
      </c>
      <c r="S165" s="6" t="s">
        <v>1857</v>
      </c>
      <c r="T165" s="6" t="s">
        <v>94</v>
      </c>
      <c r="U165" s="6" t="s">
        <v>94</v>
      </c>
      <c r="V165" s="6" t="s">
        <v>94</v>
      </c>
      <c r="W165" s="6" t="s">
        <v>281</v>
      </c>
      <c r="X165" s="6" t="s">
        <v>1652</v>
      </c>
      <c r="Y165" s="6" t="s">
        <v>1652</v>
      </c>
      <c r="Z165" s="6" t="s">
        <v>1652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6" t="s">
        <v>94</v>
      </c>
      <c r="AG165" s="6" t="s">
        <v>94</v>
      </c>
      <c r="AH165" s="6" t="s">
        <v>94</v>
      </c>
      <c r="AI165" s="6" t="s">
        <v>94</v>
      </c>
      <c r="AJ165" s="9">
        <v>0</v>
      </c>
      <c r="AK165" s="8">
        <v>0</v>
      </c>
      <c r="AL165" s="8">
        <v>0</v>
      </c>
      <c r="AM165" s="8">
        <v>0</v>
      </c>
      <c r="AN165" s="8">
        <v>0</v>
      </c>
      <c r="AO165" s="13">
        <v>0</v>
      </c>
      <c r="AP165" s="5"/>
    </row>
    <row r="166" spans="1:42">
      <c r="A166" s="12">
        <v>165</v>
      </c>
      <c r="B166" s="6" t="s">
        <v>825</v>
      </c>
      <c r="C166" s="6" t="s">
        <v>1858</v>
      </c>
      <c r="D166" s="6" t="s">
        <v>373</v>
      </c>
      <c r="E166" s="6" t="s">
        <v>86</v>
      </c>
      <c r="F166" s="7">
        <v>44835</v>
      </c>
      <c r="G166" s="6" t="s">
        <v>288</v>
      </c>
      <c r="H166" s="6" t="s">
        <v>311</v>
      </c>
      <c r="I166" s="6" t="s">
        <v>829</v>
      </c>
      <c r="J166" s="6" t="s">
        <v>90</v>
      </c>
      <c r="K166" s="6" t="s">
        <v>91</v>
      </c>
      <c r="L166" s="6" t="s">
        <v>92</v>
      </c>
      <c r="M166" s="6" t="s">
        <v>90</v>
      </c>
      <c r="N166" s="6" t="s">
        <v>131</v>
      </c>
      <c r="O166" s="6" t="s">
        <v>104</v>
      </c>
      <c r="P166" s="6" t="s">
        <v>131</v>
      </c>
      <c r="Q166" s="6" t="s">
        <v>95</v>
      </c>
      <c r="R166" s="6" t="s">
        <v>1643</v>
      </c>
      <c r="S166" s="6" t="s">
        <v>1859</v>
      </c>
      <c r="T166" s="6" t="s">
        <v>94</v>
      </c>
      <c r="U166" s="6" t="s">
        <v>94</v>
      </c>
      <c r="V166" s="6" t="s">
        <v>94</v>
      </c>
      <c r="W166" s="6" t="s">
        <v>291</v>
      </c>
      <c r="X166" s="6" t="s">
        <v>1643</v>
      </c>
      <c r="Y166" s="6" t="s">
        <v>1652</v>
      </c>
      <c r="Z166" s="6" t="s">
        <v>1652</v>
      </c>
      <c r="AA166" s="8">
        <v>1</v>
      </c>
      <c r="AB166" s="8">
        <v>1</v>
      </c>
      <c r="AC166" s="8">
        <v>0</v>
      </c>
      <c r="AD166" s="8">
        <v>0</v>
      </c>
      <c r="AE166" s="8">
        <v>100</v>
      </c>
      <c r="AF166" s="6" t="s">
        <v>308</v>
      </c>
      <c r="AG166" s="6" t="s">
        <v>283</v>
      </c>
      <c r="AH166" s="6" t="s">
        <v>464</v>
      </c>
      <c r="AI166" s="6" t="s">
        <v>286</v>
      </c>
      <c r="AJ166" s="9">
        <v>40</v>
      </c>
      <c r="AK166" s="8">
        <v>40</v>
      </c>
      <c r="AL166" s="8">
        <v>40</v>
      </c>
      <c r="AM166" s="8">
        <v>40</v>
      </c>
      <c r="AN166" s="8">
        <v>40</v>
      </c>
      <c r="AO166" s="13">
        <v>40</v>
      </c>
      <c r="AP166" s="5"/>
    </row>
    <row r="167" spans="1:42">
      <c r="A167" s="12">
        <v>166</v>
      </c>
      <c r="B167" s="6" t="s">
        <v>830</v>
      </c>
      <c r="C167" s="6" t="s">
        <v>1860</v>
      </c>
      <c r="D167" s="6" t="s">
        <v>305</v>
      </c>
      <c r="E167" s="6" t="s">
        <v>86</v>
      </c>
      <c r="F167" s="7">
        <v>45345</v>
      </c>
      <c r="G167" s="6" t="s">
        <v>288</v>
      </c>
      <c r="H167" s="6" t="s">
        <v>603</v>
      </c>
      <c r="I167" s="6" t="s">
        <v>832</v>
      </c>
      <c r="J167" s="6" t="s">
        <v>90</v>
      </c>
      <c r="K167" s="6" t="s">
        <v>91</v>
      </c>
      <c r="L167" s="6" t="s">
        <v>92</v>
      </c>
      <c r="M167" s="6" t="s">
        <v>90</v>
      </c>
      <c r="N167" s="6" t="s">
        <v>94</v>
      </c>
      <c r="O167" s="6" t="s">
        <v>94</v>
      </c>
      <c r="P167" s="6" t="s">
        <v>131</v>
      </c>
      <c r="Q167" s="6" t="s">
        <v>104</v>
      </c>
      <c r="R167" s="6" t="s">
        <v>1643</v>
      </c>
      <c r="S167" s="6" t="s">
        <v>94</v>
      </c>
      <c r="T167" s="6" t="s">
        <v>94</v>
      </c>
      <c r="U167" s="6" t="s">
        <v>94</v>
      </c>
      <c r="V167" s="6" t="s">
        <v>94</v>
      </c>
      <c r="W167" s="6" t="s">
        <v>291</v>
      </c>
      <c r="X167" s="6" t="s">
        <v>1643</v>
      </c>
      <c r="Y167" s="6" t="s">
        <v>1643</v>
      </c>
      <c r="Z167" s="6" t="s">
        <v>1643</v>
      </c>
      <c r="AA167" s="8">
        <v>1</v>
      </c>
      <c r="AB167" s="8">
        <v>1</v>
      </c>
      <c r="AC167" s="8">
        <v>1</v>
      </c>
      <c r="AD167" s="8">
        <v>1</v>
      </c>
      <c r="AE167" s="8">
        <v>100</v>
      </c>
      <c r="AF167" s="6" t="s">
        <v>334</v>
      </c>
      <c r="AG167" s="6" t="s">
        <v>335</v>
      </c>
      <c r="AH167" s="6" t="s">
        <v>373</v>
      </c>
      <c r="AI167" s="6" t="s">
        <v>286</v>
      </c>
      <c r="AJ167" s="9">
        <v>40</v>
      </c>
      <c r="AK167" s="8">
        <v>40</v>
      </c>
      <c r="AL167" s="8">
        <v>40</v>
      </c>
      <c r="AM167" s="8">
        <v>40</v>
      </c>
      <c r="AN167" s="8">
        <v>40</v>
      </c>
      <c r="AO167" s="13">
        <v>40</v>
      </c>
      <c r="AP167" s="5"/>
    </row>
    <row r="168" spans="1:42">
      <c r="A168" s="12">
        <v>167</v>
      </c>
      <c r="B168" s="6" t="s">
        <v>833</v>
      </c>
      <c r="C168" s="6" t="s">
        <v>1861</v>
      </c>
      <c r="D168" s="6" t="s">
        <v>464</v>
      </c>
      <c r="E168" s="6" t="s">
        <v>86</v>
      </c>
      <c r="F168" s="7">
        <v>44562</v>
      </c>
      <c r="G168" s="6" t="s">
        <v>204</v>
      </c>
      <c r="H168" s="6" t="s">
        <v>107</v>
      </c>
      <c r="I168" s="6" t="s">
        <v>835</v>
      </c>
      <c r="J168" s="6" t="s">
        <v>90</v>
      </c>
      <c r="K168" s="6" t="s">
        <v>91</v>
      </c>
      <c r="L168" s="6" t="s">
        <v>92</v>
      </c>
      <c r="M168" s="6" t="s">
        <v>90</v>
      </c>
      <c r="N168" s="6" t="s">
        <v>43</v>
      </c>
      <c r="O168" s="6" t="s">
        <v>94</v>
      </c>
      <c r="P168" s="6" t="s">
        <v>43</v>
      </c>
      <c r="Q168" s="6" t="s">
        <v>104</v>
      </c>
      <c r="R168" s="6" t="s">
        <v>1643</v>
      </c>
      <c r="S168" s="6" t="s">
        <v>94</v>
      </c>
      <c r="T168" s="6" t="s">
        <v>94</v>
      </c>
      <c r="U168" s="6" t="s">
        <v>94</v>
      </c>
      <c r="V168" s="6" t="s">
        <v>94</v>
      </c>
      <c r="W168" s="6" t="s">
        <v>403</v>
      </c>
      <c r="X168" s="6" t="s">
        <v>1643</v>
      </c>
      <c r="Y168" s="6" t="s">
        <v>1643</v>
      </c>
      <c r="Z168" s="6" t="s">
        <v>1643</v>
      </c>
      <c r="AA168" s="8">
        <v>1</v>
      </c>
      <c r="AB168" s="8">
        <v>1</v>
      </c>
      <c r="AC168" s="8">
        <v>1</v>
      </c>
      <c r="AD168" s="8">
        <v>1</v>
      </c>
      <c r="AE168" s="8">
        <v>100</v>
      </c>
      <c r="AF168" s="6" t="s">
        <v>308</v>
      </c>
      <c r="AG168" s="6" t="s">
        <v>283</v>
      </c>
      <c r="AH168" s="6" t="s">
        <v>305</v>
      </c>
      <c r="AI168" s="6" t="s">
        <v>286</v>
      </c>
      <c r="AJ168" s="9">
        <v>40</v>
      </c>
      <c r="AK168" s="8">
        <v>40</v>
      </c>
      <c r="AL168" s="8">
        <v>40</v>
      </c>
      <c r="AM168" s="8">
        <v>40</v>
      </c>
      <c r="AN168" s="8">
        <v>40</v>
      </c>
      <c r="AO168" s="13">
        <v>40</v>
      </c>
      <c r="AP168" s="5"/>
    </row>
    <row r="169" spans="1:42">
      <c r="A169" s="12">
        <v>168</v>
      </c>
      <c r="B169" s="6" t="s">
        <v>836</v>
      </c>
      <c r="C169" s="6" t="s">
        <v>1862</v>
      </c>
      <c r="D169" s="6" t="s">
        <v>387</v>
      </c>
      <c r="E169" s="6" t="s">
        <v>86</v>
      </c>
      <c r="F169" s="7">
        <v>44537</v>
      </c>
      <c r="G169" s="6" t="s">
        <v>125</v>
      </c>
      <c r="H169" s="6" t="s">
        <v>107</v>
      </c>
      <c r="I169" s="6" t="s">
        <v>838</v>
      </c>
      <c r="J169" s="6" t="s">
        <v>90</v>
      </c>
      <c r="K169" s="6" t="s">
        <v>91</v>
      </c>
      <c r="L169" s="6" t="s">
        <v>92</v>
      </c>
      <c r="M169" s="6" t="s">
        <v>90</v>
      </c>
      <c r="N169" s="6" t="s">
        <v>184</v>
      </c>
      <c r="O169" s="6" t="s">
        <v>122</v>
      </c>
      <c r="P169" s="6" t="s">
        <v>117</v>
      </c>
      <c r="Q169" s="6" t="s">
        <v>122</v>
      </c>
      <c r="R169" s="6" t="s">
        <v>1643</v>
      </c>
      <c r="S169" s="6" t="s">
        <v>94</v>
      </c>
      <c r="T169" s="6" t="s">
        <v>94</v>
      </c>
      <c r="U169" s="6" t="s">
        <v>94</v>
      </c>
      <c r="V169" s="6" t="s">
        <v>94</v>
      </c>
      <c r="W169" s="6" t="s">
        <v>353</v>
      </c>
      <c r="X169" s="6" t="s">
        <v>1643</v>
      </c>
      <c r="Y169" s="6" t="s">
        <v>1643</v>
      </c>
      <c r="Z169" s="6" t="s">
        <v>1652</v>
      </c>
      <c r="AA169" s="8">
        <v>1</v>
      </c>
      <c r="AB169" s="8">
        <v>1</v>
      </c>
      <c r="AC169" s="8">
        <v>1</v>
      </c>
      <c r="AD169" s="8">
        <v>0.13</v>
      </c>
      <c r="AE169" s="8">
        <v>100</v>
      </c>
      <c r="AF169" s="6" t="s">
        <v>308</v>
      </c>
      <c r="AG169" s="6" t="s">
        <v>283</v>
      </c>
      <c r="AH169" s="6" t="s">
        <v>464</v>
      </c>
      <c r="AI169" s="6" t="s">
        <v>286</v>
      </c>
      <c r="AJ169" s="9">
        <v>40</v>
      </c>
      <c r="AK169" s="8">
        <v>40</v>
      </c>
      <c r="AL169" s="8">
        <v>40</v>
      </c>
      <c r="AM169" s="8">
        <v>40</v>
      </c>
      <c r="AN169" s="8">
        <v>40</v>
      </c>
      <c r="AO169" s="13">
        <v>40</v>
      </c>
      <c r="AP169" s="5"/>
    </row>
    <row r="170" spans="1:42">
      <c r="A170" s="12">
        <v>169</v>
      </c>
      <c r="B170" s="6" t="s">
        <v>839</v>
      </c>
      <c r="C170" s="6" t="s">
        <v>1863</v>
      </c>
      <c r="D170" s="6" t="s">
        <v>468</v>
      </c>
      <c r="E170" s="6" t="s">
        <v>86</v>
      </c>
      <c r="F170" s="7">
        <v>45084</v>
      </c>
      <c r="G170" s="6" t="s">
        <v>111</v>
      </c>
      <c r="H170" s="6" t="s">
        <v>94</v>
      </c>
      <c r="I170" s="6" t="s">
        <v>841</v>
      </c>
      <c r="J170" s="6" t="s">
        <v>90</v>
      </c>
      <c r="K170" s="6" t="s">
        <v>91</v>
      </c>
      <c r="L170" s="6" t="s">
        <v>92</v>
      </c>
      <c r="M170" s="6" t="s">
        <v>90</v>
      </c>
      <c r="N170" s="6" t="s">
        <v>136</v>
      </c>
      <c r="O170" s="6" t="s">
        <v>122</v>
      </c>
      <c r="P170" s="6" t="s">
        <v>131</v>
      </c>
      <c r="Q170" s="6" t="s">
        <v>95</v>
      </c>
      <c r="R170" s="6" t="s">
        <v>1643</v>
      </c>
      <c r="S170" s="6" t="s">
        <v>94</v>
      </c>
      <c r="T170" s="6" t="s">
        <v>94</v>
      </c>
      <c r="U170" s="6" t="s">
        <v>94</v>
      </c>
      <c r="V170" s="6" t="s">
        <v>94</v>
      </c>
      <c r="W170" s="6" t="s">
        <v>418</v>
      </c>
      <c r="X170" s="6" t="s">
        <v>1643</v>
      </c>
      <c r="Y170" s="6" t="s">
        <v>1643</v>
      </c>
      <c r="Z170" s="6" t="s">
        <v>1643</v>
      </c>
      <c r="AA170" s="8">
        <v>1</v>
      </c>
      <c r="AB170" s="8">
        <v>1</v>
      </c>
      <c r="AC170" s="8">
        <v>1</v>
      </c>
      <c r="AD170" s="8">
        <v>1</v>
      </c>
      <c r="AE170" s="8">
        <v>100</v>
      </c>
      <c r="AF170" s="6" t="s">
        <v>391</v>
      </c>
      <c r="AG170" s="6" t="s">
        <v>386</v>
      </c>
      <c r="AH170" s="6" t="s">
        <v>387</v>
      </c>
      <c r="AI170" s="6" t="s">
        <v>286</v>
      </c>
      <c r="AJ170" s="9">
        <v>40</v>
      </c>
      <c r="AK170" s="8">
        <v>40</v>
      </c>
      <c r="AL170" s="8">
        <v>40</v>
      </c>
      <c r="AM170" s="8">
        <v>40</v>
      </c>
      <c r="AN170" s="8">
        <v>40</v>
      </c>
      <c r="AO170" s="13">
        <v>40</v>
      </c>
      <c r="AP170" s="5"/>
    </row>
    <row r="171" spans="1:42">
      <c r="A171" s="12">
        <v>170</v>
      </c>
      <c r="B171" s="6" t="s">
        <v>842</v>
      </c>
      <c r="C171" s="6" t="s">
        <v>1864</v>
      </c>
      <c r="D171" s="6" t="s">
        <v>301</v>
      </c>
      <c r="E171" s="6" t="s">
        <v>86</v>
      </c>
      <c r="F171" s="7">
        <v>44309</v>
      </c>
      <c r="G171" s="6" t="s">
        <v>111</v>
      </c>
      <c r="H171" s="6" t="s">
        <v>371</v>
      </c>
      <c r="I171" s="6" t="s">
        <v>844</v>
      </c>
      <c r="J171" s="6" t="s">
        <v>90</v>
      </c>
      <c r="K171" s="6" t="s">
        <v>91</v>
      </c>
      <c r="L171" s="6" t="s">
        <v>92</v>
      </c>
      <c r="M171" s="6" t="s">
        <v>90</v>
      </c>
      <c r="N171" s="6" t="s">
        <v>136</v>
      </c>
      <c r="O171" s="6" t="s">
        <v>95</v>
      </c>
      <c r="P171" s="6" t="s">
        <v>136</v>
      </c>
      <c r="Q171" s="6" t="s">
        <v>95</v>
      </c>
      <c r="R171" s="6" t="s">
        <v>1643</v>
      </c>
      <c r="S171" s="6" t="s">
        <v>94</v>
      </c>
      <c r="T171" s="6" t="s">
        <v>94</v>
      </c>
      <c r="U171" s="6" t="s">
        <v>94</v>
      </c>
      <c r="V171" s="6" t="s">
        <v>94</v>
      </c>
      <c r="W171" s="6" t="s">
        <v>281</v>
      </c>
      <c r="X171" s="6" t="s">
        <v>1643</v>
      </c>
      <c r="Y171" s="6" t="s">
        <v>1643</v>
      </c>
      <c r="Z171" s="6" t="s">
        <v>1643</v>
      </c>
      <c r="AA171" s="8">
        <v>1</v>
      </c>
      <c r="AB171" s="8">
        <v>1</v>
      </c>
      <c r="AC171" s="8">
        <v>1</v>
      </c>
      <c r="AD171" s="8">
        <v>1</v>
      </c>
      <c r="AE171" s="8">
        <v>100</v>
      </c>
      <c r="AF171" s="6" t="s">
        <v>282</v>
      </c>
      <c r="AG171" s="6" t="s">
        <v>283</v>
      </c>
      <c r="AH171" s="6" t="s">
        <v>468</v>
      </c>
      <c r="AI171" s="6" t="s">
        <v>286</v>
      </c>
      <c r="AJ171" s="9">
        <v>40</v>
      </c>
      <c r="AK171" s="8">
        <v>40</v>
      </c>
      <c r="AL171" s="8">
        <v>40</v>
      </c>
      <c r="AM171" s="8">
        <v>40</v>
      </c>
      <c r="AN171" s="8">
        <v>40</v>
      </c>
      <c r="AO171" s="13">
        <v>40</v>
      </c>
      <c r="AP171" s="5"/>
    </row>
    <row r="172" spans="1:42">
      <c r="A172" s="12">
        <v>171</v>
      </c>
      <c r="B172" s="6" t="s">
        <v>845</v>
      </c>
      <c r="C172" s="6" t="s">
        <v>1865</v>
      </c>
      <c r="D172" s="6" t="s">
        <v>679</v>
      </c>
      <c r="E172" s="6" t="s">
        <v>86</v>
      </c>
      <c r="F172" s="7">
        <v>43366</v>
      </c>
      <c r="G172" s="6" t="s">
        <v>430</v>
      </c>
      <c r="H172" s="6" t="s">
        <v>603</v>
      </c>
      <c r="I172" s="6" t="s">
        <v>847</v>
      </c>
      <c r="J172" s="6" t="s">
        <v>90</v>
      </c>
      <c r="K172" s="6" t="s">
        <v>91</v>
      </c>
      <c r="L172" s="6" t="s">
        <v>92</v>
      </c>
      <c r="M172" s="6" t="s">
        <v>90</v>
      </c>
      <c r="N172" s="6" t="s">
        <v>313</v>
      </c>
      <c r="O172" s="6" t="s">
        <v>94</v>
      </c>
      <c r="P172" s="6" t="s">
        <v>131</v>
      </c>
      <c r="Q172" s="6" t="s">
        <v>122</v>
      </c>
      <c r="R172" s="6" t="s">
        <v>1643</v>
      </c>
      <c r="S172" s="6" t="s">
        <v>94</v>
      </c>
      <c r="T172" s="6" t="s">
        <v>94</v>
      </c>
      <c r="U172" s="6" t="s">
        <v>94</v>
      </c>
      <c r="V172" s="6" t="s">
        <v>94</v>
      </c>
      <c r="W172" s="6" t="s">
        <v>433</v>
      </c>
      <c r="X172" s="6" t="s">
        <v>1643</v>
      </c>
      <c r="Y172" s="6" t="s">
        <v>1643</v>
      </c>
      <c r="Z172" s="6" t="s">
        <v>1643</v>
      </c>
      <c r="AA172" s="8">
        <v>1</v>
      </c>
      <c r="AB172" s="8">
        <v>1</v>
      </c>
      <c r="AC172" s="8">
        <v>1</v>
      </c>
      <c r="AD172" s="8">
        <v>1</v>
      </c>
      <c r="AE172" s="8">
        <v>100</v>
      </c>
      <c r="AF172" s="6" t="s">
        <v>282</v>
      </c>
      <c r="AG172" s="6" t="s">
        <v>283</v>
      </c>
      <c r="AH172" s="6" t="s">
        <v>301</v>
      </c>
      <c r="AI172" s="6" t="s">
        <v>286</v>
      </c>
      <c r="AJ172" s="9">
        <v>40</v>
      </c>
      <c r="AK172" s="8">
        <v>40</v>
      </c>
      <c r="AL172" s="8">
        <v>40</v>
      </c>
      <c r="AM172" s="8">
        <v>40</v>
      </c>
      <c r="AN172" s="8">
        <v>40</v>
      </c>
      <c r="AO172" s="13">
        <v>40</v>
      </c>
      <c r="AP172" s="5"/>
    </row>
    <row r="173" spans="1:42">
      <c r="A173" s="12">
        <v>172</v>
      </c>
      <c r="B173" s="6" t="s">
        <v>848</v>
      </c>
      <c r="C173" s="6" t="s">
        <v>1866</v>
      </c>
      <c r="D173" s="6" t="s">
        <v>339</v>
      </c>
      <c r="E173" s="6" t="s">
        <v>86</v>
      </c>
      <c r="F173" s="7">
        <v>45962</v>
      </c>
      <c r="G173" s="6" t="s">
        <v>111</v>
      </c>
      <c r="H173" s="6" t="s">
        <v>94</v>
      </c>
      <c r="I173" s="6" t="s">
        <v>94</v>
      </c>
      <c r="J173" s="6" t="s">
        <v>90</v>
      </c>
      <c r="K173" s="6" t="s">
        <v>91</v>
      </c>
      <c r="L173" s="6" t="s">
        <v>92</v>
      </c>
      <c r="M173" s="6" t="s">
        <v>90</v>
      </c>
      <c r="N173" s="6" t="s">
        <v>94</v>
      </c>
      <c r="O173" s="6" t="s">
        <v>94</v>
      </c>
      <c r="P173" s="6" t="s">
        <v>584</v>
      </c>
      <c r="Q173" s="6" t="s">
        <v>95</v>
      </c>
      <c r="R173" s="6" t="s">
        <v>1643</v>
      </c>
      <c r="S173" s="6" t="s">
        <v>1867</v>
      </c>
      <c r="T173" s="6" t="s">
        <v>94</v>
      </c>
      <c r="U173" s="6" t="s">
        <v>94</v>
      </c>
      <c r="V173" s="6" t="s">
        <v>94</v>
      </c>
      <c r="W173" s="6" t="s">
        <v>281</v>
      </c>
      <c r="X173" s="6" t="s">
        <v>1643</v>
      </c>
      <c r="Y173" s="6" t="s">
        <v>1643</v>
      </c>
      <c r="Z173" s="6" t="s">
        <v>1643</v>
      </c>
      <c r="AA173" s="8">
        <v>1</v>
      </c>
      <c r="AB173" s="8">
        <v>1</v>
      </c>
      <c r="AC173" s="8">
        <v>1</v>
      </c>
      <c r="AD173" s="8">
        <v>1</v>
      </c>
      <c r="AE173" s="8">
        <v>100</v>
      </c>
      <c r="AF173" s="6" t="s">
        <v>282</v>
      </c>
      <c r="AG173" s="6" t="s">
        <v>283</v>
      </c>
      <c r="AH173" s="6" t="s">
        <v>679</v>
      </c>
      <c r="AI173" s="6" t="s">
        <v>286</v>
      </c>
      <c r="AJ173" s="9">
        <v>40</v>
      </c>
      <c r="AK173" s="8">
        <v>40</v>
      </c>
      <c r="AL173" s="8">
        <v>40</v>
      </c>
      <c r="AM173" s="8">
        <v>40</v>
      </c>
      <c r="AN173" s="8">
        <v>40</v>
      </c>
      <c r="AO173" s="13">
        <v>40</v>
      </c>
      <c r="AP173" s="5"/>
    </row>
    <row r="174" spans="1:42">
      <c r="A174" s="12">
        <v>173</v>
      </c>
      <c r="B174" s="6" t="s">
        <v>850</v>
      </c>
      <c r="C174" s="6" t="s">
        <v>1868</v>
      </c>
      <c r="D174" s="6" t="s">
        <v>94</v>
      </c>
      <c r="E174" s="6" t="s">
        <v>86</v>
      </c>
      <c r="F174" s="7">
        <v>43466</v>
      </c>
      <c r="G174" s="6" t="s">
        <v>111</v>
      </c>
      <c r="H174" s="6" t="s">
        <v>146</v>
      </c>
      <c r="I174" s="6" t="s">
        <v>852</v>
      </c>
      <c r="J174" s="6" t="s">
        <v>90</v>
      </c>
      <c r="K174" s="6" t="s">
        <v>91</v>
      </c>
      <c r="L174" s="6" t="s">
        <v>92</v>
      </c>
      <c r="M174" s="6" t="s">
        <v>90</v>
      </c>
      <c r="N174" s="6" t="s">
        <v>584</v>
      </c>
      <c r="O174" s="6" t="s">
        <v>94</v>
      </c>
      <c r="P174" s="6" t="s">
        <v>103</v>
      </c>
      <c r="Q174" s="6" t="s">
        <v>122</v>
      </c>
      <c r="R174" s="6" t="s">
        <v>1643</v>
      </c>
      <c r="S174" s="6" t="s">
        <v>94</v>
      </c>
      <c r="T174" s="6" t="s">
        <v>94</v>
      </c>
      <c r="U174" s="6" t="s">
        <v>94</v>
      </c>
      <c r="V174" s="6" t="s">
        <v>94</v>
      </c>
      <c r="W174" s="6" t="s">
        <v>418</v>
      </c>
      <c r="X174" s="6" t="s">
        <v>1643</v>
      </c>
      <c r="Y174" s="6" t="s">
        <v>1643</v>
      </c>
      <c r="Z174" s="6" t="s">
        <v>1643</v>
      </c>
      <c r="AA174" s="8">
        <v>1</v>
      </c>
      <c r="AB174" s="8">
        <v>1</v>
      </c>
      <c r="AC174" s="8">
        <v>1</v>
      </c>
      <c r="AD174" s="8">
        <v>1</v>
      </c>
      <c r="AE174" s="8">
        <v>100</v>
      </c>
      <c r="AF174" s="6" t="s">
        <v>334</v>
      </c>
      <c r="AG174" s="6" t="s">
        <v>335</v>
      </c>
      <c r="AH174" s="6" t="s">
        <v>339</v>
      </c>
      <c r="AI174" s="6" t="s">
        <v>286</v>
      </c>
      <c r="AJ174" s="9">
        <v>40</v>
      </c>
      <c r="AK174" s="8">
        <v>40</v>
      </c>
      <c r="AL174" s="8">
        <v>40</v>
      </c>
      <c r="AM174" s="8">
        <v>40</v>
      </c>
      <c r="AN174" s="8">
        <v>40</v>
      </c>
      <c r="AO174" s="13">
        <v>40</v>
      </c>
      <c r="AP174" s="5"/>
    </row>
    <row r="175" spans="1:42">
      <c r="A175" s="12">
        <v>174</v>
      </c>
      <c r="B175" s="6" t="s">
        <v>853</v>
      </c>
      <c r="C175" s="6" t="s">
        <v>1869</v>
      </c>
      <c r="D175" s="6" t="s">
        <v>301</v>
      </c>
      <c r="E175" s="6" t="s">
        <v>251</v>
      </c>
      <c r="F175" s="7">
        <v>46257</v>
      </c>
      <c r="G175" s="6" t="s">
        <v>111</v>
      </c>
      <c r="H175" s="6" t="s">
        <v>94</v>
      </c>
      <c r="I175" s="6" t="s">
        <v>94</v>
      </c>
      <c r="J175" s="6" t="s">
        <v>213</v>
      </c>
      <c r="K175" s="6" t="s">
        <v>91</v>
      </c>
      <c r="L175" s="6" t="s">
        <v>92</v>
      </c>
      <c r="M175" s="6" t="s">
        <v>213</v>
      </c>
      <c r="N175" s="6" t="s">
        <v>94</v>
      </c>
      <c r="O175" s="6" t="s">
        <v>94</v>
      </c>
      <c r="P175" s="6" t="s">
        <v>94</v>
      </c>
      <c r="Q175" s="6" t="s">
        <v>94</v>
      </c>
      <c r="R175" s="11" t="s">
        <v>1838</v>
      </c>
      <c r="S175" s="6" t="s">
        <v>94</v>
      </c>
      <c r="T175" s="6" t="s">
        <v>94</v>
      </c>
      <c r="U175" s="6" t="s">
        <v>94</v>
      </c>
      <c r="V175" s="6" t="s">
        <v>94</v>
      </c>
      <c r="W175" s="6" t="s">
        <v>281</v>
      </c>
      <c r="X175" s="6" t="s">
        <v>1652</v>
      </c>
      <c r="Y175" s="6" t="s">
        <v>1652</v>
      </c>
      <c r="Z175" s="6" t="s">
        <v>1652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6" t="s">
        <v>94</v>
      </c>
      <c r="AG175" s="6" t="s">
        <v>94</v>
      </c>
      <c r="AH175" s="6" t="s">
        <v>94</v>
      </c>
      <c r="AI175" s="6" t="s">
        <v>94</v>
      </c>
      <c r="AJ175" s="9">
        <v>0</v>
      </c>
      <c r="AK175" s="8">
        <v>0</v>
      </c>
      <c r="AL175" s="8">
        <v>0</v>
      </c>
      <c r="AM175" s="8">
        <v>0</v>
      </c>
      <c r="AN175" s="8">
        <v>0</v>
      </c>
      <c r="AO175" s="13">
        <v>0</v>
      </c>
      <c r="AP175" s="5"/>
    </row>
    <row r="176" spans="1:42">
      <c r="A176" s="12">
        <v>175</v>
      </c>
      <c r="B176" s="6" t="s">
        <v>855</v>
      </c>
      <c r="C176" s="6" t="s">
        <v>1870</v>
      </c>
      <c r="D176" s="6" t="s">
        <v>378</v>
      </c>
      <c r="E176" s="6" t="s">
        <v>86</v>
      </c>
      <c r="F176" s="7">
        <v>42614</v>
      </c>
      <c r="G176" s="6" t="s">
        <v>87</v>
      </c>
      <c r="H176" s="6" t="s">
        <v>175</v>
      </c>
      <c r="I176" s="6" t="s">
        <v>857</v>
      </c>
      <c r="J176" s="6" t="s">
        <v>90</v>
      </c>
      <c r="K176" s="6" t="s">
        <v>91</v>
      </c>
      <c r="L176" s="6" t="s">
        <v>92</v>
      </c>
      <c r="M176" s="6" t="s">
        <v>90</v>
      </c>
      <c r="N176" s="6" t="s">
        <v>93</v>
      </c>
      <c r="O176" s="6" t="s">
        <v>122</v>
      </c>
      <c r="P176" s="6" t="s">
        <v>93</v>
      </c>
      <c r="Q176" s="6" t="s">
        <v>122</v>
      </c>
      <c r="R176" s="6" t="s">
        <v>1643</v>
      </c>
      <c r="S176" s="6" t="s">
        <v>94</v>
      </c>
      <c r="T176" s="6" t="s">
        <v>94</v>
      </c>
      <c r="U176" s="6" t="s">
        <v>94</v>
      </c>
      <c r="V176" s="6" t="s">
        <v>94</v>
      </c>
      <c r="W176" s="6" t="s">
        <v>490</v>
      </c>
      <c r="X176" s="6" t="s">
        <v>1643</v>
      </c>
      <c r="Y176" s="6" t="s">
        <v>1643</v>
      </c>
      <c r="Z176" s="6" t="s">
        <v>1643</v>
      </c>
      <c r="AA176" s="8">
        <v>1</v>
      </c>
      <c r="AB176" s="8">
        <v>1</v>
      </c>
      <c r="AC176" s="8">
        <v>1</v>
      </c>
      <c r="AD176" s="8">
        <v>1</v>
      </c>
      <c r="AE176" s="8">
        <v>100</v>
      </c>
      <c r="AF176" s="6" t="s">
        <v>282</v>
      </c>
      <c r="AG176" s="6" t="s">
        <v>283</v>
      </c>
      <c r="AH176" s="6" t="s">
        <v>301</v>
      </c>
      <c r="AI176" s="6" t="s">
        <v>286</v>
      </c>
      <c r="AJ176" s="9">
        <v>40</v>
      </c>
      <c r="AK176" s="8">
        <v>40</v>
      </c>
      <c r="AL176" s="8">
        <v>40</v>
      </c>
      <c r="AM176" s="8">
        <v>40</v>
      </c>
      <c r="AN176" s="8">
        <v>40</v>
      </c>
      <c r="AO176" s="13">
        <v>40</v>
      </c>
      <c r="AP176" s="5"/>
    </row>
    <row r="177" spans="1:42">
      <c r="A177" s="12">
        <v>176</v>
      </c>
      <c r="B177" s="6" t="s">
        <v>858</v>
      </c>
      <c r="C177" s="6" t="s">
        <v>1871</v>
      </c>
      <c r="D177" s="6" t="s">
        <v>486</v>
      </c>
      <c r="E177" s="6" t="s">
        <v>86</v>
      </c>
      <c r="F177" s="7">
        <v>45114</v>
      </c>
      <c r="G177" s="6" t="s">
        <v>111</v>
      </c>
      <c r="H177" s="6" t="s">
        <v>126</v>
      </c>
      <c r="I177" s="6" t="s">
        <v>860</v>
      </c>
      <c r="J177" s="6" t="s">
        <v>90</v>
      </c>
      <c r="K177" s="6" t="s">
        <v>91</v>
      </c>
      <c r="L177" s="6" t="s">
        <v>92</v>
      </c>
      <c r="M177" s="6" t="s">
        <v>90</v>
      </c>
      <c r="N177" s="6" t="s">
        <v>131</v>
      </c>
      <c r="O177" s="6" t="s">
        <v>122</v>
      </c>
      <c r="P177" s="6" t="s">
        <v>131</v>
      </c>
      <c r="Q177" s="6" t="s">
        <v>122</v>
      </c>
      <c r="R177" s="6" t="s">
        <v>1643</v>
      </c>
      <c r="S177" s="6" t="s">
        <v>94</v>
      </c>
      <c r="T177" s="6" t="s">
        <v>94</v>
      </c>
      <c r="U177" s="6" t="s">
        <v>94</v>
      </c>
      <c r="V177" s="6" t="s">
        <v>94</v>
      </c>
      <c r="W177" s="6" t="s">
        <v>418</v>
      </c>
      <c r="X177" s="6" t="s">
        <v>1643</v>
      </c>
      <c r="Y177" s="6" t="s">
        <v>1643</v>
      </c>
      <c r="Z177" s="6" t="s">
        <v>1643</v>
      </c>
      <c r="AA177" s="8">
        <v>1</v>
      </c>
      <c r="AB177" s="8">
        <v>1</v>
      </c>
      <c r="AC177" s="8">
        <v>1</v>
      </c>
      <c r="AD177" s="8">
        <v>1</v>
      </c>
      <c r="AE177" s="8">
        <v>100</v>
      </c>
      <c r="AF177" s="6" t="s">
        <v>381</v>
      </c>
      <c r="AG177" s="6" t="s">
        <v>283</v>
      </c>
      <c r="AH177" s="6" t="s">
        <v>378</v>
      </c>
      <c r="AI177" s="6" t="s">
        <v>286</v>
      </c>
      <c r="AJ177" s="9">
        <v>40</v>
      </c>
      <c r="AK177" s="8">
        <v>40</v>
      </c>
      <c r="AL177" s="8">
        <v>40</v>
      </c>
      <c r="AM177" s="8">
        <v>40</v>
      </c>
      <c r="AN177" s="8">
        <v>40</v>
      </c>
      <c r="AO177" s="13">
        <v>40</v>
      </c>
      <c r="AP177" s="5"/>
    </row>
    <row r="178" spans="1:42">
      <c r="A178" s="12">
        <v>177</v>
      </c>
      <c r="B178" s="6" t="s">
        <v>861</v>
      </c>
      <c r="C178" s="6" t="s">
        <v>1872</v>
      </c>
      <c r="D178" s="6" t="s">
        <v>392</v>
      </c>
      <c r="E178" s="6" t="s">
        <v>86</v>
      </c>
      <c r="F178" s="7">
        <v>45069</v>
      </c>
      <c r="G178" s="6" t="s">
        <v>863</v>
      </c>
      <c r="H178" s="6" t="s">
        <v>389</v>
      </c>
      <c r="I178" s="6" t="s">
        <v>864</v>
      </c>
      <c r="J178" s="6" t="s">
        <v>90</v>
      </c>
      <c r="K178" s="6" t="s">
        <v>91</v>
      </c>
      <c r="L178" s="6" t="s">
        <v>92</v>
      </c>
      <c r="M178" s="6" t="s">
        <v>90</v>
      </c>
      <c r="N178" s="6" t="s">
        <v>94</v>
      </c>
      <c r="O178" s="6" t="s">
        <v>94</v>
      </c>
      <c r="P178" s="6" t="s">
        <v>865</v>
      </c>
      <c r="Q178" s="6" t="s">
        <v>95</v>
      </c>
      <c r="R178" s="6" t="s">
        <v>1643</v>
      </c>
      <c r="S178" s="6" t="s">
        <v>94</v>
      </c>
      <c r="T178" s="6" t="s">
        <v>94</v>
      </c>
      <c r="U178" s="6" t="s">
        <v>94</v>
      </c>
      <c r="V178" s="6" t="s">
        <v>94</v>
      </c>
      <c r="W178" s="6" t="s">
        <v>866</v>
      </c>
      <c r="X178" s="6" t="s">
        <v>1643</v>
      </c>
      <c r="Y178" s="6" t="s">
        <v>1643</v>
      </c>
      <c r="Z178" s="6" t="s">
        <v>1643</v>
      </c>
      <c r="AA178" s="8">
        <v>1</v>
      </c>
      <c r="AB178" s="8">
        <v>1</v>
      </c>
      <c r="AC178" s="8">
        <v>1</v>
      </c>
      <c r="AD178" s="8">
        <v>1</v>
      </c>
      <c r="AE178" s="8">
        <v>100</v>
      </c>
      <c r="AF178" s="6" t="s">
        <v>491</v>
      </c>
      <c r="AG178" s="6" t="s">
        <v>492</v>
      </c>
      <c r="AH178" s="6" t="s">
        <v>486</v>
      </c>
      <c r="AI178" s="6" t="s">
        <v>286</v>
      </c>
      <c r="AJ178" s="9">
        <v>40</v>
      </c>
      <c r="AK178" s="8">
        <v>40</v>
      </c>
      <c r="AL178" s="8">
        <v>40</v>
      </c>
      <c r="AM178" s="8">
        <v>40</v>
      </c>
      <c r="AN178" s="8">
        <v>40</v>
      </c>
      <c r="AO178" s="13">
        <v>40</v>
      </c>
      <c r="AP178" s="5"/>
    </row>
    <row r="179" spans="1:42">
      <c r="A179" s="12">
        <v>178</v>
      </c>
      <c r="B179" s="6" t="s">
        <v>867</v>
      </c>
      <c r="C179" s="6" t="s">
        <v>1873</v>
      </c>
      <c r="D179" s="6" t="s">
        <v>348</v>
      </c>
      <c r="E179" s="6" t="s">
        <v>86</v>
      </c>
      <c r="F179" s="7">
        <v>43206</v>
      </c>
      <c r="G179" s="6" t="s">
        <v>204</v>
      </c>
      <c r="H179" s="6" t="s">
        <v>146</v>
      </c>
      <c r="I179" s="6" t="s">
        <v>869</v>
      </c>
      <c r="J179" s="6" t="s">
        <v>90</v>
      </c>
      <c r="K179" s="6" t="s">
        <v>91</v>
      </c>
      <c r="L179" s="6" t="s">
        <v>92</v>
      </c>
      <c r="M179" s="6" t="s">
        <v>90</v>
      </c>
      <c r="N179" s="6" t="s">
        <v>43</v>
      </c>
      <c r="O179" s="6" t="s">
        <v>122</v>
      </c>
      <c r="P179" s="6" t="s">
        <v>43</v>
      </c>
      <c r="Q179" s="6" t="s">
        <v>95</v>
      </c>
      <c r="R179" s="6" t="s">
        <v>1643</v>
      </c>
      <c r="S179" s="6" t="s">
        <v>94</v>
      </c>
      <c r="T179" s="6" t="s">
        <v>94</v>
      </c>
      <c r="U179" s="6" t="s">
        <v>94</v>
      </c>
      <c r="V179" s="6" t="s">
        <v>94</v>
      </c>
      <c r="W179" s="6" t="s">
        <v>403</v>
      </c>
      <c r="X179" s="6" t="s">
        <v>1643</v>
      </c>
      <c r="Y179" s="6" t="s">
        <v>1643</v>
      </c>
      <c r="Z179" s="6" t="s">
        <v>1652</v>
      </c>
      <c r="AA179" s="8">
        <v>1</v>
      </c>
      <c r="AB179" s="8">
        <v>1</v>
      </c>
      <c r="AC179" s="8">
        <v>1</v>
      </c>
      <c r="AD179" s="8">
        <v>0</v>
      </c>
      <c r="AE179" s="8">
        <v>100</v>
      </c>
      <c r="AF179" s="6" t="s">
        <v>282</v>
      </c>
      <c r="AG179" s="6" t="s">
        <v>283</v>
      </c>
      <c r="AH179" s="6" t="s">
        <v>392</v>
      </c>
      <c r="AI179" s="6" t="s">
        <v>286</v>
      </c>
      <c r="AJ179" s="9">
        <v>40</v>
      </c>
      <c r="AK179" s="8">
        <v>40</v>
      </c>
      <c r="AL179" s="8">
        <v>40</v>
      </c>
      <c r="AM179" s="8">
        <v>40</v>
      </c>
      <c r="AN179" s="8">
        <v>40</v>
      </c>
      <c r="AO179" s="13">
        <v>40</v>
      </c>
      <c r="AP179" s="5"/>
    </row>
    <row r="180" spans="1:42">
      <c r="A180" s="12">
        <v>179</v>
      </c>
      <c r="B180" s="6" t="s">
        <v>870</v>
      </c>
      <c r="C180" s="6" t="s">
        <v>1874</v>
      </c>
      <c r="D180" s="6" t="s">
        <v>348</v>
      </c>
      <c r="E180" s="6" t="s">
        <v>86</v>
      </c>
      <c r="F180" s="7">
        <v>43989</v>
      </c>
      <c r="G180" s="6" t="s">
        <v>204</v>
      </c>
      <c r="H180" s="6" t="s">
        <v>311</v>
      </c>
      <c r="I180" s="6" t="s">
        <v>872</v>
      </c>
      <c r="J180" s="6" t="s">
        <v>90</v>
      </c>
      <c r="K180" s="6" t="s">
        <v>91</v>
      </c>
      <c r="L180" s="6" t="s">
        <v>92</v>
      </c>
      <c r="M180" s="6" t="s">
        <v>90</v>
      </c>
      <c r="N180" s="6" t="s">
        <v>43</v>
      </c>
      <c r="O180" s="6" t="s">
        <v>122</v>
      </c>
      <c r="P180" s="6" t="s">
        <v>43</v>
      </c>
      <c r="Q180" s="6" t="s">
        <v>104</v>
      </c>
      <c r="R180" s="6" t="s">
        <v>1643</v>
      </c>
      <c r="S180" s="6" t="s">
        <v>1702</v>
      </c>
      <c r="T180" s="6" t="s">
        <v>94</v>
      </c>
      <c r="U180" s="6" t="s">
        <v>94</v>
      </c>
      <c r="V180" s="6" t="s">
        <v>94</v>
      </c>
      <c r="W180" s="6" t="s">
        <v>403</v>
      </c>
      <c r="X180" s="6" t="s">
        <v>1643</v>
      </c>
      <c r="Y180" s="6" t="s">
        <v>1643</v>
      </c>
      <c r="Z180" s="6" t="s">
        <v>1643</v>
      </c>
      <c r="AA180" s="8">
        <v>1</v>
      </c>
      <c r="AB180" s="8">
        <v>1</v>
      </c>
      <c r="AC180" s="8">
        <v>1</v>
      </c>
      <c r="AD180" s="8">
        <v>1</v>
      </c>
      <c r="AE180" s="8">
        <v>100</v>
      </c>
      <c r="AF180" s="6" t="s">
        <v>351</v>
      </c>
      <c r="AG180" s="6" t="s">
        <v>283</v>
      </c>
      <c r="AH180" s="6" t="s">
        <v>348</v>
      </c>
      <c r="AI180" s="6" t="s">
        <v>286</v>
      </c>
      <c r="AJ180" s="9">
        <v>40</v>
      </c>
      <c r="AK180" s="8">
        <v>40</v>
      </c>
      <c r="AL180" s="8">
        <v>40</v>
      </c>
      <c r="AM180" s="8">
        <v>40</v>
      </c>
      <c r="AN180" s="8">
        <v>40</v>
      </c>
      <c r="AO180" s="13">
        <v>40</v>
      </c>
      <c r="AP180" s="5"/>
    </row>
    <row r="181" spans="1:42">
      <c r="A181" s="12">
        <v>180</v>
      </c>
      <c r="B181" s="6" t="s">
        <v>873</v>
      </c>
      <c r="C181" s="6" t="s">
        <v>1875</v>
      </c>
      <c r="D181" s="6" t="s">
        <v>323</v>
      </c>
      <c r="E181" s="6" t="s">
        <v>86</v>
      </c>
      <c r="F181" s="7">
        <v>44363</v>
      </c>
      <c r="G181" s="6" t="s">
        <v>111</v>
      </c>
      <c r="H181" s="6" t="s">
        <v>187</v>
      </c>
      <c r="I181" s="6" t="s">
        <v>875</v>
      </c>
      <c r="J181" s="6" t="s">
        <v>90</v>
      </c>
      <c r="K181" s="6" t="s">
        <v>91</v>
      </c>
      <c r="L181" s="6" t="s">
        <v>92</v>
      </c>
      <c r="M181" s="6" t="s">
        <v>90</v>
      </c>
      <c r="N181" s="6" t="s">
        <v>131</v>
      </c>
      <c r="O181" s="6" t="s">
        <v>94</v>
      </c>
      <c r="P181" s="6" t="s">
        <v>93</v>
      </c>
      <c r="Q181" s="6" t="s">
        <v>104</v>
      </c>
      <c r="R181" s="6" t="s">
        <v>1643</v>
      </c>
      <c r="S181" s="6" t="s">
        <v>94</v>
      </c>
      <c r="T181" s="6" t="s">
        <v>94</v>
      </c>
      <c r="U181" s="6" t="s">
        <v>94</v>
      </c>
      <c r="V181" s="6" t="s">
        <v>94</v>
      </c>
      <c r="W181" s="6" t="s">
        <v>281</v>
      </c>
      <c r="X181" s="6" t="s">
        <v>1643</v>
      </c>
      <c r="Y181" s="6" t="s">
        <v>1643</v>
      </c>
      <c r="Z181" s="6" t="s">
        <v>1643</v>
      </c>
      <c r="AA181" s="8">
        <v>1</v>
      </c>
      <c r="AB181" s="8">
        <v>1</v>
      </c>
      <c r="AC181" s="8">
        <v>1</v>
      </c>
      <c r="AD181" s="8">
        <v>1</v>
      </c>
      <c r="AE181" s="8">
        <v>100</v>
      </c>
      <c r="AF181" s="6" t="s">
        <v>351</v>
      </c>
      <c r="AG181" s="6" t="s">
        <v>283</v>
      </c>
      <c r="AH181" s="6" t="s">
        <v>348</v>
      </c>
      <c r="AI181" s="6" t="s">
        <v>286</v>
      </c>
      <c r="AJ181" s="9">
        <v>40</v>
      </c>
      <c r="AK181" s="8">
        <v>40</v>
      </c>
      <c r="AL181" s="8">
        <v>40</v>
      </c>
      <c r="AM181" s="8">
        <v>40</v>
      </c>
      <c r="AN181" s="8">
        <v>40</v>
      </c>
      <c r="AO181" s="13">
        <v>40</v>
      </c>
      <c r="AP181" s="5"/>
    </row>
    <row r="182" spans="1:42">
      <c r="A182" s="12">
        <v>181</v>
      </c>
      <c r="B182" s="6" t="s">
        <v>876</v>
      </c>
      <c r="C182" s="6" t="s">
        <v>1876</v>
      </c>
      <c r="D182" s="6" t="s">
        <v>298</v>
      </c>
      <c r="E182" s="6" t="s">
        <v>86</v>
      </c>
      <c r="F182" s="7">
        <v>44501</v>
      </c>
      <c r="G182" s="6" t="s">
        <v>111</v>
      </c>
      <c r="H182" s="6" t="s">
        <v>146</v>
      </c>
      <c r="I182" s="6" t="s">
        <v>878</v>
      </c>
      <c r="J182" s="6" t="s">
        <v>90</v>
      </c>
      <c r="K182" s="6" t="s">
        <v>91</v>
      </c>
      <c r="L182" s="6" t="s">
        <v>92</v>
      </c>
      <c r="M182" s="6" t="s">
        <v>90</v>
      </c>
      <c r="N182" s="6" t="s">
        <v>412</v>
      </c>
      <c r="O182" s="6" t="s">
        <v>94</v>
      </c>
      <c r="P182" s="6" t="s">
        <v>364</v>
      </c>
      <c r="Q182" s="6" t="s">
        <v>122</v>
      </c>
      <c r="R182" s="6" t="s">
        <v>1643</v>
      </c>
      <c r="S182" s="6" t="s">
        <v>94</v>
      </c>
      <c r="T182" s="6" t="s">
        <v>94</v>
      </c>
      <c r="U182" s="6" t="s">
        <v>94</v>
      </c>
      <c r="V182" s="6" t="s">
        <v>94</v>
      </c>
      <c r="W182" s="6" t="s">
        <v>281</v>
      </c>
      <c r="X182" s="6" t="s">
        <v>1643</v>
      </c>
      <c r="Y182" s="6" t="s">
        <v>1643</v>
      </c>
      <c r="Z182" s="6" t="s">
        <v>1643</v>
      </c>
      <c r="AA182" s="8">
        <v>1</v>
      </c>
      <c r="AB182" s="8">
        <v>1</v>
      </c>
      <c r="AC182" s="8">
        <v>1</v>
      </c>
      <c r="AD182" s="8">
        <v>1</v>
      </c>
      <c r="AE182" s="8">
        <v>0</v>
      </c>
      <c r="AF182" s="6" t="s">
        <v>326</v>
      </c>
      <c r="AG182" s="6" t="s">
        <v>283</v>
      </c>
      <c r="AH182" s="6" t="s">
        <v>323</v>
      </c>
      <c r="AI182" s="6" t="s">
        <v>286</v>
      </c>
      <c r="AJ182" s="9">
        <v>40</v>
      </c>
      <c r="AK182" s="8">
        <v>40</v>
      </c>
      <c r="AL182" s="8">
        <v>40</v>
      </c>
      <c r="AM182" s="8">
        <v>40</v>
      </c>
      <c r="AN182" s="8">
        <v>40</v>
      </c>
      <c r="AO182" s="13">
        <v>40</v>
      </c>
      <c r="AP182" s="5"/>
    </row>
    <row r="183" spans="1:42">
      <c r="A183" s="12">
        <v>182</v>
      </c>
      <c r="B183" s="6" t="s">
        <v>879</v>
      </c>
      <c r="C183" s="6" t="s">
        <v>34</v>
      </c>
      <c r="D183" s="6" t="s">
        <v>315</v>
      </c>
      <c r="E183" s="6" t="s">
        <v>86</v>
      </c>
      <c r="F183" s="7">
        <v>46149</v>
      </c>
      <c r="G183" s="6" t="s">
        <v>111</v>
      </c>
      <c r="H183" s="6" t="s">
        <v>94</v>
      </c>
      <c r="I183" s="6" t="s">
        <v>94</v>
      </c>
      <c r="J183" s="6" t="s">
        <v>90</v>
      </c>
      <c r="K183" s="6" t="s">
        <v>91</v>
      </c>
      <c r="L183" s="6" t="s">
        <v>92</v>
      </c>
      <c r="M183" s="6" t="s">
        <v>90</v>
      </c>
      <c r="N183" s="6" t="s">
        <v>94</v>
      </c>
      <c r="O183" s="6" t="s">
        <v>94</v>
      </c>
      <c r="P183" s="6" t="s">
        <v>136</v>
      </c>
      <c r="Q183" s="6" t="s">
        <v>122</v>
      </c>
      <c r="R183" s="6" t="s">
        <v>1643</v>
      </c>
      <c r="S183" s="6" t="s">
        <v>1877</v>
      </c>
      <c r="T183" s="6" t="s">
        <v>94</v>
      </c>
      <c r="U183" s="6" t="s">
        <v>94</v>
      </c>
      <c r="V183" s="6" t="s">
        <v>94</v>
      </c>
      <c r="W183" s="6" t="s">
        <v>418</v>
      </c>
      <c r="X183" s="6" t="s">
        <v>1643</v>
      </c>
      <c r="Y183" s="6" t="s">
        <v>1643</v>
      </c>
      <c r="Z183" s="6" t="s">
        <v>1643</v>
      </c>
      <c r="AA183" s="8">
        <v>1</v>
      </c>
      <c r="AB183" s="8">
        <v>1</v>
      </c>
      <c r="AC183" s="8">
        <v>1</v>
      </c>
      <c r="AD183" s="8">
        <v>1</v>
      </c>
      <c r="AE183" s="8">
        <v>100</v>
      </c>
      <c r="AF183" s="6" t="s">
        <v>300</v>
      </c>
      <c r="AG183" s="6" t="s">
        <v>283</v>
      </c>
      <c r="AH183" s="6" t="s">
        <v>298</v>
      </c>
      <c r="AI183" s="6" t="s">
        <v>286</v>
      </c>
      <c r="AJ183" s="9">
        <v>40</v>
      </c>
      <c r="AK183" s="8">
        <v>40</v>
      </c>
      <c r="AL183" s="8">
        <v>40</v>
      </c>
      <c r="AM183" s="8">
        <v>40</v>
      </c>
      <c r="AN183" s="8">
        <v>40</v>
      </c>
      <c r="AO183" s="13">
        <v>40</v>
      </c>
      <c r="AP183" s="5"/>
    </row>
    <row r="184" spans="1:42">
      <c r="A184" s="12">
        <v>183</v>
      </c>
      <c r="B184" s="6" t="s">
        <v>881</v>
      </c>
      <c r="C184" s="6" t="s">
        <v>1878</v>
      </c>
      <c r="D184" s="6" t="s">
        <v>626</v>
      </c>
      <c r="E184" s="6" t="s">
        <v>86</v>
      </c>
      <c r="F184" s="7">
        <v>45292</v>
      </c>
      <c r="G184" s="6" t="s">
        <v>4</v>
      </c>
      <c r="H184" s="6" t="s">
        <v>622</v>
      </c>
      <c r="I184" s="6" t="s">
        <v>883</v>
      </c>
      <c r="J184" s="6" t="s">
        <v>213</v>
      </c>
      <c r="K184" s="6" t="s">
        <v>91</v>
      </c>
      <c r="L184" s="6" t="s">
        <v>92</v>
      </c>
      <c r="M184" s="6" t="s">
        <v>213</v>
      </c>
      <c r="N184" s="6" t="s">
        <v>94</v>
      </c>
      <c r="O184" s="6" t="s">
        <v>94</v>
      </c>
      <c r="P184" s="6" t="s">
        <v>27</v>
      </c>
      <c r="Q184" s="6" t="s">
        <v>122</v>
      </c>
      <c r="R184" s="6" t="s">
        <v>1643</v>
      </c>
      <c r="S184" s="6" t="s">
        <v>94</v>
      </c>
      <c r="T184" s="6" t="s">
        <v>94</v>
      </c>
      <c r="U184" s="6" t="s">
        <v>94</v>
      </c>
      <c r="V184" s="6" t="s">
        <v>94</v>
      </c>
      <c r="W184" s="6" t="s">
        <v>399</v>
      </c>
      <c r="X184" s="6" t="s">
        <v>1643</v>
      </c>
      <c r="Y184" s="6" t="s">
        <v>1643</v>
      </c>
      <c r="Z184" s="6" t="s">
        <v>1643</v>
      </c>
      <c r="AA184" s="8">
        <v>1</v>
      </c>
      <c r="AB184" s="8">
        <v>1</v>
      </c>
      <c r="AC184" s="8">
        <v>1</v>
      </c>
      <c r="AD184" s="8">
        <v>1</v>
      </c>
      <c r="AE184" s="8">
        <v>100</v>
      </c>
      <c r="AF184" s="6" t="s">
        <v>317</v>
      </c>
      <c r="AG184" s="6" t="s">
        <v>283</v>
      </c>
      <c r="AH184" s="6" t="s">
        <v>315</v>
      </c>
      <c r="AI184" s="6" t="s">
        <v>286</v>
      </c>
      <c r="AJ184" s="9">
        <v>40</v>
      </c>
      <c r="AK184" s="8">
        <v>40</v>
      </c>
      <c r="AL184" s="8">
        <v>40</v>
      </c>
      <c r="AM184" s="8">
        <v>40</v>
      </c>
      <c r="AN184" s="8">
        <v>40</v>
      </c>
      <c r="AO184" s="13">
        <v>40</v>
      </c>
      <c r="AP184" s="5"/>
    </row>
    <row r="185" spans="1:42">
      <c r="A185" s="12">
        <v>184</v>
      </c>
      <c r="B185" s="6" t="s">
        <v>884</v>
      </c>
      <c r="C185" s="6" t="s">
        <v>1879</v>
      </c>
      <c r="D185" s="6" t="s">
        <v>373</v>
      </c>
      <c r="E185" s="6" t="s">
        <v>86</v>
      </c>
      <c r="F185" s="7">
        <v>44608</v>
      </c>
      <c r="G185" s="6" t="s">
        <v>732</v>
      </c>
      <c r="H185" s="6" t="s">
        <v>252</v>
      </c>
      <c r="I185" s="6" t="s">
        <v>886</v>
      </c>
      <c r="J185" s="6" t="s">
        <v>90</v>
      </c>
      <c r="K185" s="6" t="s">
        <v>91</v>
      </c>
      <c r="L185" s="6" t="s">
        <v>92</v>
      </c>
      <c r="M185" s="6" t="s">
        <v>90</v>
      </c>
      <c r="N185" s="6" t="s">
        <v>584</v>
      </c>
      <c r="O185" s="6" t="s">
        <v>94</v>
      </c>
      <c r="P185" s="6" t="s">
        <v>43</v>
      </c>
      <c r="Q185" s="6" t="s">
        <v>104</v>
      </c>
      <c r="R185" s="6" t="s">
        <v>1643</v>
      </c>
      <c r="S185" s="6" t="s">
        <v>94</v>
      </c>
      <c r="T185" s="6" t="s">
        <v>94</v>
      </c>
      <c r="U185" s="6" t="s">
        <v>94</v>
      </c>
      <c r="V185" s="6" t="s">
        <v>94</v>
      </c>
      <c r="W185" s="6" t="s">
        <v>734</v>
      </c>
      <c r="X185" s="6" t="s">
        <v>1643</v>
      </c>
      <c r="Y185" s="6" t="s">
        <v>1643</v>
      </c>
      <c r="Z185" s="6" t="s">
        <v>1643</v>
      </c>
      <c r="AA185" s="8">
        <v>1</v>
      </c>
      <c r="AB185" s="8">
        <v>1</v>
      </c>
      <c r="AC185" s="8">
        <v>1</v>
      </c>
      <c r="AD185" s="8">
        <v>1</v>
      </c>
      <c r="AE185" s="8">
        <v>100</v>
      </c>
      <c r="AF185" s="6" t="s">
        <v>630</v>
      </c>
      <c r="AG185" s="6" t="s">
        <v>386</v>
      </c>
      <c r="AH185" s="6" t="s">
        <v>626</v>
      </c>
      <c r="AI185" s="6" t="s">
        <v>286</v>
      </c>
      <c r="AJ185" s="9">
        <v>40</v>
      </c>
      <c r="AK185" s="8">
        <v>40</v>
      </c>
      <c r="AL185" s="8">
        <v>40</v>
      </c>
      <c r="AM185" s="8">
        <v>40</v>
      </c>
      <c r="AN185" s="8">
        <v>40</v>
      </c>
      <c r="AO185" s="13">
        <v>40</v>
      </c>
      <c r="AP185" s="5"/>
    </row>
    <row r="186" spans="1:42">
      <c r="A186" s="12">
        <v>185</v>
      </c>
      <c r="B186" s="6" t="s">
        <v>887</v>
      </c>
      <c r="C186" s="6" t="s">
        <v>1880</v>
      </c>
      <c r="D186" s="6" t="s">
        <v>315</v>
      </c>
      <c r="E186" s="6" t="s">
        <v>86</v>
      </c>
      <c r="F186" s="7">
        <v>42095</v>
      </c>
      <c r="G186" s="6" t="s">
        <v>889</v>
      </c>
      <c r="H186" s="6" t="s">
        <v>175</v>
      </c>
      <c r="I186" s="6" t="s">
        <v>890</v>
      </c>
      <c r="J186" s="6" t="s">
        <v>90</v>
      </c>
      <c r="K186" s="6" t="s">
        <v>91</v>
      </c>
      <c r="L186" s="6" t="s">
        <v>92</v>
      </c>
      <c r="M186" s="6" t="s">
        <v>90</v>
      </c>
      <c r="N186" s="6" t="s">
        <v>184</v>
      </c>
      <c r="O186" s="6" t="s">
        <v>122</v>
      </c>
      <c r="P186" s="6" t="s">
        <v>131</v>
      </c>
      <c r="Q186" s="6" t="s">
        <v>122</v>
      </c>
      <c r="R186" s="6" t="s">
        <v>1643</v>
      </c>
      <c r="S186" s="6" t="s">
        <v>94</v>
      </c>
      <c r="T186" s="6" t="s">
        <v>94</v>
      </c>
      <c r="U186" s="6" t="s">
        <v>94</v>
      </c>
      <c r="V186" s="6" t="s">
        <v>94</v>
      </c>
      <c r="W186" s="6" t="s">
        <v>891</v>
      </c>
      <c r="X186" s="6" t="s">
        <v>1643</v>
      </c>
      <c r="Y186" s="6" t="s">
        <v>1643</v>
      </c>
      <c r="Z186" s="6" t="s">
        <v>1643</v>
      </c>
      <c r="AA186" s="8">
        <v>1</v>
      </c>
      <c r="AB186" s="8">
        <v>1</v>
      </c>
      <c r="AC186" s="8">
        <v>1</v>
      </c>
      <c r="AD186" s="8">
        <v>1</v>
      </c>
      <c r="AE186" s="8">
        <v>100</v>
      </c>
      <c r="AF186" s="6" t="s">
        <v>334</v>
      </c>
      <c r="AG186" s="6" t="s">
        <v>335</v>
      </c>
      <c r="AH186" s="6" t="s">
        <v>373</v>
      </c>
      <c r="AI186" s="6" t="s">
        <v>286</v>
      </c>
      <c r="AJ186" s="9">
        <v>40</v>
      </c>
      <c r="AK186" s="8">
        <v>40</v>
      </c>
      <c r="AL186" s="8">
        <v>40</v>
      </c>
      <c r="AM186" s="8">
        <v>40</v>
      </c>
      <c r="AN186" s="8">
        <v>40</v>
      </c>
      <c r="AO186" s="13">
        <v>40</v>
      </c>
      <c r="AP186" s="5"/>
    </row>
    <row r="187" spans="1:42">
      <c r="A187" s="12">
        <v>186</v>
      </c>
      <c r="B187" s="6" t="s">
        <v>892</v>
      </c>
      <c r="C187" s="6" t="s">
        <v>1881</v>
      </c>
      <c r="D187" s="6" t="s">
        <v>679</v>
      </c>
      <c r="E187" s="6" t="s">
        <v>86</v>
      </c>
      <c r="F187" s="7">
        <v>44688</v>
      </c>
      <c r="G187" s="6" t="s">
        <v>26</v>
      </c>
      <c r="H187" s="6" t="s">
        <v>894</v>
      </c>
      <c r="I187" s="6" t="s">
        <v>895</v>
      </c>
      <c r="J187" s="6" t="s">
        <v>90</v>
      </c>
      <c r="K187" s="6" t="s">
        <v>91</v>
      </c>
      <c r="L187" s="6" t="s">
        <v>92</v>
      </c>
      <c r="M187" s="6" t="s">
        <v>90</v>
      </c>
      <c r="N187" s="6" t="s">
        <v>27</v>
      </c>
      <c r="O187" s="6" t="s">
        <v>95</v>
      </c>
      <c r="P187" s="6" t="s">
        <v>27</v>
      </c>
      <c r="Q187" s="6" t="s">
        <v>95</v>
      </c>
      <c r="R187" s="6" t="s">
        <v>1643</v>
      </c>
      <c r="S187" s="6" t="s">
        <v>1882</v>
      </c>
      <c r="T187" s="6" t="s">
        <v>94</v>
      </c>
      <c r="U187" s="6" t="s">
        <v>94</v>
      </c>
      <c r="V187" s="6" t="s">
        <v>94</v>
      </c>
      <c r="W187" s="6" t="s">
        <v>296</v>
      </c>
      <c r="X187" s="6" t="s">
        <v>1643</v>
      </c>
      <c r="Y187" s="6" t="s">
        <v>1652</v>
      </c>
      <c r="Z187" s="6" t="s">
        <v>1652</v>
      </c>
      <c r="AA187" s="8">
        <v>1</v>
      </c>
      <c r="AB187" s="8">
        <v>1</v>
      </c>
      <c r="AC187" s="8">
        <v>0</v>
      </c>
      <c r="AD187" s="8">
        <v>0</v>
      </c>
      <c r="AE187" s="8">
        <v>100</v>
      </c>
      <c r="AF187" s="6" t="s">
        <v>317</v>
      </c>
      <c r="AG187" s="6" t="s">
        <v>283</v>
      </c>
      <c r="AH187" s="6" t="s">
        <v>315</v>
      </c>
      <c r="AI187" s="6" t="s">
        <v>286</v>
      </c>
      <c r="AJ187" s="9">
        <v>40</v>
      </c>
      <c r="AK187" s="8">
        <v>40</v>
      </c>
      <c r="AL187" s="8">
        <v>40</v>
      </c>
      <c r="AM187" s="8">
        <v>40</v>
      </c>
      <c r="AN187" s="8">
        <v>40</v>
      </c>
      <c r="AO187" s="13">
        <v>40</v>
      </c>
      <c r="AP187" s="5"/>
    </row>
    <row r="188" spans="1:42">
      <c r="A188" s="12">
        <v>187</v>
      </c>
      <c r="B188" s="6" t="s">
        <v>896</v>
      </c>
      <c r="C188" s="6" t="s">
        <v>1883</v>
      </c>
      <c r="D188" s="6" t="s">
        <v>339</v>
      </c>
      <c r="E188" s="6" t="s">
        <v>86</v>
      </c>
      <c r="F188" s="7">
        <v>45664</v>
      </c>
      <c r="G188" s="6" t="s">
        <v>362</v>
      </c>
      <c r="H188" s="6" t="s">
        <v>94</v>
      </c>
      <c r="I188" s="6" t="s">
        <v>898</v>
      </c>
      <c r="J188" s="6" t="s">
        <v>90</v>
      </c>
      <c r="K188" s="6" t="s">
        <v>91</v>
      </c>
      <c r="L188" s="6" t="s">
        <v>92</v>
      </c>
      <c r="M188" s="6" t="s">
        <v>90</v>
      </c>
      <c r="N188" s="6" t="s">
        <v>94</v>
      </c>
      <c r="O188" s="6" t="s">
        <v>94</v>
      </c>
      <c r="P188" s="6" t="s">
        <v>584</v>
      </c>
      <c r="Q188" s="6" t="s">
        <v>95</v>
      </c>
      <c r="R188" s="6" t="s">
        <v>1643</v>
      </c>
      <c r="S188" s="6" t="s">
        <v>94</v>
      </c>
      <c r="T188" s="6" t="s">
        <v>94</v>
      </c>
      <c r="U188" s="6" t="s">
        <v>94</v>
      </c>
      <c r="V188" s="6" t="s">
        <v>94</v>
      </c>
      <c r="W188" s="6" t="s">
        <v>365</v>
      </c>
      <c r="X188" s="6" t="s">
        <v>1643</v>
      </c>
      <c r="Y188" s="6" t="s">
        <v>1643</v>
      </c>
      <c r="Z188" s="6" t="s">
        <v>1643</v>
      </c>
      <c r="AA188" s="8">
        <v>1</v>
      </c>
      <c r="AB188" s="8">
        <v>1</v>
      </c>
      <c r="AC188" s="8">
        <v>1</v>
      </c>
      <c r="AD188" s="8">
        <v>1</v>
      </c>
      <c r="AE188" s="8">
        <v>100</v>
      </c>
      <c r="AF188" s="6" t="s">
        <v>282</v>
      </c>
      <c r="AG188" s="6" t="s">
        <v>283</v>
      </c>
      <c r="AH188" s="6" t="s">
        <v>679</v>
      </c>
      <c r="AI188" s="6" t="s">
        <v>286</v>
      </c>
      <c r="AJ188" s="9">
        <v>40</v>
      </c>
      <c r="AK188" s="8">
        <v>40</v>
      </c>
      <c r="AL188" s="8">
        <v>40</v>
      </c>
      <c r="AM188" s="8">
        <v>40</v>
      </c>
      <c r="AN188" s="8">
        <v>40</v>
      </c>
      <c r="AO188" s="13">
        <v>40</v>
      </c>
      <c r="AP188" s="5"/>
    </row>
    <row r="189" spans="1:42">
      <c r="A189" s="12">
        <v>188</v>
      </c>
      <c r="B189" s="6" t="s">
        <v>899</v>
      </c>
      <c r="C189" s="6" t="s">
        <v>1884</v>
      </c>
      <c r="D189" s="6" t="s">
        <v>373</v>
      </c>
      <c r="E189" s="6" t="s">
        <v>86</v>
      </c>
      <c r="F189" s="7">
        <v>43107</v>
      </c>
      <c r="G189" s="6" t="s">
        <v>150</v>
      </c>
      <c r="H189" s="6" t="s">
        <v>622</v>
      </c>
      <c r="I189" s="6" t="s">
        <v>901</v>
      </c>
      <c r="J189" s="6" t="s">
        <v>90</v>
      </c>
      <c r="K189" s="6" t="s">
        <v>91</v>
      </c>
      <c r="L189" s="6" t="s">
        <v>92</v>
      </c>
      <c r="M189" s="6" t="s">
        <v>90</v>
      </c>
      <c r="N189" s="6" t="s">
        <v>27</v>
      </c>
      <c r="O189" s="6" t="s">
        <v>95</v>
      </c>
      <c r="P189" s="6" t="s">
        <v>27</v>
      </c>
      <c r="Q189" s="6" t="s">
        <v>122</v>
      </c>
      <c r="R189" s="6" t="s">
        <v>1643</v>
      </c>
      <c r="S189" s="6" t="s">
        <v>94</v>
      </c>
      <c r="T189" s="6" t="s">
        <v>94</v>
      </c>
      <c r="U189" s="6" t="s">
        <v>94</v>
      </c>
      <c r="V189" s="6" t="s">
        <v>94</v>
      </c>
      <c r="W189" s="6" t="s">
        <v>445</v>
      </c>
      <c r="X189" s="6" t="s">
        <v>1643</v>
      </c>
      <c r="Y189" s="6" t="s">
        <v>1643</v>
      </c>
      <c r="Z189" s="6" t="s">
        <v>1643</v>
      </c>
      <c r="AA189" s="8">
        <v>1</v>
      </c>
      <c r="AB189" s="8">
        <v>1</v>
      </c>
      <c r="AC189" s="8">
        <v>1</v>
      </c>
      <c r="AD189" s="8">
        <v>1</v>
      </c>
      <c r="AE189" s="8">
        <v>100</v>
      </c>
      <c r="AF189" s="6" t="s">
        <v>334</v>
      </c>
      <c r="AG189" s="6" t="s">
        <v>335</v>
      </c>
      <c r="AH189" s="6" t="s">
        <v>339</v>
      </c>
      <c r="AI189" s="6" t="s">
        <v>286</v>
      </c>
      <c r="AJ189" s="9">
        <v>40</v>
      </c>
      <c r="AK189" s="8">
        <v>40</v>
      </c>
      <c r="AL189" s="8">
        <v>40</v>
      </c>
      <c r="AM189" s="8">
        <v>40</v>
      </c>
      <c r="AN189" s="8">
        <v>40</v>
      </c>
      <c r="AO189" s="13">
        <v>40</v>
      </c>
      <c r="AP189" s="5"/>
    </row>
    <row r="190" spans="1:42">
      <c r="A190" s="12">
        <v>189</v>
      </c>
      <c r="B190" s="6" t="s">
        <v>902</v>
      </c>
      <c r="C190" s="6" t="s">
        <v>1885</v>
      </c>
      <c r="D190" s="6" t="s">
        <v>298</v>
      </c>
      <c r="E190" s="6" t="s">
        <v>86</v>
      </c>
      <c r="F190" s="7">
        <v>44918</v>
      </c>
      <c r="G190" s="6" t="s">
        <v>430</v>
      </c>
      <c r="H190" s="6" t="s">
        <v>101</v>
      </c>
      <c r="I190" s="6" t="s">
        <v>904</v>
      </c>
      <c r="J190" s="6" t="s">
        <v>90</v>
      </c>
      <c r="K190" s="6" t="s">
        <v>91</v>
      </c>
      <c r="L190" s="6" t="s">
        <v>92</v>
      </c>
      <c r="M190" s="6" t="s">
        <v>90</v>
      </c>
      <c r="N190" s="6" t="s">
        <v>136</v>
      </c>
      <c r="O190" s="6" t="s">
        <v>122</v>
      </c>
      <c r="P190" s="6" t="s">
        <v>131</v>
      </c>
      <c r="Q190" s="6" t="s">
        <v>122</v>
      </c>
      <c r="R190" s="6" t="s">
        <v>1643</v>
      </c>
      <c r="S190" s="6" t="s">
        <v>1886</v>
      </c>
      <c r="T190" s="6" t="s">
        <v>94</v>
      </c>
      <c r="U190" s="6" t="s">
        <v>94</v>
      </c>
      <c r="V190" s="6" t="s">
        <v>94</v>
      </c>
      <c r="W190" s="6" t="s">
        <v>433</v>
      </c>
      <c r="X190" s="6" t="s">
        <v>1643</v>
      </c>
      <c r="Y190" s="6" t="s">
        <v>1643</v>
      </c>
      <c r="Z190" s="6" t="s">
        <v>1643</v>
      </c>
      <c r="AA190" s="8">
        <v>1</v>
      </c>
      <c r="AB190" s="8">
        <v>1</v>
      </c>
      <c r="AC190" s="8">
        <v>1</v>
      </c>
      <c r="AD190" s="8">
        <v>1</v>
      </c>
      <c r="AE190" s="8">
        <v>100</v>
      </c>
      <c r="AF190" s="6" t="s">
        <v>334</v>
      </c>
      <c r="AG190" s="6" t="s">
        <v>335</v>
      </c>
      <c r="AH190" s="6" t="s">
        <v>373</v>
      </c>
      <c r="AI190" s="6" t="s">
        <v>286</v>
      </c>
      <c r="AJ190" s="9">
        <v>40</v>
      </c>
      <c r="AK190" s="8">
        <v>40</v>
      </c>
      <c r="AL190" s="8">
        <v>40</v>
      </c>
      <c r="AM190" s="8">
        <v>40</v>
      </c>
      <c r="AN190" s="8">
        <v>40</v>
      </c>
      <c r="AO190" s="13">
        <v>40</v>
      </c>
      <c r="AP190" s="5"/>
    </row>
    <row r="191" spans="1:42">
      <c r="A191" s="12">
        <v>190</v>
      </c>
      <c r="B191" s="6" t="s">
        <v>902</v>
      </c>
      <c r="C191" s="6" t="s">
        <v>67</v>
      </c>
      <c r="D191" s="6" t="s">
        <v>298</v>
      </c>
      <c r="E191" s="6" t="s">
        <v>251</v>
      </c>
      <c r="F191" s="7">
        <v>46250</v>
      </c>
      <c r="G191" s="6" t="s">
        <v>111</v>
      </c>
      <c r="H191" s="6" t="s">
        <v>252</v>
      </c>
      <c r="I191" s="6" t="s">
        <v>253</v>
      </c>
      <c r="J191" s="6" t="s">
        <v>90</v>
      </c>
      <c r="K191" s="6" t="s">
        <v>91</v>
      </c>
      <c r="L191" s="6" t="s">
        <v>92</v>
      </c>
      <c r="M191" s="6" t="s">
        <v>90</v>
      </c>
      <c r="N191" s="6" t="s">
        <v>131</v>
      </c>
      <c r="O191" s="6" t="s">
        <v>104</v>
      </c>
      <c r="P191" s="6" t="s">
        <v>131</v>
      </c>
      <c r="Q191" s="6" t="s">
        <v>104</v>
      </c>
      <c r="R191" s="11" t="s">
        <v>1838</v>
      </c>
      <c r="S191" s="6" t="s">
        <v>94</v>
      </c>
      <c r="T191" s="6" t="s">
        <v>94</v>
      </c>
      <c r="U191" s="6" t="s">
        <v>94</v>
      </c>
      <c r="V191" s="6" t="s">
        <v>94</v>
      </c>
      <c r="W191" s="6" t="s">
        <v>281</v>
      </c>
      <c r="X191" s="6" t="s">
        <v>1652</v>
      </c>
      <c r="Y191" s="6" t="s">
        <v>1652</v>
      </c>
      <c r="Z191" s="6" t="s">
        <v>1652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6" t="s">
        <v>300</v>
      </c>
      <c r="AG191" s="6" t="s">
        <v>283</v>
      </c>
      <c r="AH191" s="6" t="s">
        <v>298</v>
      </c>
      <c r="AI191" s="6" t="s">
        <v>286</v>
      </c>
      <c r="AJ191" s="9">
        <v>0</v>
      </c>
      <c r="AK191" s="8">
        <v>0</v>
      </c>
      <c r="AL191" s="8">
        <v>0</v>
      </c>
      <c r="AM191" s="8">
        <v>0</v>
      </c>
      <c r="AN191" s="8">
        <v>0</v>
      </c>
      <c r="AO191" s="13">
        <v>0</v>
      </c>
      <c r="AP191" s="5"/>
    </row>
    <row r="192" spans="1:42">
      <c r="A192" s="12">
        <v>191</v>
      </c>
      <c r="B192" s="6" t="s">
        <v>906</v>
      </c>
      <c r="C192" s="6" t="s">
        <v>25</v>
      </c>
      <c r="D192" s="6" t="s">
        <v>348</v>
      </c>
      <c r="E192" s="6" t="s">
        <v>86</v>
      </c>
      <c r="F192" s="7">
        <v>44005</v>
      </c>
      <c r="G192" s="6" t="s">
        <v>150</v>
      </c>
      <c r="H192" s="6" t="s">
        <v>151</v>
      </c>
      <c r="I192" s="6" t="s">
        <v>152</v>
      </c>
      <c r="J192" s="6" t="s">
        <v>90</v>
      </c>
      <c r="K192" s="6" t="s">
        <v>91</v>
      </c>
      <c r="L192" s="6" t="s">
        <v>92</v>
      </c>
      <c r="M192" s="6" t="s">
        <v>90</v>
      </c>
      <c r="N192" s="6" t="s">
        <v>27</v>
      </c>
      <c r="O192" s="6" t="s">
        <v>122</v>
      </c>
      <c r="P192" s="6" t="s">
        <v>27</v>
      </c>
      <c r="Q192" s="6" t="s">
        <v>104</v>
      </c>
      <c r="R192" s="6" t="s">
        <v>1643</v>
      </c>
      <c r="S192" s="6" t="s">
        <v>94</v>
      </c>
      <c r="T192" s="6" t="s">
        <v>94</v>
      </c>
      <c r="U192" s="6" t="s">
        <v>94</v>
      </c>
      <c r="V192" s="6" t="s">
        <v>94</v>
      </c>
      <c r="W192" s="6" t="s">
        <v>445</v>
      </c>
      <c r="X192" s="6" t="s">
        <v>1643</v>
      </c>
      <c r="Y192" s="6" t="s">
        <v>1643</v>
      </c>
      <c r="Z192" s="6" t="s">
        <v>1643</v>
      </c>
      <c r="AA192" s="8">
        <v>1</v>
      </c>
      <c r="AB192" s="8">
        <v>1</v>
      </c>
      <c r="AC192" s="8">
        <v>1</v>
      </c>
      <c r="AD192" s="8">
        <v>1</v>
      </c>
      <c r="AE192" s="8">
        <v>100</v>
      </c>
      <c r="AF192" s="6" t="s">
        <v>300</v>
      </c>
      <c r="AG192" s="6" t="s">
        <v>283</v>
      </c>
      <c r="AH192" s="6" t="s">
        <v>298</v>
      </c>
      <c r="AI192" s="6" t="s">
        <v>286</v>
      </c>
      <c r="AJ192" s="9">
        <v>40</v>
      </c>
      <c r="AK192" s="8">
        <v>40</v>
      </c>
      <c r="AL192" s="8">
        <v>40</v>
      </c>
      <c r="AM192" s="8">
        <v>40</v>
      </c>
      <c r="AN192" s="8">
        <v>40</v>
      </c>
      <c r="AO192" s="13">
        <v>40</v>
      </c>
      <c r="AP192" s="5"/>
    </row>
    <row r="193" spans="1:42">
      <c r="A193" s="12">
        <v>192</v>
      </c>
      <c r="B193" s="6" t="s">
        <v>908</v>
      </c>
      <c r="C193" s="6" t="s">
        <v>1887</v>
      </c>
      <c r="D193" s="6" t="s">
        <v>575</v>
      </c>
      <c r="E193" s="6" t="s">
        <v>86</v>
      </c>
      <c r="F193" s="7">
        <v>42970</v>
      </c>
      <c r="G193" s="6" t="s">
        <v>204</v>
      </c>
      <c r="H193" s="6" t="s">
        <v>187</v>
      </c>
      <c r="I193" s="6" t="s">
        <v>910</v>
      </c>
      <c r="J193" s="6" t="s">
        <v>90</v>
      </c>
      <c r="K193" s="6" t="s">
        <v>91</v>
      </c>
      <c r="L193" s="6" t="s">
        <v>92</v>
      </c>
      <c r="M193" s="6" t="s">
        <v>90</v>
      </c>
      <c r="N193" s="6" t="s">
        <v>43</v>
      </c>
      <c r="O193" s="6" t="s">
        <v>122</v>
      </c>
      <c r="P193" s="6" t="s">
        <v>43</v>
      </c>
      <c r="Q193" s="6" t="s">
        <v>95</v>
      </c>
      <c r="R193" s="6" t="s">
        <v>1643</v>
      </c>
      <c r="S193" s="6" t="s">
        <v>1888</v>
      </c>
      <c r="T193" s="6" t="s">
        <v>94</v>
      </c>
      <c r="U193" s="6" t="s">
        <v>94</v>
      </c>
      <c r="V193" s="6" t="s">
        <v>94</v>
      </c>
      <c r="W193" s="6" t="s">
        <v>321</v>
      </c>
      <c r="X193" s="6" t="s">
        <v>1643</v>
      </c>
      <c r="Y193" s="6" t="s">
        <v>1643</v>
      </c>
      <c r="Z193" s="6" t="s">
        <v>1643</v>
      </c>
      <c r="AA193" s="8">
        <v>1</v>
      </c>
      <c r="AB193" s="8">
        <v>1</v>
      </c>
      <c r="AC193" s="8">
        <v>1</v>
      </c>
      <c r="AD193" s="8">
        <v>1</v>
      </c>
      <c r="AE193" s="8">
        <v>100</v>
      </c>
      <c r="AF193" s="6" t="s">
        <v>351</v>
      </c>
      <c r="AG193" s="6" t="s">
        <v>283</v>
      </c>
      <c r="AH193" s="6" t="s">
        <v>348</v>
      </c>
      <c r="AI193" s="6" t="s">
        <v>286</v>
      </c>
      <c r="AJ193" s="9">
        <v>40</v>
      </c>
      <c r="AK193" s="8">
        <v>40</v>
      </c>
      <c r="AL193" s="8">
        <v>40</v>
      </c>
      <c r="AM193" s="8">
        <v>40</v>
      </c>
      <c r="AN193" s="8">
        <v>40</v>
      </c>
      <c r="AO193" s="13">
        <v>40</v>
      </c>
      <c r="AP193" s="5"/>
    </row>
    <row r="194" spans="1:42">
      <c r="A194" s="12">
        <v>193</v>
      </c>
      <c r="B194" s="6" t="s">
        <v>911</v>
      </c>
      <c r="C194" s="6" t="s">
        <v>1889</v>
      </c>
      <c r="D194" s="6" t="s">
        <v>501</v>
      </c>
      <c r="E194" s="6" t="s">
        <v>86</v>
      </c>
      <c r="F194" s="7">
        <v>44181</v>
      </c>
      <c r="G194" s="6" t="s">
        <v>430</v>
      </c>
      <c r="H194" s="6" t="s">
        <v>120</v>
      </c>
      <c r="I194" s="6" t="s">
        <v>913</v>
      </c>
      <c r="J194" s="6" t="s">
        <v>90</v>
      </c>
      <c r="K194" s="6" t="s">
        <v>91</v>
      </c>
      <c r="L194" s="6" t="s">
        <v>92</v>
      </c>
      <c r="M194" s="6" t="s">
        <v>90</v>
      </c>
      <c r="N194" s="6" t="s">
        <v>136</v>
      </c>
      <c r="O194" s="6" t="s">
        <v>122</v>
      </c>
      <c r="P194" s="6" t="s">
        <v>136</v>
      </c>
      <c r="Q194" s="6" t="s">
        <v>122</v>
      </c>
      <c r="R194" s="6" t="s">
        <v>1643</v>
      </c>
      <c r="S194" s="6" t="s">
        <v>1669</v>
      </c>
      <c r="T194" s="6" t="s">
        <v>94</v>
      </c>
      <c r="U194" s="6" t="s">
        <v>94</v>
      </c>
      <c r="V194" s="6" t="s">
        <v>94</v>
      </c>
      <c r="W194" s="6" t="s">
        <v>433</v>
      </c>
      <c r="X194" s="6" t="s">
        <v>1643</v>
      </c>
      <c r="Y194" s="6" t="s">
        <v>1643</v>
      </c>
      <c r="Z194" s="6" t="s">
        <v>1643</v>
      </c>
      <c r="AA194" s="8">
        <v>1</v>
      </c>
      <c r="AB194" s="8">
        <v>1</v>
      </c>
      <c r="AC194" s="8">
        <v>1</v>
      </c>
      <c r="AD194" s="8">
        <v>1</v>
      </c>
      <c r="AE194" s="8">
        <v>100</v>
      </c>
      <c r="AF194" s="6" t="s">
        <v>282</v>
      </c>
      <c r="AG194" s="6" t="s">
        <v>283</v>
      </c>
      <c r="AH194" s="6" t="s">
        <v>575</v>
      </c>
      <c r="AI194" s="6" t="s">
        <v>286</v>
      </c>
      <c r="AJ194" s="9">
        <v>40</v>
      </c>
      <c r="AK194" s="8">
        <v>40</v>
      </c>
      <c r="AL194" s="8">
        <v>40</v>
      </c>
      <c r="AM194" s="8">
        <v>40</v>
      </c>
      <c r="AN194" s="8">
        <v>40</v>
      </c>
      <c r="AO194" s="13">
        <v>40</v>
      </c>
      <c r="AP194" s="5"/>
    </row>
    <row r="195" spans="1:42">
      <c r="A195" s="12">
        <v>194</v>
      </c>
      <c r="B195" s="6" t="s">
        <v>914</v>
      </c>
      <c r="C195" s="6" t="s">
        <v>1890</v>
      </c>
      <c r="D195" s="6" t="s">
        <v>392</v>
      </c>
      <c r="E195" s="6" t="s">
        <v>86</v>
      </c>
      <c r="F195" s="7">
        <v>44697</v>
      </c>
      <c r="G195" s="6" t="s">
        <v>204</v>
      </c>
      <c r="H195" s="6" t="s">
        <v>101</v>
      </c>
      <c r="I195" s="6" t="s">
        <v>916</v>
      </c>
      <c r="J195" s="6" t="s">
        <v>90</v>
      </c>
      <c r="K195" s="6" t="s">
        <v>91</v>
      </c>
      <c r="L195" s="6" t="s">
        <v>92</v>
      </c>
      <c r="M195" s="6" t="s">
        <v>90</v>
      </c>
      <c r="N195" s="6" t="s">
        <v>43</v>
      </c>
      <c r="O195" s="6" t="s">
        <v>94</v>
      </c>
      <c r="P195" s="6" t="s">
        <v>43</v>
      </c>
      <c r="Q195" s="6" t="s">
        <v>95</v>
      </c>
      <c r="R195" s="6" t="s">
        <v>1643</v>
      </c>
      <c r="S195" s="6" t="s">
        <v>94</v>
      </c>
      <c r="T195" s="6" t="s">
        <v>94</v>
      </c>
      <c r="U195" s="6" t="s">
        <v>94</v>
      </c>
      <c r="V195" s="6" t="s">
        <v>94</v>
      </c>
      <c r="W195" s="6" t="s">
        <v>403</v>
      </c>
      <c r="X195" s="6" t="s">
        <v>1643</v>
      </c>
      <c r="Y195" s="6" t="s">
        <v>1643</v>
      </c>
      <c r="Z195" s="6" t="s">
        <v>1643</v>
      </c>
      <c r="AA195" s="8">
        <v>1</v>
      </c>
      <c r="AB195" s="8">
        <v>1</v>
      </c>
      <c r="AC195" s="8">
        <v>1</v>
      </c>
      <c r="AD195" s="8">
        <v>1</v>
      </c>
      <c r="AE195" s="8">
        <v>100</v>
      </c>
      <c r="AF195" s="6" t="s">
        <v>334</v>
      </c>
      <c r="AG195" s="6" t="s">
        <v>335</v>
      </c>
      <c r="AH195" s="6" t="s">
        <v>501</v>
      </c>
      <c r="AI195" s="6" t="s">
        <v>286</v>
      </c>
      <c r="AJ195" s="9">
        <v>40</v>
      </c>
      <c r="AK195" s="8">
        <v>40</v>
      </c>
      <c r="AL195" s="8">
        <v>40</v>
      </c>
      <c r="AM195" s="8">
        <v>40</v>
      </c>
      <c r="AN195" s="8">
        <v>40</v>
      </c>
      <c r="AO195" s="13">
        <v>40</v>
      </c>
      <c r="AP195" s="5"/>
    </row>
    <row r="196" spans="1:42">
      <c r="A196" s="12">
        <v>195</v>
      </c>
      <c r="B196" s="6" t="s">
        <v>917</v>
      </c>
      <c r="C196" s="6" t="s">
        <v>1891</v>
      </c>
      <c r="D196" s="6" t="s">
        <v>486</v>
      </c>
      <c r="E196" s="6" t="s">
        <v>86</v>
      </c>
      <c r="F196" s="7">
        <v>44485</v>
      </c>
      <c r="G196" s="6" t="s">
        <v>204</v>
      </c>
      <c r="H196" s="6" t="s">
        <v>420</v>
      </c>
      <c r="I196" s="6" t="s">
        <v>919</v>
      </c>
      <c r="J196" s="6" t="s">
        <v>90</v>
      </c>
      <c r="K196" s="6" t="s">
        <v>91</v>
      </c>
      <c r="L196" s="6" t="s">
        <v>92</v>
      </c>
      <c r="M196" s="6" t="s">
        <v>90</v>
      </c>
      <c r="N196" s="6" t="s">
        <v>43</v>
      </c>
      <c r="O196" s="6" t="s">
        <v>94</v>
      </c>
      <c r="P196" s="6" t="s">
        <v>43</v>
      </c>
      <c r="Q196" s="6" t="s">
        <v>104</v>
      </c>
      <c r="R196" s="6" t="s">
        <v>1643</v>
      </c>
      <c r="S196" s="6" t="s">
        <v>1892</v>
      </c>
      <c r="T196" s="6" t="s">
        <v>1848</v>
      </c>
      <c r="U196" s="7">
        <v>46372.291666666664</v>
      </c>
      <c r="V196" s="6" t="s">
        <v>94</v>
      </c>
      <c r="W196" s="6" t="s">
        <v>403</v>
      </c>
      <c r="X196" s="6" t="s">
        <v>1643</v>
      </c>
      <c r="Y196" s="6" t="s">
        <v>1643</v>
      </c>
      <c r="Z196" s="6" t="s">
        <v>1652</v>
      </c>
      <c r="AA196" s="8">
        <v>1</v>
      </c>
      <c r="AB196" s="8">
        <v>1</v>
      </c>
      <c r="AC196" s="8">
        <v>1</v>
      </c>
      <c r="AD196" s="8">
        <v>0</v>
      </c>
      <c r="AE196" s="8">
        <v>100</v>
      </c>
      <c r="AF196" s="6" t="s">
        <v>282</v>
      </c>
      <c r="AG196" s="6" t="s">
        <v>283</v>
      </c>
      <c r="AH196" s="6" t="s">
        <v>392</v>
      </c>
      <c r="AI196" s="6" t="s">
        <v>286</v>
      </c>
      <c r="AJ196" s="9">
        <v>40</v>
      </c>
      <c r="AK196" s="8">
        <v>40</v>
      </c>
      <c r="AL196" s="8">
        <v>40</v>
      </c>
      <c r="AM196" s="8">
        <v>40</v>
      </c>
      <c r="AN196" s="8">
        <v>40</v>
      </c>
      <c r="AO196" s="13">
        <v>40</v>
      </c>
      <c r="AP196" s="5"/>
    </row>
    <row r="197" spans="1:42">
      <c r="A197" s="12">
        <v>196</v>
      </c>
      <c r="B197" s="6" t="s">
        <v>920</v>
      </c>
      <c r="C197" s="6" t="s">
        <v>1893</v>
      </c>
      <c r="D197" s="6" t="s">
        <v>292</v>
      </c>
      <c r="E197" s="6" t="s">
        <v>86</v>
      </c>
      <c r="F197" s="7">
        <v>45901</v>
      </c>
      <c r="G197" s="6" t="s">
        <v>922</v>
      </c>
      <c r="H197" s="6" t="s">
        <v>94</v>
      </c>
      <c r="I197" s="6" t="s">
        <v>923</v>
      </c>
      <c r="J197" s="6" t="s">
        <v>90</v>
      </c>
      <c r="K197" s="6" t="s">
        <v>91</v>
      </c>
      <c r="L197" s="6" t="s">
        <v>92</v>
      </c>
      <c r="M197" s="6" t="s">
        <v>90</v>
      </c>
      <c r="N197" s="6" t="s">
        <v>94</v>
      </c>
      <c r="O197" s="6" t="s">
        <v>94</v>
      </c>
      <c r="P197" s="6" t="s">
        <v>117</v>
      </c>
      <c r="Q197" s="6" t="s">
        <v>104</v>
      </c>
      <c r="R197" s="6" t="s">
        <v>1643</v>
      </c>
      <c r="S197" s="6" t="s">
        <v>94</v>
      </c>
      <c r="T197" s="6" t="s">
        <v>94</v>
      </c>
      <c r="U197" s="6" t="s">
        <v>94</v>
      </c>
      <c r="V197" s="6" t="s">
        <v>94</v>
      </c>
      <c r="W197" s="6" t="s">
        <v>924</v>
      </c>
      <c r="X197" s="6" t="s">
        <v>1643</v>
      </c>
      <c r="Y197" s="6" t="s">
        <v>1643</v>
      </c>
      <c r="Z197" s="6" t="s">
        <v>1643</v>
      </c>
      <c r="AA197" s="8">
        <v>1</v>
      </c>
      <c r="AB197" s="8">
        <v>1</v>
      </c>
      <c r="AC197" s="8">
        <v>1</v>
      </c>
      <c r="AD197" s="8">
        <v>1</v>
      </c>
      <c r="AE197" s="8">
        <v>100</v>
      </c>
      <c r="AF197" s="6" t="s">
        <v>491</v>
      </c>
      <c r="AG197" s="6" t="s">
        <v>492</v>
      </c>
      <c r="AH197" s="6" t="s">
        <v>486</v>
      </c>
      <c r="AI197" s="6" t="s">
        <v>286</v>
      </c>
      <c r="AJ197" s="9">
        <v>40</v>
      </c>
      <c r="AK197" s="8">
        <v>40</v>
      </c>
      <c r="AL197" s="8">
        <v>40</v>
      </c>
      <c r="AM197" s="8">
        <v>40</v>
      </c>
      <c r="AN197" s="8">
        <v>40</v>
      </c>
      <c r="AO197" s="13">
        <v>40</v>
      </c>
      <c r="AP197" s="5"/>
    </row>
    <row r="198" spans="1:42">
      <c r="A198" s="12">
        <v>197</v>
      </c>
      <c r="B198" s="6" t="s">
        <v>925</v>
      </c>
      <c r="C198" s="6" t="s">
        <v>1894</v>
      </c>
      <c r="D198" s="6" t="s">
        <v>348</v>
      </c>
      <c r="E198" s="6" t="s">
        <v>86</v>
      </c>
      <c r="F198" s="7">
        <v>45206</v>
      </c>
      <c r="G198" s="6" t="s">
        <v>204</v>
      </c>
      <c r="H198" s="6" t="s">
        <v>134</v>
      </c>
      <c r="I198" s="6" t="s">
        <v>927</v>
      </c>
      <c r="J198" s="6" t="s">
        <v>90</v>
      </c>
      <c r="K198" s="6" t="s">
        <v>91</v>
      </c>
      <c r="L198" s="6" t="s">
        <v>92</v>
      </c>
      <c r="M198" s="6" t="s">
        <v>90</v>
      </c>
      <c r="N198" s="6" t="s">
        <v>43</v>
      </c>
      <c r="O198" s="6" t="s">
        <v>122</v>
      </c>
      <c r="P198" s="6" t="s">
        <v>43</v>
      </c>
      <c r="Q198" s="6" t="s">
        <v>122</v>
      </c>
      <c r="R198" s="6" t="s">
        <v>1643</v>
      </c>
      <c r="S198" s="6" t="s">
        <v>94</v>
      </c>
      <c r="T198" s="6" t="s">
        <v>94</v>
      </c>
      <c r="U198" s="6" t="s">
        <v>94</v>
      </c>
      <c r="V198" s="6" t="s">
        <v>94</v>
      </c>
      <c r="W198" s="6" t="s">
        <v>403</v>
      </c>
      <c r="X198" s="6" t="s">
        <v>1643</v>
      </c>
      <c r="Y198" s="6" t="s">
        <v>1643</v>
      </c>
      <c r="Z198" s="6" t="s">
        <v>1643</v>
      </c>
      <c r="AA198" s="8">
        <v>1</v>
      </c>
      <c r="AB198" s="8">
        <v>1</v>
      </c>
      <c r="AC198" s="8">
        <v>1</v>
      </c>
      <c r="AD198" s="8">
        <v>1</v>
      </c>
      <c r="AE198" s="8">
        <v>100</v>
      </c>
      <c r="AF198" s="6" t="s">
        <v>297</v>
      </c>
      <c r="AG198" s="6" t="s">
        <v>283</v>
      </c>
      <c r="AH198" s="6" t="s">
        <v>292</v>
      </c>
      <c r="AI198" s="6" t="s">
        <v>286</v>
      </c>
      <c r="AJ198" s="9">
        <v>40</v>
      </c>
      <c r="AK198" s="8">
        <v>40</v>
      </c>
      <c r="AL198" s="8">
        <v>40</v>
      </c>
      <c r="AM198" s="8">
        <v>40</v>
      </c>
      <c r="AN198" s="8">
        <v>40</v>
      </c>
      <c r="AO198" s="13">
        <v>40</v>
      </c>
      <c r="AP198" s="5"/>
    </row>
    <row r="199" spans="1:42">
      <c r="A199" s="12">
        <v>198</v>
      </c>
      <c r="B199" s="6" t="s">
        <v>928</v>
      </c>
      <c r="C199" s="6" t="s">
        <v>1895</v>
      </c>
      <c r="D199" s="6" t="s">
        <v>486</v>
      </c>
      <c r="E199" s="6" t="s">
        <v>86</v>
      </c>
      <c r="F199" s="7">
        <v>44796</v>
      </c>
      <c r="G199" s="6" t="s">
        <v>111</v>
      </c>
      <c r="H199" s="6" t="s">
        <v>151</v>
      </c>
      <c r="I199" s="6" t="s">
        <v>930</v>
      </c>
      <c r="J199" s="6" t="s">
        <v>90</v>
      </c>
      <c r="K199" s="6" t="s">
        <v>91</v>
      </c>
      <c r="L199" s="6" t="s">
        <v>92</v>
      </c>
      <c r="M199" s="6" t="s">
        <v>90</v>
      </c>
      <c r="N199" s="6" t="s">
        <v>675</v>
      </c>
      <c r="O199" s="6" t="s">
        <v>94</v>
      </c>
      <c r="P199" s="6" t="s">
        <v>103</v>
      </c>
      <c r="Q199" s="6" t="s">
        <v>95</v>
      </c>
      <c r="R199" s="6" t="s">
        <v>1643</v>
      </c>
      <c r="S199" s="6" t="s">
        <v>94</v>
      </c>
      <c r="T199" s="6" t="s">
        <v>94</v>
      </c>
      <c r="U199" s="6" t="s">
        <v>94</v>
      </c>
      <c r="V199" s="6" t="s">
        <v>94</v>
      </c>
      <c r="W199" s="6" t="s">
        <v>281</v>
      </c>
      <c r="X199" s="6" t="s">
        <v>1643</v>
      </c>
      <c r="Y199" s="6" t="s">
        <v>1643</v>
      </c>
      <c r="Z199" s="6" t="s">
        <v>1643</v>
      </c>
      <c r="AA199" s="8">
        <v>1</v>
      </c>
      <c r="AB199" s="8">
        <v>1</v>
      </c>
      <c r="AC199" s="8">
        <v>1</v>
      </c>
      <c r="AD199" s="8">
        <v>1</v>
      </c>
      <c r="AE199" s="8">
        <v>100</v>
      </c>
      <c r="AF199" s="6" t="s">
        <v>351</v>
      </c>
      <c r="AG199" s="6" t="s">
        <v>283</v>
      </c>
      <c r="AH199" s="6" t="s">
        <v>348</v>
      </c>
      <c r="AI199" s="6" t="s">
        <v>286</v>
      </c>
      <c r="AJ199" s="9">
        <v>40</v>
      </c>
      <c r="AK199" s="8">
        <v>40</v>
      </c>
      <c r="AL199" s="8">
        <v>40</v>
      </c>
      <c r="AM199" s="8">
        <v>40</v>
      </c>
      <c r="AN199" s="8">
        <v>40</v>
      </c>
      <c r="AO199" s="13">
        <v>40</v>
      </c>
      <c r="AP199" s="5"/>
    </row>
    <row r="200" spans="1:42">
      <c r="A200" s="12">
        <v>199</v>
      </c>
      <c r="B200" s="6" t="s">
        <v>931</v>
      </c>
      <c r="C200" s="6" t="s">
        <v>1896</v>
      </c>
      <c r="D200" s="6" t="s">
        <v>373</v>
      </c>
      <c r="E200" s="6" t="s">
        <v>86</v>
      </c>
      <c r="F200" s="7">
        <v>44339</v>
      </c>
      <c r="G200" s="6" t="s">
        <v>111</v>
      </c>
      <c r="H200" s="6" t="s">
        <v>420</v>
      </c>
      <c r="I200" s="6" t="s">
        <v>933</v>
      </c>
      <c r="J200" s="6" t="s">
        <v>90</v>
      </c>
      <c r="K200" s="6" t="s">
        <v>91</v>
      </c>
      <c r="L200" s="6" t="s">
        <v>92</v>
      </c>
      <c r="M200" s="6" t="s">
        <v>90</v>
      </c>
      <c r="N200" s="6" t="s">
        <v>103</v>
      </c>
      <c r="O200" s="6" t="s">
        <v>95</v>
      </c>
      <c r="P200" s="6" t="s">
        <v>117</v>
      </c>
      <c r="Q200" s="6" t="s">
        <v>122</v>
      </c>
      <c r="R200" s="6" t="s">
        <v>1643</v>
      </c>
      <c r="S200" s="6" t="s">
        <v>94</v>
      </c>
      <c r="T200" s="6" t="s">
        <v>94</v>
      </c>
      <c r="U200" s="6" t="s">
        <v>94</v>
      </c>
      <c r="V200" s="6" t="s">
        <v>94</v>
      </c>
      <c r="W200" s="6" t="s">
        <v>281</v>
      </c>
      <c r="X200" s="6" t="s">
        <v>1643</v>
      </c>
      <c r="Y200" s="6" t="s">
        <v>1643</v>
      </c>
      <c r="Z200" s="6" t="s">
        <v>1643</v>
      </c>
      <c r="AA200" s="8">
        <v>1</v>
      </c>
      <c r="AB200" s="8">
        <v>1</v>
      </c>
      <c r="AC200" s="8">
        <v>1</v>
      </c>
      <c r="AD200" s="8">
        <v>1</v>
      </c>
      <c r="AE200" s="8">
        <v>100</v>
      </c>
      <c r="AF200" s="6" t="s">
        <v>491</v>
      </c>
      <c r="AG200" s="6" t="s">
        <v>492</v>
      </c>
      <c r="AH200" s="6" t="s">
        <v>486</v>
      </c>
      <c r="AI200" s="6" t="s">
        <v>286</v>
      </c>
      <c r="AJ200" s="9">
        <v>40</v>
      </c>
      <c r="AK200" s="8">
        <v>40</v>
      </c>
      <c r="AL200" s="8">
        <v>40</v>
      </c>
      <c r="AM200" s="8">
        <v>40</v>
      </c>
      <c r="AN200" s="8">
        <v>40</v>
      </c>
      <c r="AO200" s="13">
        <v>40</v>
      </c>
      <c r="AP200" s="5"/>
    </row>
    <row r="201" spans="1:42">
      <c r="A201" s="12">
        <v>200</v>
      </c>
      <c r="B201" s="6" t="s">
        <v>934</v>
      </c>
      <c r="C201" s="6" t="s">
        <v>1897</v>
      </c>
      <c r="D201" s="6" t="s">
        <v>378</v>
      </c>
      <c r="E201" s="6" t="s">
        <v>86</v>
      </c>
      <c r="F201" s="7">
        <v>44531</v>
      </c>
      <c r="G201" s="6" t="s">
        <v>936</v>
      </c>
      <c r="H201" s="6" t="s">
        <v>389</v>
      </c>
      <c r="I201" s="6" t="s">
        <v>937</v>
      </c>
      <c r="J201" s="6" t="s">
        <v>90</v>
      </c>
      <c r="K201" s="6" t="s">
        <v>91</v>
      </c>
      <c r="L201" s="6" t="s">
        <v>92</v>
      </c>
      <c r="M201" s="6" t="s">
        <v>90</v>
      </c>
      <c r="N201" s="6" t="s">
        <v>313</v>
      </c>
      <c r="O201" s="6" t="s">
        <v>94</v>
      </c>
      <c r="P201" s="6" t="s">
        <v>136</v>
      </c>
      <c r="Q201" s="6" t="s">
        <v>122</v>
      </c>
      <c r="R201" s="6" t="s">
        <v>1643</v>
      </c>
      <c r="S201" s="6" t="s">
        <v>94</v>
      </c>
      <c r="T201" s="6" t="s">
        <v>94</v>
      </c>
      <c r="U201" s="6" t="s">
        <v>94</v>
      </c>
      <c r="V201" s="6" t="s">
        <v>94</v>
      </c>
      <c r="W201" s="6" t="s">
        <v>938</v>
      </c>
      <c r="X201" s="6" t="s">
        <v>1643</v>
      </c>
      <c r="Y201" s="6" t="s">
        <v>1643</v>
      </c>
      <c r="Z201" s="6" t="s">
        <v>1643</v>
      </c>
      <c r="AA201" s="8">
        <v>1</v>
      </c>
      <c r="AB201" s="8">
        <v>1</v>
      </c>
      <c r="AC201" s="8">
        <v>1</v>
      </c>
      <c r="AD201" s="8">
        <v>1</v>
      </c>
      <c r="AE201" s="8">
        <v>100</v>
      </c>
      <c r="AF201" s="6" t="s">
        <v>334</v>
      </c>
      <c r="AG201" s="6" t="s">
        <v>335</v>
      </c>
      <c r="AH201" s="6" t="s">
        <v>373</v>
      </c>
      <c r="AI201" s="6" t="s">
        <v>286</v>
      </c>
      <c r="AJ201" s="9">
        <v>40</v>
      </c>
      <c r="AK201" s="8">
        <v>40</v>
      </c>
      <c r="AL201" s="8">
        <v>40</v>
      </c>
      <c r="AM201" s="8">
        <v>40</v>
      </c>
      <c r="AN201" s="8">
        <v>40</v>
      </c>
      <c r="AO201" s="13">
        <v>40</v>
      </c>
      <c r="AP201" s="5"/>
    </row>
    <row r="202" spans="1:42">
      <c r="A202" s="12">
        <v>201</v>
      </c>
      <c r="B202" s="6" t="s">
        <v>939</v>
      </c>
      <c r="C202" s="6" t="s">
        <v>1898</v>
      </c>
      <c r="D202" s="6" t="s">
        <v>285</v>
      </c>
      <c r="E202" s="6" t="s">
        <v>86</v>
      </c>
      <c r="F202" s="7">
        <v>45998</v>
      </c>
      <c r="G202" s="6" t="s">
        <v>26</v>
      </c>
      <c r="H202" s="6" t="s">
        <v>94</v>
      </c>
      <c r="I202" s="6" t="s">
        <v>156</v>
      </c>
      <c r="J202" s="6" t="s">
        <v>90</v>
      </c>
      <c r="K202" s="6" t="s">
        <v>91</v>
      </c>
      <c r="L202" s="6" t="s">
        <v>92</v>
      </c>
      <c r="M202" s="6" t="s">
        <v>90</v>
      </c>
      <c r="N202" s="6" t="s">
        <v>94</v>
      </c>
      <c r="O202" s="6" t="s">
        <v>94</v>
      </c>
      <c r="P202" s="6" t="s">
        <v>27</v>
      </c>
      <c r="Q202" s="6" t="s">
        <v>104</v>
      </c>
      <c r="R202" s="6" t="s">
        <v>1643</v>
      </c>
      <c r="S202" s="6" t="s">
        <v>1899</v>
      </c>
      <c r="T202" s="6" t="s">
        <v>94</v>
      </c>
      <c r="U202" s="6" t="s">
        <v>94</v>
      </c>
      <c r="V202" s="6" t="s">
        <v>94</v>
      </c>
      <c r="W202" s="6" t="s">
        <v>296</v>
      </c>
      <c r="X202" s="6" t="s">
        <v>1643</v>
      </c>
      <c r="Y202" s="6" t="s">
        <v>1643</v>
      </c>
      <c r="Z202" s="6" t="s">
        <v>1643</v>
      </c>
      <c r="AA202" s="8">
        <v>1</v>
      </c>
      <c r="AB202" s="8">
        <v>1</v>
      </c>
      <c r="AC202" s="8">
        <v>1</v>
      </c>
      <c r="AD202" s="8">
        <v>1</v>
      </c>
      <c r="AE202" s="8">
        <v>100</v>
      </c>
      <c r="AF202" s="6" t="s">
        <v>381</v>
      </c>
      <c r="AG202" s="6" t="s">
        <v>283</v>
      </c>
      <c r="AH202" s="6" t="s">
        <v>378</v>
      </c>
      <c r="AI202" s="6" t="s">
        <v>286</v>
      </c>
      <c r="AJ202" s="9">
        <v>40</v>
      </c>
      <c r="AK202" s="8">
        <v>40</v>
      </c>
      <c r="AL202" s="8">
        <v>40</v>
      </c>
      <c r="AM202" s="8">
        <v>40</v>
      </c>
      <c r="AN202" s="8">
        <v>40</v>
      </c>
      <c r="AO202" s="13">
        <v>40</v>
      </c>
      <c r="AP202" s="5"/>
    </row>
    <row r="203" spans="1:42">
      <c r="A203" s="12">
        <v>202</v>
      </c>
      <c r="B203" s="6" t="s">
        <v>941</v>
      </c>
      <c r="C203" s="6" t="s">
        <v>1900</v>
      </c>
      <c r="D203" s="6" t="s">
        <v>339</v>
      </c>
      <c r="E203" s="6" t="s">
        <v>86</v>
      </c>
      <c r="F203" s="7">
        <v>43040</v>
      </c>
      <c r="G203" s="6" t="s">
        <v>111</v>
      </c>
      <c r="H203" s="6" t="s">
        <v>120</v>
      </c>
      <c r="I203" s="6" t="s">
        <v>943</v>
      </c>
      <c r="J203" s="6" t="s">
        <v>90</v>
      </c>
      <c r="K203" s="6" t="s">
        <v>91</v>
      </c>
      <c r="L203" s="6" t="s">
        <v>92</v>
      </c>
      <c r="M203" s="6" t="s">
        <v>90</v>
      </c>
      <c r="N203" s="6" t="s">
        <v>131</v>
      </c>
      <c r="O203" s="6" t="s">
        <v>94</v>
      </c>
      <c r="P203" s="6" t="s">
        <v>131</v>
      </c>
      <c r="Q203" s="6" t="s">
        <v>122</v>
      </c>
      <c r="R203" s="6" t="s">
        <v>1643</v>
      </c>
      <c r="S203" s="6" t="s">
        <v>1901</v>
      </c>
      <c r="T203" s="6" t="s">
        <v>94</v>
      </c>
      <c r="U203" s="6" t="s">
        <v>94</v>
      </c>
      <c r="V203" s="6" t="s">
        <v>94</v>
      </c>
      <c r="W203" s="6" t="s">
        <v>281</v>
      </c>
      <c r="X203" s="6" t="s">
        <v>1643</v>
      </c>
      <c r="Y203" s="6" t="s">
        <v>1643</v>
      </c>
      <c r="Z203" s="6" t="s">
        <v>1643</v>
      </c>
      <c r="AA203" s="8">
        <v>1</v>
      </c>
      <c r="AB203" s="8">
        <v>1</v>
      </c>
      <c r="AC203" s="8">
        <v>1</v>
      </c>
      <c r="AD203" s="8">
        <v>1</v>
      </c>
      <c r="AE203" s="8">
        <v>100</v>
      </c>
      <c r="AF203" s="6" t="s">
        <v>282</v>
      </c>
      <c r="AG203" s="6" t="s">
        <v>283</v>
      </c>
      <c r="AH203" s="6" t="s">
        <v>285</v>
      </c>
      <c r="AI203" s="6" t="s">
        <v>286</v>
      </c>
      <c r="AJ203" s="9">
        <v>40</v>
      </c>
      <c r="AK203" s="8">
        <v>40</v>
      </c>
      <c r="AL203" s="8">
        <v>40</v>
      </c>
      <c r="AM203" s="8">
        <v>40</v>
      </c>
      <c r="AN203" s="8">
        <v>40</v>
      </c>
      <c r="AO203" s="13">
        <v>40</v>
      </c>
      <c r="AP203" s="5"/>
    </row>
    <row r="204" spans="1:42">
      <c r="A204" s="12">
        <v>203</v>
      </c>
      <c r="B204" s="6" t="s">
        <v>944</v>
      </c>
      <c r="C204" s="6" t="s">
        <v>1902</v>
      </c>
      <c r="D204" s="6" t="s">
        <v>387</v>
      </c>
      <c r="E204" s="6" t="s">
        <v>86</v>
      </c>
      <c r="F204" s="7">
        <v>44713</v>
      </c>
      <c r="G204" s="6" t="s">
        <v>288</v>
      </c>
      <c r="H204" s="6" t="s">
        <v>389</v>
      </c>
      <c r="I204" s="6" t="s">
        <v>946</v>
      </c>
      <c r="J204" s="6" t="s">
        <v>90</v>
      </c>
      <c r="K204" s="6" t="s">
        <v>91</v>
      </c>
      <c r="L204" s="6" t="s">
        <v>92</v>
      </c>
      <c r="M204" s="6" t="s">
        <v>90</v>
      </c>
      <c r="N204" s="6" t="s">
        <v>103</v>
      </c>
      <c r="O204" s="6" t="s">
        <v>94</v>
      </c>
      <c r="P204" s="6" t="s">
        <v>103</v>
      </c>
      <c r="Q204" s="6" t="s">
        <v>95</v>
      </c>
      <c r="R204" s="6" t="s">
        <v>1643</v>
      </c>
      <c r="S204" s="6" t="s">
        <v>94</v>
      </c>
      <c r="T204" s="6" t="s">
        <v>94</v>
      </c>
      <c r="U204" s="6" t="s">
        <v>94</v>
      </c>
      <c r="V204" s="6" t="s">
        <v>94</v>
      </c>
      <c r="W204" s="6" t="s">
        <v>291</v>
      </c>
      <c r="X204" s="6" t="s">
        <v>1643</v>
      </c>
      <c r="Y204" s="6" t="s">
        <v>1643</v>
      </c>
      <c r="Z204" s="6" t="s">
        <v>1643</v>
      </c>
      <c r="AA204" s="8">
        <v>1</v>
      </c>
      <c r="AB204" s="8">
        <v>1</v>
      </c>
      <c r="AC204" s="8">
        <v>1</v>
      </c>
      <c r="AD204" s="8">
        <v>1</v>
      </c>
      <c r="AE204" s="8">
        <v>100</v>
      </c>
      <c r="AF204" s="6" t="s">
        <v>334</v>
      </c>
      <c r="AG204" s="6" t="s">
        <v>335</v>
      </c>
      <c r="AH204" s="6" t="s">
        <v>339</v>
      </c>
      <c r="AI204" s="6" t="s">
        <v>286</v>
      </c>
      <c r="AJ204" s="9">
        <v>40</v>
      </c>
      <c r="AK204" s="8">
        <v>40</v>
      </c>
      <c r="AL204" s="8">
        <v>40</v>
      </c>
      <c r="AM204" s="8">
        <v>40</v>
      </c>
      <c r="AN204" s="8">
        <v>40</v>
      </c>
      <c r="AO204" s="13">
        <v>40</v>
      </c>
      <c r="AP204" s="5"/>
    </row>
    <row r="205" spans="1:42">
      <c r="A205" s="12">
        <v>204</v>
      </c>
      <c r="B205" s="6" t="s">
        <v>947</v>
      </c>
      <c r="C205" s="6" t="s">
        <v>1903</v>
      </c>
      <c r="D205" s="6" t="s">
        <v>305</v>
      </c>
      <c r="E205" s="6" t="s">
        <v>86</v>
      </c>
      <c r="F205" s="7">
        <v>44835</v>
      </c>
      <c r="G205" s="6" t="s">
        <v>288</v>
      </c>
      <c r="H205" s="6" t="s">
        <v>146</v>
      </c>
      <c r="I205" s="6" t="s">
        <v>949</v>
      </c>
      <c r="J205" s="6" t="s">
        <v>90</v>
      </c>
      <c r="K205" s="6" t="s">
        <v>91</v>
      </c>
      <c r="L205" s="6" t="s">
        <v>92</v>
      </c>
      <c r="M205" s="6" t="s">
        <v>90</v>
      </c>
      <c r="N205" s="6" t="s">
        <v>131</v>
      </c>
      <c r="O205" s="6" t="s">
        <v>104</v>
      </c>
      <c r="P205" s="6" t="s">
        <v>117</v>
      </c>
      <c r="Q205" s="6" t="s">
        <v>104</v>
      </c>
      <c r="R205" s="6" t="s">
        <v>1643</v>
      </c>
      <c r="S205" s="6" t="s">
        <v>1904</v>
      </c>
      <c r="T205" s="6" t="s">
        <v>94</v>
      </c>
      <c r="U205" s="6" t="s">
        <v>94</v>
      </c>
      <c r="V205" s="6" t="s">
        <v>94</v>
      </c>
      <c r="W205" s="6" t="s">
        <v>291</v>
      </c>
      <c r="X205" s="6" t="s">
        <v>1652</v>
      </c>
      <c r="Y205" s="6" t="s">
        <v>1652</v>
      </c>
      <c r="Z205" s="6" t="s">
        <v>1652</v>
      </c>
      <c r="AA205" s="8">
        <v>0.81</v>
      </c>
      <c r="AB205" s="8">
        <v>0</v>
      </c>
      <c r="AC205" s="8">
        <v>0</v>
      </c>
      <c r="AD205" s="8">
        <v>0</v>
      </c>
      <c r="AE205" s="8">
        <v>85.714285709999999</v>
      </c>
      <c r="AF205" s="6" t="s">
        <v>391</v>
      </c>
      <c r="AG205" s="6" t="s">
        <v>386</v>
      </c>
      <c r="AH205" s="6" t="s">
        <v>387</v>
      </c>
      <c r="AI205" s="6" t="s">
        <v>286</v>
      </c>
      <c r="AJ205" s="9">
        <v>40</v>
      </c>
      <c r="AK205" s="8">
        <v>16</v>
      </c>
      <c r="AL205" s="8">
        <v>0</v>
      </c>
      <c r="AM205" s="8">
        <v>0</v>
      </c>
      <c r="AN205" s="8">
        <v>0</v>
      </c>
      <c r="AO205" s="13">
        <v>0</v>
      </c>
      <c r="AP205" s="5"/>
    </row>
    <row r="206" spans="1:42">
      <c r="A206" s="12">
        <v>205</v>
      </c>
      <c r="B206" s="6" t="s">
        <v>950</v>
      </c>
      <c r="C206" s="6" t="s">
        <v>1905</v>
      </c>
      <c r="D206" s="6" t="s">
        <v>348</v>
      </c>
      <c r="E206" s="6" t="s">
        <v>86</v>
      </c>
      <c r="F206" s="7">
        <v>46180</v>
      </c>
      <c r="G206" s="6" t="s">
        <v>337</v>
      </c>
      <c r="H206" s="6" t="s">
        <v>94</v>
      </c>
      <c r="I206" s="6" t="s">
        <v>94</v>
      </c>
      <c r="J206" s="6" t="s">
        <v>90</v>
      </c>
      <c r="K206" s="6" t="s">
        <v>91</v>
      </c>
      <c r="L206" s="6" t="s">
        <v>92</v>
      </c>
      <c r="M206" s="6" t="s">
        <v>90</v>
      </c>
      <c r="N206" s="6" t="s">
        <v>94</v>
      </c>
      <c r="O206" s="6" t="s">
        <v>94</v>
      </c>
      <c r="P206" s="6" t="s">
        <v>131</v>
      </c>
      <c r="Q206" s="6" t="s">
        <v>104</v>
      </c>
      <c r="R206" s="6" t="s">
        <v>1643</v>
      </c>
      <c r="S206" s="6" t="s">
        <v>94</v>
      </c>
      <c r="T206" s="6" t="s">
        <v>94</v>
      </c>
      <c r="U206" s="6" t="s">
        <v>94</v>
      </c>
      <c r="V206" s="6" t="s">
        <v>94</v>
      </c>
      <c r="W206" s="6" t="s">
        <v>338</v>
      </c>
      <c r="X206" s="6" t="s">
        <v>1643</v>
      </c>
      <c r="Y206" s="6" t="s">
        <v>1643</v>
      </c>
      <c r="Z206" s="6" t="s">
        <v>1643</v>
      </c>
      <c r="AA206" s="8">
        <v>1</v>
      </c>
      <c r="AB206" s="8">
        <v>1</v>
      </c>
      <c r="AC206" s="8">
        <v>1</v>
      </c>
      <c r="AD206" s="8">
        <v>1</v>
      </c>
      <c r="AE206" s="8">
        <v>100</v>
      </c>
      <c r="AF206" s="6" t="s">
        <v>308</v>
      </c>
      <c r="AG206" s="6" t="s">
        <v>283</v>
      </c>
      <c r="AH206" s="6" t="s">
        <v>305</v>
      </c>
      <c r="AI206" s="6" t="s">
        <v>286</v>
      </c>
      <c r="AJ206" s="9">
        <v>40</v>
      </c>
      <c r="AK206" s="8">
        <v>40</v>
      </c>
      <c r="AL206" s="8">
        <v>40</v>
      </c>
      <c r="AM206" s="8">
        <v>40</v>
      </c>
      <c r="AN206" s="8">
        <v>40</v>
      </c>
      <c r="AO206" s="13">
        <v>40</v>
      </c>
      <c r="AP206" s="5"/>
    </row>
    <row r="207" spans="1:42">
      <c r="A207" s="12">
        <v>206</v>
      </c>
      <c r="B207" s="6" t="s">
        <v>952</v>
      </c>
      <c r="C207" s="6" t="s">
        <v>1906</v>
      </c>
      <c r="D207" s="6" t="s">
        <v>298</v>
      </c>
      <c r="E207" s="6" t="s">
        <v>86</v>
      </c>
      <c r="F207" s="7">
        <v>45084</v>
      </c>
      <c r="G207" s="6" t="s">
        <v>4</v>
      </c>
      <c r="H207" s="6" t="s">
        <v>389</v>
      </c>
      <c r="I207" s="6" t="s">
        <v>954</v>
      </c>
      <c r="J207" s="6" t="s">
        <v>90</v>
      </c>
      <c r="K207" s="6" t="s">
        <v>91</v>
      </c>
      <c r="L207" s="6" t="s">
        <v>92</v>
      </c>
      <c r="M207" s="6" t="s">
        <v>90</v>
      </c>
      <c r="N207" s="6" t="s">
        <v>93</v>
      </c>
      <c r="O207" s="6" t="s">
        <v>104</v>
      </c>
      <c r="P207" s="6" t="s">
        <v>93</v>
      </c>
      <c r="Q207" s="6" t="s">
        <v>95</v>
      </c>
      <c r="R207" s="6" t="s">
        <v>1643</v>
      </c>
      <c r="S207" s="6" t="s">
        <v>94</v>
      </c>
      <c r="T207" s="6" t="s">
        <v>94</v>
      </c>
      <c r="U207" s="6" t="s">
        <v>94</v>
      </c>
      <c r="V207" s="6" t="s">
        <v>94</v>
      </c>
      <c r="W207" s="6" t="s">
        <v>399</v>
      </c>
      <c r="X207" s="6" t="s">
        <v>1643</v>
      </c>
      <c r="Y207" s="6" t="s">
        <v>1643</v>
      </c>
      <c r="Z207" s="6" t="s">
        <v>1643</v>
      </c>
      <c r="AA207" s="8">
        <v>1</v>
      </c>
      <c r="AB207" s="8">
        <v>1</v>
      </c>
      <c r="AC207" s="8">
        <v>1</v>
      </c>
      <c r="AD207" s="8">
        <v>1</v>
      </c>
      <c r="AE207" s="8">
        <v>100</v>
      </c>
      <c r="AF207" s="6" t="s">
        <v>351</v>
      </c>
      <c r="AG207" s="6" t="s">
        <v>283</v>
      </c>
      <c r="AH207" s="6" t="s">
        <v>348</v>
      </c>
      <c r="AI207" s="6" t="s">
        <v>286</v>
      </c>
      <c r="AJ207" s="9">
        <v>40</v>
      </c>
      <c r="AK207" s="8">
        <v>40</v>
      </c>
      <c r="AL207" s="8">
        <v>40</v>
      </c>
      <c r="AM207" s="8">
        <v>40</v>
      </c>
      <c r="AN207" s="8">
        <v>40</v>
      </c>
      <c r="AO207" s="13">
        <v>40</v>
      </c>
      <c r="AP207" s="5"/>
    </row>
    <row r="208" spans="1:42">
      <c r="A208" s="12">
        <v>207</v>
      </c>
      <c r="B208" s="6" t="s">
        <v>955</v>
      </c>
      <c r="C208" s="6" t="s">
        <v>28</v>
      </c>
      <c r="D208" s="6" t="s">
        <v>957</v>
      </c>
      <c r="E208" s="6" t="s">
        <v>86</v>
      </c>
      <c r="F208" s="7">
        <v>46023</v>
      </c>
      <c r="G208" s="6" t="s">
        <v>155</v>
      </c>
      <c r="H208" s="6" t="s">
        <v>94</v>
      </c>
      <c r="I208" s="6" t="s">
        <v>156</v>
      </c>
      <c r="J208" s="6" t="s">
        <v>90</v>
      </c>
      <c r="K208" s="6" t="s">
        <v>91</v>
      </c>
      <c r="L208" s="6" t="s">
        <v>92</v>
      </c>
      <c r="M208" s="6" t="s">
        <v>90</v>
      </c>
      <c r="N208" s="6" t="s">
        <v>94</v>
      </c>
      <c r="O208" s="6" t="s">
        <v>94</v>
      </c>
      <c r="P208" s="6" t="s">
        <v>27</v>
      </c>
      <c r="Q208" s="6" t="s">
        <v>104</v>
      </c>
      <c r="R208" s="6" t="s">
        <v>1643</v>
      </c>
      <c r="S208" s="6" t="s">
        <v>1690</v>
      </c>
      <c r="T208" s="6" t="s">
        <v>94</v>
      </c>
      <c r="U208" s="6" t="s">
        <v>94</v>
      </c>
      <c r="V208" s="6" t="s">
        <v>94</v>
      </c>
      <c r="W208" s="6" t="s">
        <v>369</v>
      </c>
      <c r="X208" s="6" t="s">
        <v>1643</v>
      </c>
      <c r="Y208" s="6" t="s">
        <v>1643</v>
      </c>
      <c r="Z208" s="6" t="s">
        <v>1643</v>
      </c>
      <c r="AA208" s="8">
        <v>1</v>
      </c>
      <c r="AB208" s="8">
        <v>1</v>
      </c>
      <c r="AC208" s="8">
        <v>1</v>
      </c>
      <c r="AD208" s="8">
        <v>1</v>
      </c>
      <c r="AE208" s="8">
        <v>100</v>
      </c>
      <c r="AF208" s="6" t="s">
        <v>300</v>
      </c>
      <c r="AG208" s="6" t="s">
        <v>283</v>
      </c>
      <c r="AH208" s="6" t="s">
        <v>298</v>
      </c>
      <c r="AI208" s="6" t="s">
        <v>286</v>
      </c>
      <c r="AJ208" s="9">
        <v>40</v>
      </c>
      <c r="AK208" s="8">
        <v>40</v>
      </c>
      <c r="AL208" s="8">
        <v>40</v>
      </c>
      <c r="AM208" s="8">
        <v>40</v>
      </c>
      <c r="AN208" s="8">
        <v>40</v>
      </c>
      <c r="AO208" s="13">
        <v>40</v>
      </c>
      <c r="AP208" s="5"/>
    </row>
    <row r="209" spans="1:42">
      <c r="A209" s="12">
        <v>208</v>
      </c>
      <c r="B209" s="6" t="s">
        <v>958</v>
      </c>
      <c r="C209" s="6" t="s">
        <v>1907</v>
      </c>
      <c r="D209" s="6" t="s">
        <v>339</v>
      </c>
      <c r="E209" s="6" t="s">
        <v>86</v>
      </c>
      <c r="F209" s="7">
        <v>44805</v>
      </c>
      <c r="G209" s="6" t="s">
        <v>288</v>
      </c>
      <c r="H209" s="6" t="s">
        <v>175</v>
      </c>
      <c r="I209" s="6" t="s">
        <v>960</v>
      </c>
      <c r="J209" s="6" t="s">
        <v>90</v>
      </c>
      <c r="K209" s="6" t="s">
        <v>91</v>
      </c>
      <c r="L209" s="6" t="s">
        <v>92</v>
      </c>
      <c r="M209" s="6" t="s">
        <v>90</v>
      </c>
      <c r="N209" s="6" t="s">
        <v>136</v>
      </c>
      <c r="O209" s="6" t="s">
        <v>104</v>
      </c>
      <c r="P209" s="6" t="s">
        <v>675</v>
      </c>
      <c r="Q209" s="6" t="s">
        <v>95</v>
      </c>
      <c r="R209" s="6" t="s">
        <v>1643</v>
      </c>
      <c r="S209" s="6" t="s">
        <v>1693</v>
      </c>
      <c r="T209" s="6" t="s">
        <v>94</v>
      </c>
      <c r="U209" s="6" t="s">
        <v>94</v>
      </c>
      <c r="V209" s="6" t="s">
        <v>94</v>
      </c>
      <c r="W209" s="6" t="s">
        <v>291</v>
      </c>
      <c r="X209" s="6" t="s">
        <v>1643</v>
      </c>
      <c r="Y209" s="6" t="s">
        <v>1643</v>
      </c>
      <c r="Z209" s="6" t="s">
        <v>1652</v>
      </c>
      <c r="AA209" s="8">
        <v>1</v>
      </c>
      <c r="AB209" s="8">
        <v>1</v>
      </c>
      <c r="AC209" s="8">
        <v>0.5</v>
      </c>
      <c r="AD209" s="8">
        <v>0</v>
      </c>
      <c r="AE209" s="8">
        <v>100</v>
      </c>
      <c r="AF209" s="6" t="s">
        <v>961</v>
      </c>
      <c r="AG209" s="6" t="s">
        <v>283</v>
      </c>
      <c r="AH209" s="6" t="s">
        <v>957</v>
      </c>
      <c r="AI209" s="6" t="s">
        <v>286</v>
      </c>
      <c r="AJ209" s="9">
        <v>40</v>
      </c>
      <c r="AK209" s="8">
        <v>40</v>
      </c>
      <c r="AL209" s="8">
        <v>40</v>
      </c>
      <c r="AM209" s="8">
        <v>40</v>
      </c>
      <c r="AN209" s="8">
        <v>40</v>
      </c>
      <c r="AO209" s="13">
        <v>40</v>
      </c>
      <c r="AP209" s="5"/>
    </row>
    <row r="210" spans="1:42">
      <c r="A210" s="12">
        <v>209</v>
      </c>
      <c r="B210" s="6" t="s">
        <v>962</v>
      </c>
      <c r="C210" s="6" t="s">
        <v>1908</v>
      </c>
      <c r="D210" s="6" t="s">
        <v>392</v>
      </c>
      <c r="E210" s="6" t="s">
        <v>86</v>
      </c>
      <c r="F210" s="7">
        <v>44348</v>
      </c>
      <c r="G210" s="6" t="s">
        <v>111</v>
      </c>
      <c r="H210" s="6" t="s">
        <v>146</v>
      </c>
      <c r="I210" s="6" t="s">
        <v>964</v>
      </c>
      <c r="J210" s="6" t="s">
        <v>90</v>
      </c>
      <c r="K210" s="6" t="s">
        <v>91</v>
      </c>
      <c r="L210" s="6" t="s">
        <v>92</v>
      </c>
      <c r="M210" s="6" t="s">
        <v>90</v>
      </c>
      <c r="N210" s="6" t="s">
        <v>474</v>
      </c>
      <c r="O210" s="6" t="s">
        <v>95</v>
      </c>
      <c r="P210" s="6" t="s">
        <v>965</v>
      </c>
      <c r="Q210" s="6" t="s">
        <v>95</v>
      </c>
      <c r="R210" s="6" t="s">
        <v>1643</v>
      </c>
      <c r="S210" s="6" t="s">
        <v>94</v>
      </c>
      <c r="T210" s="6" t="s">
        <v>94</v>
      </c>
      <c r="U210" s="6" t="s">
        <v>94</v>
      </c>
      <c r="V210" s="6" t="s">
        <v>94</v>
      </c>
      <c r="W210" s="6" t="s">
        <v>281</v>
      </c>
      <c r="X210" s="6" t="s">
        <v>1643</v>
      </c>
      <c r="Y210" s="6" t="s">
        <v>1643</v>
      </c>
      <c r="Z210" s="6" t="s">
        <v>1643</v>
      </c>
      <c r="AA210" s="8">
        <v>1</v>
      </c>
      <c r="AB210" s="8">
        <v>1</v>
      </c>
      <c r="AC210" s="8">
        <v>1</v>
      </c>
      <c r="AD210" s="8">
        <v>1</v>
      </c>
      <c r="AE210" s="8">
        <v>100</v>
      </c>
      <c r="AF210" s="6" t="s">
        <v>334</v>
      </c>
      <c r="AG210" s="6" t="s">
        <v>335</v>
      </c>
      <c r="AH210" s="6" t="s">
        <v>339</v>
      </c>
      <c r="AI210" s="6" t="s">
        <v>286</v>
      </c>
      <c r="AJ210" s="9">
        <v>40</v>
      </c>
      <c r="AK210" s="8">
        <v>40</v>
      </c>
      <c r="AL210" s="8">
        <v>40</v>
      </c>
      <c r="AM210" s="8">
        <v>40</v>
      </c>
      <c r="AN210" s="8">
        <v>40</v>
      </c>
      <c r="AO210" s="13">
        <v>40</v>
      </c>
      <c r="AP210" s="5"/>
    </row>
    <row r="211" spans="1:42">
      <c r="A211" s="12">
        <v>210</v>
      </c>
      <c r="B211" s="6" t="s">
        <v>966</v>
      </c>
      <c r="C211" s="6" t="s">
        <v>1909</v>
      </c>
      <c r="D211" s="6" t="s">
        <v>339</v>
      </c>
      <c r="E211" s="6" t="s">
        <v>86</v>
      </c>
      <c r="F211" s="7">
        <v>44774</v>
      </c>
      <c r="G211" s="6" t="s">
        <v>87</v>
      </c>
      <c r="H211" s="6" t="s">
        <v>311</v>
      </c>
      <c r="I211" s="6" t="s">
        <v>968</v>
      </c>
      <c r="J211" s="6" t="s">
        <v>90</v>
      </c>
      <c r="K211" s="6" t="s">
        <v>91</v>
      </c>
      <c r="L211" s="6" t="s">
        <v>92</v>
      </c>
      <c r="M211" s="6" t="s">
        <v>90</v>
      </c>
      <c r="N211" s="6" t="s">
        <v>93</v>
      </c>
      <c r="O211" s="6" t="s">
        <v>122</v>
      </c>
      <c r="P211" s="6" t="s">
        <v>93</v>
      </c>
      <c r="Q211" s="6" t="s">
        <v>122</v>
      </c>
      <c r="R211" s="6" t="s">
        <v>1643</v>
      </c>
      <c r="S211" s="6" t="s">
        <v>94</v>
      </c>
      <c r="T211" s="6" t="s">
        <v>94</v>
      </c>
      <c r="U211" s="6" t="s">
        <v>94</v>
      </c>
      <c r="V211" s="6" t="s">
        <v>94</v>
      </c>
      <c r="W211" s="6" t="s">
        <v>697</v>
      </c>
      <c r="X211" s="6" t="s">
        <v>1643</v>
      </c>
      <c r="Y211" s="6" t="s">
        <v>1643</v>
      </c>
      <c r="Z211" s="6" t="s">
        <v>1652</v>
      </c>
      <c r="AA211" s="8">
        <v>1</v>
      </c>
      <c r="AB211" s="8">
        <v>1</v>
      </c>
      <c r="AC211" s="8">
        <v>1</v>
      </c>
      <c r="AD211" s="8">
        <v>0</v>
      </c>
      <c r="AE211" s="8">
        <v>100</v>
      </c>
      <c r="AF211" s="6" t="s">
        <v>282</v>
      </c>
      <c r="AG211" s="6" t="s">
        <v>283</v>
      </c>
      <c r="AH211" s="6" t="s">
        <v>392</v>
      </c>
      <c r="AI211" s="6" t="s">
        <v>286</v>
      </c>
      <c r="AJ211" s="9">
        <v>40</v>
      </c>
      <c r="AK211" s="8">
        <v>40</v>
      </c>
      <c r="AL211" s="8">
        <v>40</v>
      </c>
      <c r="AM211" s="8">
        <v>40</v>
      </c>
      <c r="AN211" s="8">
        <v>40</v>
      </c>
      <c r="AO211" s="13">
        <v>40</v>
      </c>
      <c r="AP211" s="5"/>
    </row>
    <row r="212" spans="1:42">
      <c r="A212" s="12">
        <v>211</v>
      </c>
      <c r="B212" s="6" t="s">
        <v>969</v>
      </c>
      <c r="C212" s="6" t="s">
        <v>1910</v>
      </c>
      <c r="D212" s="6" t="s">
        <v>348</v>
      </c>
      <c r="E212" s="6" t="s">
        <v>86</v>
      </c>
      <c r="F212" s="7">
        <v>44850</v>
      </c>
      <c r="G212" s="6" t="s">
        <v>288</v>
      </c>
      <c r="H212" s="6" t="s">
        <v>151</v>
      </c>
      <c r="I212" s="6" t="s">
        <v>971</v>
      </c>
      <c r="J212" s="6" t="s">
        <v>90</v>
      </c>
      <c r="K212" s="6" t="s">
        <v>91</v>
      </c>
      <c r="L212" s="6" t="s">
        <v>92</v>
      </c>
      <c r="M212" s="6" t="s">
        <v>90</v>
      </c>
      <c r="N212" s="6" t="s">
        <v>103</v>
      </c>
      <c r="O212" s="6" t="s">
        <v>104</v>
      </c>
      <c r="P212" s="6" t="s">
        <v>43</v>
      </c>
      <c r="Q212" s="6" t="s">
        <v>104</v>
      </c>
      <c r="R212" s="6" t="s">
        <v>1643</v>
      </c>
      <c r="S212" s="6" t="s">
        <v>94</v>
      </c>
      <c r="T212" s="6" t="s">
        <v>94</v>
      </c>
      <c r="U212" s="6" t="s">
        <v>94</v>
      </c>
      <c r="V212" s="6" t="s">
        <v>94</v>
      </c>
      <c r="W212" s="6" t="s">
        <v>291</v>
      </c>
      <c r="X212" s="6" t="s">
        <v>1643</v>
      </c>
      <c r="Y212" s="6" t="s">
        <v>1643</v>
      </c>
      <c r="Z212" s="6" t="s">
        <v>1643</v>
      </c>
      <c r="AA212" s="8">
        <v>1</v>
      </c>
      <c r="AB212" s="8">
        <v>1</v>
      </c>
      <c r="AC212" s="8">
        <v>1</v>
      </c>
      <c r="AD212" s="8">
        <v>1</v>
      </c>
      <c r="AE212" s="8">
        <v>100</v>
      </c>
      <c r="AF212" s="6" t="s">
        <v>334</v>
      </c>
      <c r="AG212" s="6" t="s">
        <v>335</v>
      </c>
      <c r="AH212" s="6" t="s">
        <v>339</v>
      </c>
      <c r="AI212" s="6" t="s">
        <v>286</v>
      </c>
      <c r="AJ212" s="9">
        <v>40</v>
      </c>
      <c r="AK212" s="8">
        <v>40</v>
      </c>
      <c r="AL212" s="8">
        <v>40</v>
      </c>
      <c r="AM212" s="8">
        <v>40</v>
      </c>
      <c r="AN212" s="8">
        <v>40</v>
      </c>
      <c r="AO212" s="13">
        <v>40</v>
      </c>
      <c r="AP212" s="5"/>
    </row>
    <row r="213" spans="1:42">
      <c r="A213" s="12">
        <v>212</v>
      </c>
      <c r="B213" s="6" t="s">
        <v>972</v>
      </c>
      <c r="C213" s="6" t="s">
        <v>1911</v>
      </c>
      <c r="D213" s="6" t="s">
        <v>468</v>
      </c>
      <c r="E213" s="6" t="s">
        <v>86</v>
      </c>
      <c r="F213" s="7">
        <v>42156</v>
      </c>
      <c r="G213" s="6" t="s">
        <v>87</v>
      </c>
      <c r="H213" s="6" t="s">
        <v>974</v>
      </c>
      <c r="I213" s="6" t="s">
        <v>975</v>
      </c>
      <c r="J213" s="6" t="s">
        <v>90</v>
      </c>
      <c r="K213" s="6" t="s">
        <v>91</v>
      </c>
      <c r="L213" s="6" t="s">
        <v>92</v>
      </c>
      <c r="M213" s="6" t="s">
        <v>90</v>
      </c>
      <c r="N213" s="6" t="s">
        <v>93</v>
      </c>
      <c r="O213" s="6" t="s">
        <v>122</v>
      </c>
      <c r="P213" s="6" t="s">
        <v>93</v>
      </c>
      <c r="Q213" s="6" t="s">
        <v>122</v>
      </c>
      <c r="R213" s="6" t="s">
        <v>1643</v>
      </c>
      <c r="S213" s="6" t="s">
        <v>94</v>
      </c>
      <c r="T213" s="6" t="s">
        <v>94</v>
      </c>
      <c r="U213" s="6" t="s">
        <v>94</v>
      </c>
      <c r="V213" s="6" t="s">
        <v>94</v>
      </c>
      <c r="W213" s="6" t="s">
        <v>490</v>
      </c>
      <c r="X213" s="6" t="s">
        <v>1643</v>
      </c>
      <c r="Y213" s="6" t="s">
        <v>1643</v>
      </c>
      <c r="Z213" s="6" t="s">
        <v>1643</v>
      </c>
      <c r="AA213" s="8">
        <v>1</v>
      </c>
      <c r="AB213" s="8">
        <v>1</v>
      </c>
      <c r="AC213" s="8">
        <v>1</v>
      </c>
      <c r="AD213" s="8">
        <v>1</v>
      </c>
      <c r="AE213" s="8">
        <v>100</v>
      </c>
      <c r="AF213" s="6" t="s">
        <v>351</v>
      </c>
      <c r="AG213" s="6" t="s">
        <v>283</v>
      </c>
      <c r="AH213" s="6" t="s">
        <v>348</v>
      </c>
      <c r="AI213" s="6" t="s">
        <v>286</v>
      </c>
      <c r="AJ213" s="9">
        <v>40</v>
      </c>
      <c r="AK213" s="8">
        <v>40</v>
      </c>
      <c r="AL213" s="8">
        <v>40</v>
      </c>
      <c r="AM213" s="8">
        <v>40</v>
      </c>
      <c r="AN213" s="8">
        <v>40</v>
      </c>
      <c r="AO213" s="13">
        <v>40</v>
      </c>
      <c r="AP213" s="5"/>
    </row>
    <row r="214" spans="1:42">
      <c r="A214" s="12">
        <v>213</v>
      </c>
      <c r="B214" s="6" t="s">
        <v>976</v>
      </c>
      <c r="C214" s="6" t="s">
        <v>1912</v>
      </c>
      <c r="D214" s="6" t="s">
        <v>323</v>
      </c>
      <c r="E214" s="6" t="s">
        <v>86</v>
      </c>
      <c r="F214" s="7">
        <v>43571</v>
      </c>
      <c r="G214" s="6" t="s">
        <v>111</v>
      </c>
      <c r="H214" s="6" t="s">
        <v>146</v>
      </c>
      <c r="I214" s="6" t="s">
        <v>978</v>
      </c>
      <c r="J214" s="6" t="s">
        <v>90</v>
      </c>
      <c r="K214" s="6" t="s">
        <v>91</v>
      </c>
      <c r="L214" s="6" t="s">
        <v>92</v>
      </c>
      <c r="M214" s="6" t="s">
        <v>90</v>
      </c>
      <c r="N214" s="6" t="s">
        <v>131</v>
      </c>
      <c r="O214" s="6" t="s">
        <v>122</v>
      </c>
      <c r="P214" s="6" t="s">
        <v>131</v>
      </c>
      <c r="Q214" s="6" t="s">
        <v>122</v>
      </c>
      <c r="R214" s="6" t="s">
        <v>1643</v>
      </c>
      <c r="S214" s="6" t="s">
        <v>1913</v>
      </c>
      <c r="T214" s="6" t="s">
        <v>94</v>
      </c>
      <c r="U214" s="6" t="s">
        <v>94</v>
      </c>
      <c r="V214" s="6" t="s">
        <v>94</v>
      </c>
      <c r="W214" s="6" t="s">
        <v>418</v>
      </c>
      <c r="X214" s="6" t="s">
        <v>1643</v>
      </c>
      <c r="Y214" s="6" t="s">
        <v>1643</v>
      </c>
      <c r="Z214" s="6" t="s">
        <v>1643</v>
      </c>
      <c r="AA214" s="8">
        <v>1</v>
      </c>
      <c r="AB214" s="8">
        <v>1</v>
      </c>
      <c r="AC214" s="8">
        <v>1</v>
      </c>
      <c r="AD214" s="8">
        <v>1</v>
      </c>
      <c r="AE214" s="8">
        <v>100</v>
      </c>
      <c r="AF214" s="6" t="s">
        <v>282</v>
      </c>
      <c r="AG214" s="6" t="s">
        <v>283</v>
      </c>
      <c r="AH214" s="6" t="s">
        <v>468</v>
      </c>
      <c r="AI214" s="6" t="s">
        <v>286</v>
      </c>
      <c r="AJ214" s="9">
        <v>40</v>
      </c>
      <c r="AK214" s="8">
        <v>40</v>
      </c>
      <c r="AL214" s="8">
        <v>40</v>
      </c>
      <c r="AM214" s="8">
        <v>40</v>
      </c>
      <c r="AN214" s="8">
        <v>40</v>
      </c>
      <c r="AO214" s="13">
        <v>40</v>
      </c>
      <c r="AP214" s="5"/>
    </row>
    <row r="215" spans="1:42">
      <c r="A215" s="12">
        <v>214</v>
      </c>
      <c r="B215" s="6" t="s">
        <v>979</v>
      </c>
      <c r="C215" s="6" t="s">
        <v>1914</v>
      </c>
      <c r="D215" s="6" t="s">
        <v>301</v>
      </c>
      <c r="E215" s="6" t="s">
        <v>86</v>
      </c>
      <c r="F215" s="7">
        <v>45603</v>
      </c>
      <c r="G215" s="6" t="s">
        <v>732</v>
      </c>
      <c r="H215" s="6" t="s">
        <v>94</v>
      </c>
      <c r="I215" s="6" t="s">
        <v>94</v>
      </c>
      <c r="J215" s="6" t="s">
        <v>90</v>
      </c>
      <c r="K215" s="6" t="s">
        <v>91</v>
      </c>
      <c r="L215" s="6" t="s">
        <v>92</v>
      </c>
      <c r="M215" s="6" t="s">
        <v>90</v>
      </c>
      <c r="N215" s="6" t="s">
        <v>94</v>
      </c>
      <c r="O215" s="6" t="s">
        <v>94</v>
      </c>
      <c r="P215" s="6" t="s">
        <v>43</v>
      </c>
      <c r="Q215" s="6" t="s">
        <v>104</v>
      </c>
      <c r="R215" s="6" t="s">
        <v>1643</v>
      </c>
      <c r="S215" s="6" t="s">
        <v>94</v>
      </c>
      <c r="T215" s="6" t="s">
        <v>94</v>
      </c>
      <c r="U215" s="6" t="s">
        <v>94</v>
      </c>
      <c r="V215" s="6" t="s">
        <v>94</v>
      </c>
      <c r="W215" s="6" t="s">
        <v>734</v>
      </c>
      <c r="X215" s="6" t="s">
        <v>1643</v>
      </c>
      <c r="Y215" s="6" t="s">
        <v>1643</v>
      </c>
      <c r="Z215" s="6" t="s">
        <v>1643</v>
      </c>
      <c r="AA215" s="8">
        <v>1</v>
      </c>
      <c r="AB215" s="8">
        <v>1</v>
      </c>
      <c r="AC215" s="8">
        <v>1</v>
      </c>
      <c r="AD215" s="8">
        <v>1</v>
      </c>
      <c r="AE215" s="8">
        <v>0</v>
      </c>
      <c r="AF215" s="6" t="s">
        <v>326</v>
      </c>
      <c r="AG215" s="6" t="s">
        <v>283</v>
      </c>
      <c r="AH215" s="6" t="s">
        <v>323</v>
      </c>
      <c r="AI215" s="6" t="s">
        <v>286</v>
      </c>
      <c r="AJ215" s="9">
        <v>40</v>
      </c>
      <c r="AK215" s="8">
        <v>40</v>
      </c>
      <c r="AL215" s="8">
        <v>40</v>
      </c>
      <c r="AM215" s="8">
        <v>40</v>
      </c>
      <c r="AN215" s="8">
        <v>40</v>
      </c>
      <c r="AO215" s="13">
        <v>40</v>
      </c>
      <c r="AP215" s="5"/>
    </row>
    <row r="216" spans="1:42">
      <c r="A216" s="12">
        <v>215</v>
      </c>
      <c r="B216" s="6" t="s">
        <v>981</v>
      </c>
      <c r="C216" s="6" t="s">
        <v>1915</v>
      </c>
      <c r="D216" s="6" t="s">
        <v>292</v>
      </c>
      <c r="E216" s="6" t="s">
        <v>86</v>
      </c>
      <c r="F216" s="7">
        <v>46158</v>
      </c>
      <c r="G216" s="6" t="s">
        <v>337</v>
      </c>
      <c r="H216" s="6" t="s">
        <v>94</v>
      </c>
      <c r="I216" s="6" t="s">
        <v>536</v>
      </c>
      <c r="J216" s="6" t="s">
        <v>90</v>
      </c>
      <c r="K216" s="6" t="s">
        <v>91</v>
      </c>
      <c r="L216" s="6" t="s">
        <v>92</v>
      </c>
      <c r="M216" s="6" t="s">
        <v>90</v>
      </c>
      <c r="N216" s="6" t="s">
        <v>94</v>
      </c>
      <c r="O216" s="6" t="s">
        <v>94</v>
      </c>
      <c r="P216" s="6" t="s">
        <v>131</v>
      </c>
      <c r="Q216" s="6" t="s">
        <v>104</v>
      </c>
      <c r="R216" s="6" t="s">
        <v>1643</v>
      </c>
      <c r="S216" s="6" t="s">
        <v>94</v>
      </c>
      <c r="T216" s="6" t="s">
        <v>94</v>
      </c>
      <c r="U216" s="6" t="s">
        <v>94</v>
      </c>
      <c r="V216" s="6" t="s">
        <v>94</v>
      </c>
      <c r="W216" s="6" t="s">
        <v>338</v>
      </c>
      <c r="X216" s="6" t="s">
        <v>1652</v>
      </c>
      <c r="Y216" s="6" t="s">
        <v>1652</v>
      </c>
      <c r="Z216" s="6" t="s">
        <v>1652</v>
      </c>
      <c r="AA216" s="8">
        <v>1</v>
      </c>
      <c r="AB216" s="8">
        <v>0</v>
      </c>
      <c r="AC216" s="8">
        <v>0</v>
      </c>
      <c r="AD216" s="8">
        <v>0</v>
      </c>
      <c r="AE216" s="8">
        <v>100</v>
      </c>
      <c r="AF216" s="6" t="s">
        <v>282</v>
      </c>
      <c r="AG216" s="6" t="s">
        <v>283</v>
      </c>
      <c r="AH216" s="6" t="s">
        <v>301</v>
      </c>
      <c r="AI216" s="6" t="s">
        <v>286</v>
      </c>
      <c r="AJ216" s="9">
        <v>40</v>
      </c>
      <c r="AK216" s="8">
        <v>40</v>
      </c>
      <c r="AL216" s="8">
        <v>8</v>
      </c>
      <c r="AM216" s="8">
        <v>0</v>
      </c>
      <c r="AN216" s="8">
        <v>0</v>
      </c>
      <c r="AO216" s="13">
        <v>0</v>
      </c>
      <c r="AP216" s="5"/>
    </row>
    <row r="217" spans="1:42">
      <c r="A217" s="12">
        <v>216</v>
      </c>
      <c r="B217" s="6" t="s">
        <v>983</v>
      </c>
      <c r="C217" s="6" t="s">
        <v>1916</v>
      </c>
      <c r="D217" s="6" t="s">
        <v>341</v>
      </c>
      <c r="E217" s="6" t="s">
        <v>86</v>
      </c>
      <c r="F217" s="7">
        <v>46045</v>
      </c>
      <c r="G217" s="6" t="s">
        <v>111</v>
      </c>
      <c r="H217" s="6" t="s">
        <v>94</v>
      </c>
      <c r="I217" s="6" t="s">
        <v>94</v>
      </c>
      <c r="J217" s="6" t="s">
        <v>90</v>
      </c>
      <c r="K217" s="6" t="s">
        <v>91</v>
      </c>
      <c r="L217" s="6" t="s">
        <v>92</v>
      </c>
      <c r="M217" s="6" t="s">
        <v>90</v>
      </c>
      <c r="N217" s="6" t="s">
        <v>94</v>
      </c>
      <c r="O217" s="6" t="s">
        <v>94</v>
      </c>
      <c r="P217" s="6" t="s">
        <v>451</v>
      </c>
      <c r="Q217" s="6" t="s">
        <v>95</v>
      </c>
      <c r="R217" s="6" t="s">
        <v>1643</v>
      </c>
      <c r="S217" s="6" t="s">
        <v>94</v>
      </c>
      <c r="T217" s="6" t="s">
        <v>94</v>
      </c>
      <c r="U217" s="6" t="s">
        <v>94</v>
      </c>
      <c r="V217" s="6" t="s">
        <v>94</v>
      </c>
      <c r="W217" s="6" t="s">
        <v>281</v>
      </c>
      <c r="X217" s="6" t="s">
        <v>1643</v>
      </c>
      <c r="Y217" s="6" t="s">
        <v>1643</v>
      </c>
      <c r="Z217" s="6" t="s">
        <v>1643</v>
      </c>
      <c r="AA217" s="8">
        <v>1</v>
      </c>
      <c r="AB217" s="8">
        <v>1</v>
      </c>
      <c r="AC217" s="8">
        <v>1</v>
      </c>
      <c r="AD217" s="8">
        <v>1</v>
      </c>
      <c r="AE217" s="8">
        <v>100</v>
      </c>
      <c r="AF217" s="6" t="s">
        <v>297</v>
      </c>
      <c r="AG217" s="6" t="s">
        <v>283</v>
      </c>
      <c r="AH217" s="6" t="s">
        <v>292</v>
      </c>
      <c r="AI217" s="6" t="s">
        <v>286</v>
      </c>
      <c r="AJ217" s="9">
        <v>40</v>
      </c>
      <c r="AK217" s="8">
        <v>40</v>
      </c>
      <c r="AL217" s="8">
        <v>40</v>
      </c>
      <c r="AM217" s="8">
        <v>40</v>
      </c>
      <c r="AN217" s="8">
        <v>40</v>
      </c>
      <c r="AO217" s="13">
        <v>40</v>
      </c>
      <c r="AP217" s="5"/>
    </row>
    <row r="218" spans="1:42">
      <c r="A218" s="12">
        <v>217</v>
      </c>
      <c r="B218" s="6" t="s">
        <v>985</v>
      </c>
      <c r="C218" s="6" t="s">
        <v>1917</v>
      </c>
      <c r="D218" s="6" t="s">
        <v>348</v>
      </c>
      <c r="E218" s="6" t="s">
        <v>86</v>
      </c>
      <c r="F218" s="7">
        <v>43512</v>
      </c>
      <c r="G218" s="6" t="s">
        <v>111</v>
      </c>
      <c r="H218" s="6" t="s">
        <v>371</v>
      </c>
      <c r="I218" s="6" t="s">
        <v>987</v>
      </c>
      <c r="J218" s="6" t="s">
        <v>90</v>
      </c>
      <c r="K218" s="6" t="s">
        <v>91</v>
      </c>
      <c r="L218" s="6" t="s">
        <v>92</v>
      </c>
      <c r="M218" s="6" t="s">
        <v>90</v>
      </c>
      <c r="N218" s="6" t="s">
        <v>416</v>
      </c>
      <c r="O218" s="6" t="s">
        <v>94</v>
      </c>
      <c r="P218" s="6" t="s">
        <v>131</v>
      </c>
      <c r="Q218" s="6" t="s">
        <v>122</v>
      </c>
      <c r="R218" s="6" t="s">
        <v>1643</v>
      </c>
      <c r="S218" s="6" t="s">
        <v>94</v>
      </c>
      <c r="T218" s="6" t="s">
        <v>94</v>
      </c>
      <c r="U218" s="6" t="s">
        <v>94</v>
      </c>
      <c r="V218" s="6" t="s">
        <v>94</v>
      </c>
      <c r="W218" s="6" t="s">
        <v>418</v>
      </c>
      <c r="X218" s="6" t="s">
        <v>1643</v>
      </c>
      <c r="Y218" s="6" t="s">
        <v>1643</v>
      </c>
      <c r="Z218" s="6" t="s">
        <v>1652</v>
      </c>
      <c r="AA218" s="8">
        <v>1</v>
      </c>
      <c r="AB218" s="8">
        <v>1</v>
      </c>
      <c r="AC218" s="8">
        <v>1</v>
      </c>
      <c r="AD218" s="8">
        <v>0</v>
      </c>
      <c r="AE218" s="8">
        <v>100</v>
      </c>
      <c r="AF218" s="6" t="s">
        <v>282</v>
      </c>
      <c r="AG218" s="6" t="s">
        <v>283</v>
      </c>
      <c r="AH218" s="6" t="s">
        <v>341</v>
      </c>
      <c r="AI218" s="6" t="s">
        <v>286</v>
      </c>
      <c r="AJ218" s="9">
        <v>40</v>
      </c>
      <c r="AK218" s="8">
        <v>40</v>
      </c>
      <c r="AL218" s="8">
        <v>40</v>
      </c>
      <c r="AM218" s="8">
        <v>40</v>
      </c>
      <c r="AN218" s="8">
        <v>40</v>
      </c>
      <c r="AO218" s="13">
        <v>40</v>
      </c>
      <c r="AP218" s="5"/>
    </row>
    <row r="219" spans="1:42">
      <c r="A219" s="12">
        <v>218</v>
      </c>
      <c r="B219" s="6" t="s">
        <v>988</v>
      </c>
      <c r="C219" s="6" t="s">
        <v>1918</v>
      </c>
      <c r="D219" s="6" t="s">
        <v>298</v>
      </c>
      <c r="E219" s="6" t="s">
        <v>86</v>
      </c>
      <c r="F219" s="7">
        <v>44577</v>
      </c>
      <c r="G219" s="6" t="s">
        <v>204</v>
      </c>
      <c r="H219" s="6" t="s">
        <v>101</v>
      </c>
      <c r="I219" s="6" t="s">
        <v>990</v>
      </c>
      <c r="J219" s="6" t="s">
        <v>90</v>
      </c>
      <c r="K219" s="6" t="s">
        <v>91</v>
      </c>
      <c r="L219" s="6" t="s">
        <v>92</v>
      </c>
      <c r="M219" s="6" t="s">
        <v>90</v>
      </c>
      <c r="N219" s="6" t="s">
        <v>43</v>
      </c>
      <c r="O219" s="6" t="s">
        <v>94</v>
      </c>
      <c r="P219" s="6" t="s">
        <v>43</v>
      </c>
      <c r="Q219" s="6" t="s">
        <v>95</v>
      </c>
      <c r="R219" s="6" t="s">
        <v>1643</v>
      </c>
      <c r="S219" s="6" t="s">
        <v>94</v>
      </c>
      <c r="T219" s="6" t="s">
        <v>94</v>
      </c>
      <c r="U219" s="6" t="s">
        <v>94</v>
      </c>
      <c r="V219" s="6" t="s">
        <v>94</v>
      </c>
      <c r="W219" s="6" t="s">
        <v>403</v>
      </c>
      <c r="X219" s="6" t="s">
        <v>1643</v>
      </c>
      <c r="Y219" s="6" t="s">
        <v>1643</v>
      </c>
      <c r="Z219" s="6" t="s">
        <v>1643</v>
      </c>
      <c r="AA219" s="8">
        <v>1</v>
      </c>
      <c r="AB219" s="8">
        <v>1</v>
      </c>
      <c r="AC219" s="8">
        <v>1</v>
      </c>
      <c r="AD219" s="8">
        <v>1</v>
      </c>
      <c r="AE219" s="8">
        <v>100</v>
      </c>
      <c r="AF219" s="6" t="s">
        <v>351</v>
      </c>
      <c r="AG219" s="6" t="s">
        <v>283</v>
      </c>
      <c r="AH219" s="6" t="s">
        <v>348</v>
      </c>
      <c r="AI219" s="6" t="s">
        <v>286</v>
      </c>
      <c r="AJ219" s="9">
        <v>40</v>
      </c>
      <c r="AK219" s="8">
        <v>40</v>
      </c>
      <c r="AL219" s="8">
        <v>40</v>
      </c>
      <c r="AM219" s="8">
        <v>40</v>
      </c>
      <c r="AN219" s="8">
        <v>40</v>
      </c>
      <c r="AO219" s="13">
        <v>40</v>
      </c>
      <c r="AP219" s="5"/>
    </row>
    <row r="220" spans="1:42">
      <c r="A220" s="12">
        <v>219</v>
      </c>
      <c r="B220" s="6" t="s">
        <v>991</v>
      </c>
      <c r="C220" s="6" t="s">
        <v>29</v>
      </c>
      <c r="D220" s="6" t="s">
        <v>298</v>
      </c>
      <c r="E220" s="6" t="s">
        <v>86</v>
      </c>
      <c r="F220" s="7">
        <v>45283</v>
      </c>
      <c r="G220" s="6" t="s">
        <v>26</v>
      </c>
      <c r="H220" s="6" t="s">
        <v>120</v>
      </c>
      <c r="I220" s="6" t="s">
        <v>159</v>
      </c>
      <c r="J220" s="6" t="s">
        <v>90</v>
      </c>
      <c r="K220" s="6" t="s">
        <v>91</v>
      </c>
      <c r="L220" s="6" t="s">
        <v>92</v>
      </c>
      <c r="M220" s="6" t="s">
        <v>90</v>
      </c>
      <c r="N220" s="6" t="s">
        <v>27</v>
      </c>
      <c r="O220" s="6" t="s">
        <v>104</v>
      </c>
      <c r="P220" s="6" t="s">
        <v>27</v>
      </c>
      <c r="Q220" s="6" t="s">
        <v>104</v>
      </c>
      <c r="R220" s="6" t="s">
        <v>1643</v>
      </c>
      <c r="S220" s="6" t="s">
        <v>1919</v>
      </c>
      <c r="T220" s="6" t="s">
        <v>94</v>
      </c>
      <c r="U220" s="6" t="s">
        <v>94</v>
      </c>
      <c r="V220" s="6" t="s">
        <v>94</v>
      </c>
      <c r="W220" s="6" t="s">
        <v>296</v>
      </c>
      <c r="X220" s="6" t="s">
        <v>1643</v>
      </c>
      <c r="Y220" s="6" t="s">
        <v>1643</v>
      </c>
      <c r="Z220" s="6" t="s">
        <v>1643</v>
      </c>
      <c r="AA220" s="8">
        <v>1</v>
      </c>
      <c r="AB220" s="8">
        <v>1</v>
      </c>
      <c r="AC220" s="8">
        <v>1</v>
      </c>
      <c r="AD220" s="8">
        <v>1</v>
      </c>
      <c r="AE220" s="8">
        <v>100</v>
      </c>
      <c r="AF220" s="6" t="s">
        <v>300</v>
      </c>
      <c r="AG220" s="6" t="s">
        <v>283</v>
      </c>
      <c r="AH220" s="6" t="s">
        <v>298</v>
      </c>
      <c r="AI220" s="6" t="s">
        <v>286</v>
      </c>
      <c r="AJ220" s="9">
        <v>40</v>
      </c>
      <c r="AK220" s="8">
        <v>40</v>
      </c>
      <c r="AL220" s="8">
        <v>40</v>
      </c>
      <c r="AM220" s="8">
        <v>40</v>
      </c>
      <c r="AN220" s="8">
        <v>40</v>
      </c>
      <c r="AO220" s="13">
        <v>40</v>
      </c>
      <c r="AP220" s="5"/>
    </row>
    <row r="221" spans="1:42">
      <c r="A221" s="12">
        <v>220</v>
      </c>
      <c r="B221" s="6" t="s">
        <v>993</v>
      </c>
      <c r="C221" s="6" t="s">
        <v>24</v>
      </c>
      <c r="D221" s="6" t="s">
        <v>305</v>
      </c>
      <c r="E221" s="6" t="s">
        <v>86</v>
      </c>
      <c r="F221" s="7">
        <v>45084</v>
      </c>
      <c r="G221" s="6" t="s">
        <v>111</v>
      </c>
      <c r="H221" s="6" t="s">
        <v>146</v>
      </c>
      <c r="I221" s="6" t="s">
        <v>147</v>
      </c>
      <c r="J221" s="6" t="s">
        <v>90</v>
      </c>
      <c r="K221" s="6" t="s">
        <v>91</v>
      </c>
      <c r="L221" s="6" t="s">
        <v>92</v>
      </c>
      <c r="M221" s="6" t="s">
        <v>90</v>
      </c>
      <c r="N221" s="6" t="s">
        <v>136</v>
      </c>
      <c r="O221" s="6" t="s">
        <v>95</v>
      </c>
      <c r="P221" s="6" t="s">
        <v>131</v>
      </c>
      <c r="Q221" s="6" t="s">
        <v>95</v>
      </c>
      <c r="R221" s="6" t="s">
        <v>1643</v>
      </c>
      <c r="S221" s="6" t="s">
        <v>1920</v>
      </c>
      <c r="T221" s="6" t="s">
        <v>94</v>
      </c>
      <c r="U221" s="6" t="s">
        <v>94</v>
      </c>
      <c r="V221" s="6" t="s">
        <v>94</v>
      </c>
      <c r="W221" s="6" t="s">
        <v>281</v>
      </c>
      <c r="X221" s="6" t="s">
        <v>1643</v>
      </c>
      <c r="Y221" s="6" t="s">
        <v>1643</v>
      </c>
      <c r="Z221" s="6" t="s">
        <v>1643</v>
      </c>
      <c r="AA221" s="8">
        <v>1</v>
      </c>
      <c r="AB221" s="8">
        <v>1</v>
      </c>
      <c r="AC221" s="8">
        <v>1</v>
      </c>
      <c r="AD221" s="8">
        <v>1</v>
      </c>
      <c r="AE221" s="8">
        <v>100</v>
      </c>
      <c r="AF221" s="6" t="s">
        <v>300</v>
      </c>
      <c r="AG221" s="6" t="s">
        <v>283</v>
      </c>
      <c r="AH221" s="6" t="s">
        <v>298</v>
      </c>
      <c r="AI221" s="6" t="s">
        <v>286</v>
      </c>
      <c r="AJ221" s="9">
        <v>40</v>
      </c>
      <c r="AK221" s="8">
        <v>40</v>
      </c>
      <c r="AL221" s="8">
        <v>40</v>
      </c>
      <c r="AM221" s="8">
        <v>40</v>
      </c>
      <c r="AN221" s="8">
        <v>40</v>
      </c>
      <c r="AO221" s="13">
        <v>40</v>
      </c>
      <c r="AP221" s="5"/>
    </row>
    <row r="222" spans="1:42">
      <c r="A222" s="12">
        <v>221</v>
      </c>
      <c r="B222" s="6" t="s">
        <v>995</v>
      </c>
      <c r="C222" s="6" t="s">
        <v>1921</v>
      </c>
      <c r="D222" s="6" t="s">
        <v>626</v>
      </c>
      <c r="E222" s="6" t="s">
        <v>86</v>
      </c>
      <c r="F222" s="7">
        <v>45459</v>
      </c>
      <c r="G222" s="6" t="s">
        <v>732</v>
      </c>
      <c r="H222" s="6" t="s">
        <v>94</v>
      </c>
      <c r="I222" s="6" t="s">
        <v>997</v>
      </c>
      <c r="J222" s="6" t="s">
        <v>90</v>
      </c>
      <c r="K222" s="6" t="s">
        <v>91</v>
      </c>
      <c r="L222" s="6" t="s">
        <v>92</v>
      </c>
      <c r="M222" s="6" t="s">
        <v>90</v>
      </c>
      <c r="N222" s="6" t="s">
        <v>94</v>
      </c>
      <c r="O222" s="6" t="s">
        <v>94</v>
      </c>
      <c r="P222" s="6" t="s">
        <v>43</v>
      </c>
      <c r="Q222" s="6" t="s">
        <v>95</v>
      </c>
      <c r="R222" s="6" t="s">
        <v>1643</v>
      </c>
      <c r="S222" s="6" t="s">
        <v>1922</v>
      </c>
      <c r="T222" s="6" t="s">
        <v>94</v>
      </c>
      <c r="U222" s="6" t="s">
        <v>94</v>
      </c>
      <c r="V222" s="6" t="s">
        <v>94</v>
      </c>
      <c r="W222" s="6" t="s">
        <v>734</v>
      </c>
      <c r="X222" s="6" t="s">
        <v>1643</v>
      </c>
      <c r="Y222" s="6" t="s">
        <v>1643</v>
      </c>
      <c r="Z222" s="6" t="s">
        <v>1643</v>
      </c>
      <c r="AA222" s="8">
        <v>0.86</v>
      </c>
      <c r="AB222" s="8">
        <v>1</v>
      </c>
      <c r="AC222" s="8">
        <v>1</v>
      </c>
      <c r="AD222" s="8">
        <v>1</v>
      </c>
      <c r="AE222" s="8">
        <v>85.714285709999999</v>
      </c>
      <c r="AF222" s="6" t="s">
        <v>308</v>
      </c>
      <c r="AG222" s="6" t="s">
        <v>283</v>
      </c>
      <c r="AH222" s="6" t="s">
        <v>305</v>
      </c>
      <c r="AI222" s="6" t="s">
        <v>286</v>
      </c>
      <c r="AJ222" s="9">
        <v>40</v>
      </c>
      <c r="AK222" s="8">
        <v>40</v>
      </c>
      <c r="AL222" s="8">
        <v>40</v>
      </c>
      <c r="AM222" s="8">
        <v>40</v>
      </c>
      <c r="AN222" s="8">
        <v>40</v>
      </c>
      <c r="AO222" s="13">
        <v>40</v>
      </c>
      <c r="AP222" s="5"/>
    </row>
    <row r="223" spans="1:42">
      <c r="A223" s="12">
        <v>222</v>
      </c>
      <c r="B223" s="6" t="s">
        <v>998</v>
      </c>
      <c r="C223" s="6" t="s">
        <v>1923</v>
      </c>
      <c r="D223" s="6" t="s">
        <v>373</v>
      </c>
      <c r="E223" s="6" t="s">
        <v>86</v>
      </c>
      <c r="F223" s="7">
        <v>44363</v>
      </c>
      <c r="G223" s="6" t="s">
        <v>204</v>
      </c>
      <c r="H223" s="6" t="s">
        <v>175</v>
      </c>
      <c r="I223" s="6" t="s">
        <v>1000</v>
      </c>
      <c r="J223" s="6" t="s">
        <v>90</v>
      </c>
      <c r="K223" s="6" t="s">
        <v>91</v>
      </c>
      <c r="L223" s="6" t="s">
        <v>92</v>
      </c>
      <c r="M223" s="6" t="s">
        <v>90</v>
      </c>
      <c r="N223" s="6" t="s">
        <v>43</v>
      </c>
      <c r="O223" s="6" t="s">
        <v>122</v>
      </c>
      <c r="P223" s="6" t="s">
        <v>43</v>
      </c>
      <c r="Q223" s="6" t="s">
        <v>104</v>
      </c>
      <c r="R223" s="6" t="s">
        <v>1643</v>
      </c>
      <c r="S223" s="6" t="s">
        <v>94</v>
      </c>
      <c r="T223" s="6" t="s">
        <v>94</v>
      </c>
      <c r="U223" s="6" t="s">
        <v>94</v>
      </c>
      <c r="V223" s="6" t="s">
        <v>94</v>
      </c>
      <c r="W223" s="6" t="s">
        <v>403</v>
      </c>
      <c r="X223" s="6" t="s">
        <v>1643</v>
      </c>
      <c r="Y223" s="6" t="s">
        <v>1643</v>
      </c>
      <c r="Z223" s="6" t="s">
        <v>1643</v>
      </c>
      <c r="AA223" s="8">
        <v>1</v>
      </c>
      <c r="AB223" s="8">
        <v>1</v>
      </c>
      <c r="AC223" s="8">
        <v>1</v>
      </c>
      <c r="AD223" s="8">
        <v>1</v>
      </c>
      <c r="AE223" s="8">
        <v>100</v>
      </c>
      <c r="AF223" s="6" t="s">
        <v>630</v>
      </c>
      <c r="AG223" s="6" t="s">
        <v>386</v>
      </c>
      <c r="AH223" s="6" t="s">
        <v>626</v>
      </c>
      <c r="AI223" s="6" t="s">
        <v>286</v>
      </c>
      <c r="AJ223" s="9">
        <v>40</v>
      </c>
      <c r="AK223" s="8">
        <v>40</v>
      </c>
      <c r="AL223" s="8">
        <v>40</v>
      </c>
      <c r="AM223" s="8">
        <v>40</v>
      </c>
      <c r="AN223" s="8">
        <v>40</v>
      </c>
      <c r="AO223" s="13">
        <v>40</v>
      </c>
      <c r="AP223" s="5"/>
    </row>
    <row r="224" spans="1:42">
      <c r="A224" s="12">
        <v>223</v>
      </c>
      <c r="B224" s="6" t="s">
        <v>1001</v>
      </c>
      <c r="C224" s="6" t="s">
        <v>1924</v>
      </c>
      <c r="D224" s="6" t="s">
        <v>301</v>
      </c>
      <c r="E224" s="6" t="s">
        <v>86</v>
      </c>
      <c r="F224" s="7">
        <v>44866</v>
      </c>
      <c r="G224" s="6" t="s">
        <v>732</v>
      </c>
      <c r="H224" s="6" t="s">
        <v>359</v>
      </c>
      <c r="I224" s="6" t="s">
        <v>1003</v>
      </c>
      <c r="J224" s="6" t="s">
        <v>90</v>
      </c>
      <c r="K224" s="6" t="s">
        <v>91</v>
      </c>
      <c r="L224" s="6" t="s">
        <v>92</v>
      </c>
      <c r="M224" s="6" t="s">
        <v>90</v>
      </c>
      <c r="N224" s="6" t="s">
        <v>43</v>
      </c>
      <c r="O224" s="6" t="s">
        <v>94</v>
      </c>
      <c r="P224" s="6" t="s">
        <v>642</v>
      </c>
      <c r="Q224" s="6" t="s">
        <v>95</v>
      </c>
      <c r="R224" s="6" t="s">
        <v>1643</v>
      </c>
      <c r="S224" s="6" t="s">
        <v>94</v>
      </c>
      <c r="T224" s="6" t="s">
        <v>94</v>
      </c>
      <c r="U224" s="6" t="s">
        <v>94</v>
      </c>
      <c r="V224" s="6" t="s">
        <v>94</v>
      </c>
      <c r="W224" s="6" t="s">
        <v>734</v>
      </c>
      <c r="X224" s="6" t="s">
        <v>1643</v>
      </c>
      <c r="Y224" s="6" t="s">
        <v>1643</v>
      </c>
      <c r="Z224" s="6" t="s">
        <v>1643</v>
      </c>
      <c r="AA224" s="8">
        <v>1</v>
      </c>
      <c r="AB224" s="8">
        <v>1</v>
      </c>
      <c r="AC224" s="8">
        <v>1</v>
      </c>
      <c r="AD224" s="8">
        <v>1</v>
      </c>
      <c r="AE224" s="8">
        <v>100</v>
      </c>
      <c r="AF224" s="6" t="s">
        <v>334</v>
      </c>
      <c r="AG224" s="6" t="s">
        <v>335</v>
      </c>
      <c r="AH224" s="6" t="s">
        <v>373</v>
      </c>
      <c r="AI224" s="6" t="s">
        <v>286</v>
      </c>
      <c r="AJ224" s="9">
        <v>40</v>
      </c>
      <c r="AK224" s="8">
        <v>40</v>
      </c>
      <c r="AL224" s="8">
        <v>40</v>
      </c>
      <c r="AM224" s="8">
        <v>40</v>
      </c>
      <c r="AN224" s="8">
        <v>40</v>
      </c>
      <c r="AO224" s="13">
        <v>40</v>
      </c>
      <c r="AP224" s="5"/>
    </row>
    <row r="225" spans="1:42">
      <c r="A225" s="12">
        <v>224</v>
      </c>
      <c r="B225" s="6" t="s">
        <v>1004</v>
      </c>
      <c r="C225" s="6" t="s">
        <v>1925</v>
      </c>
      <c r="D225" s="6" t="s">
        <v>298</v>
      </c>
      <c r="E225" s="6" t="s">
        <v>86</v>
      </c>
      <c r="F225" s="7">
        <v>45130</v>
      </c>
      <c r="G225" s="6" t="s">
        <v>204</v>
      </c>
      <c r="H225" s="6" t="s">
        <v>407</v>
      </c>
      <c r="I225" s="6" t="s">
        <v>1006</v>
      </c>
      <c r="J225" s="6" t="s">
        <v>90</v>
      </c>
      <c r="K225" s="6" t="s">
        <v>91</v>
      </c>
      <c r="L225" s="6" t="s">
        <v>92</v>
      </c>
      <c r="M225" s="6" t="s">
        <v>90</v>
      </c>
      <c r="N225" s="6" t="s">
        <v>43</v>
      </c>
      <c r="O225" s="6" t="s">
        <v>122</v>
      </c>
      <c r="P225" s="6" t="s">
        <v>43</v>
      </c>
      <c r="Q225" s="6" t="s">
        <v>122</v>
      </c>
      <c r="R225" s="6" t="s">
        <v>1643</v>
      </c>
      <c r="S225" s="6" t="s">
        <v>94</v>
      </c>
      <c r="T225" s="6" t="s">
        <v>94</v>
      </c>
      <c r="U225" s="6" t="s">
        <v>94</v>
      </c>
      <c r="V225" s="6" t="s">
        <v>94</v>
      </c>
      <c r="W225" s="6" t="s">
        <v>403</v>
      </c>
      <c r="X225" s="6" t="s">
        <v>1643</v>
      </c>
      <c r="Y225" s="6" t="s">
        <v>1643</v>
      </c>
      <c r="Z225" s="6" t="s">
        <v>1643</v>
      </c>
      <c r="AA225" s="8">
        <v>1</v>
      </c>
      <c r="AB225" s="8">
        <v>1</v>
      </c>
      <c r="AC225" s="8">
        <v>1</v>
      </c>
      <c r="AD225" s="8">
        <v>1</v>
      </c>
      <c r="AE225" s="8">
        <v>100</v>
      </c>
      <c r="AF225" s="6" t="s">
        <v>282</v>
      </c>
      <c r="AG225" s="6" t="s">
        <v>283</v>
      </c>
      <c r="AH225" s="6" t="s">
        <v>301</v>
      </c>
      <c r="AI225" s="6" t="s">
        <v>286</v>
      </c>
      <c r="AJ225" s="9">
        <v>40</v>
      </c>
      <c r="AK225" s="8">
        <v>40</v>
      </c>
      <c r="AL225" s="8">
        <v>40</v>
      </c>
      <c r="AM225" s="8">
        <v>40</v>
      </c>
      <c r="AN225" s="8">
        <v>40</v>
      </c>
      <c r="AO225" s="13">
        <v>40</v>
      </c>
      <c r="AP225" s="5"/>
    </row>
    <row r="226" spans="1:42">
      <c r="A226" s="12">
        <v>225</v>
      </c>
      <c r="B226" s="6" t="s">
        <v>1007</v>
      </c>
      <c r="C226" s="6" t="s">
        <v>31</v>
      </c>
      <c r="D226" s="6" t="s">
        <v>298</v>
      </c>
      <c r="E226" s="6" t="s">
        <v>86</v>
      </c>
      <c r="F226" s="7">
        <v>45283</v>
      </c>
      <c r="G226" s="6" t="s">
        <v>26</v>
      </c>
      <c r="H226" s="6" t="s">
        <v>94</v>
      </c>
      <c r="I226" s="6" t="s">
        <v>165</v>
      </c>
      <c r="J226" s="6" t="s">
        <v>90</v>
      </c>
      <c r="K226" s="6" t="s">
        <v>91</v>
      </c>
      <c r="L226" s="6" t="s">
        <v>92</v>
      </c>
      <c r="M226" s="6" t="s">
        <v>90</v>
      </c>
      <c r="N226" s="6" t="s">
        <v>27</v>
      </c>
      <c r="O226" s="6" t="s">
        <v>104</v>
      </c>
      <c r="P226" s="6" t="s">
        <v>27</v>
      </c>
      <c r="Q226" s="6" t="s">
        <v>104</v>
      </c>
      <c r="R226" s="6" t="s">
        <v>1643</v>
      </c>
      <c r="S226" s="6" t="s">
        <v>1747</v>
      </c>
      <c r="T226" s="6" t="s">
        <v>94</v>
      </c>
      <c r="U226" s="6" t="s">
        <v>94</v>
      </c>
      <c r="V226" s="6" t="s">
        <v>94</v>
      </c>
      <c r="W226" s="6" t="s">
        <v>296</v>
      </c>
      <c r="X226" s="6" t="s">
        <v>1643</v>
      </c>
      <c r="Y226" s="6" t="s">
        <v>1643</v>
      </c>
      <c r="Z226" s="6" t="s">
        <v>1643</v>
      </c>
      <c r="AA226" s="8">
        <v>1</v>
      </c>
      <c r="AB226" s="8">
        <v>1</v>
      </c>
      <c r="AC226" s="8">
        <v>1</v>
      </c>
      <c r="AD226" s="8">
        <v>1</v>
      </c>
      <c r="AE226" s="8">
        <v>100</v>
      </c>
      <c r="AF226" s="6" t="s">
        <v>300</v>
      </c>
      <c r="AG226" s="6" t="s">
        <v>283</v>
      </c>
      <c r="AH226" s="6" t="s">
        <v>298</v>
      </c>
      <c r="AI226" s="6" t="s">
        <v>286</v>
      </c>
      <c r="AJ226" s="9">
        <v>40</v>
      </c>
      <c r="AK226" s="8">
        <v>40</v>
      </c>
      <c r="AL226" s="8">
        <v>40</v>
      </c>
      <c r="AM226" s="8">
        <v>40</v>
      </c>
      <c r="AN226" s="8">
        <v>40</v>
      </c>
      <c r="AO226" s="13">
        <v>40</v>
      </c>
      <c r="AP226" s="5"/>
    </row>
    <row r="227" spans="1:42">
      <c r="A227" s="12">
        <v>226</v>
      </c>
      <c r="B227" s="6" t="s">
        <v>1009</v>
      </c>
      <c r="C227" s="6" t="s">
        <v>7</v>
      </c>
      <c r="D227" s="6" t="s">
        <v>323</v>
      </c>
      <c r="E227" s="6" t="s">
        <v>86</v>
      </c>
      <c r="F227" s="7">
        <v>44667</v>
      </c>
      <c r="G227" s="6" t="s">
        <v>100</v>
      </c>
      <c r="H227" s="6" t="s">
        <v>101</v>
      </c>
      <c r="I227" s="6" t="s">
        <v>102</v>
      </c>
      <c r="J227" s="6" t="s">
        <v>90</v>
      </c>
      <c r="K227" s="6" t="s">
        <v>91</v>
      </c>
      <c r="L227" s="6" t="s">
        <v>92</v>
      </c>
      <c r="M227" s="6" t="s">
        <v>90</v>
      </c>
      <c r="N227" s="6" t="s">
        <v>103</v>
      </c>
      <c r="O227" s="6" t="s">
        <v>104</v>
      </c>
      <c r="P227" s="6" t="s">
        <v>93</v>
      </c>
      <c r="Q227" s="6" t="s">
        <v>104</v>
      </c>
      <c r="R227" s="6" t="s">
        <v>1643</v>
      </c>
      <c r="S227" s="6" t="s">
        <v>94</v>
      </c>
      <c r="T227" s="6" t="s">
        <v>94</v>
      </c>
      <c r="U227" s="6" t="s">
        <v>94</v>
      </c>
      <c r="V227" s="6" t="s">
        <v>94</v>
      </c>
      <c r="W227" s="6" t="s">
        <v>304</v>
      </c>
      <c r="X227" s="6" t="s">
        <v>1643</v>
      </c>
      <c r="Y227" s="6" t="s">
        <v>1643</v>
      </c>
      <c r="Z227" s="6" t="s">
        <v>1643</v>
      </c>
      <c r="AA227" s="8">
        <v>1</v>
      </c>
      <c r="AB227" s="8">
        <v>1</v>
      </c>
      <c r="AC227" s="8">
        <v>1</v>
      </c>
      <c r="AD227" s="8">
        <v>1</v>
      </c>
      <c r="AE227" s="8">
        <v>100</v>
      </c>
      <c r="AF227" s="6" t="s">
        <v>300</v>
      </c>
      <c r="AG227" s="6" t="s">
        <v>283</v>
      </c>
      <c r="AH227" s="6" t="s">
        <v>298</v>
      </c>
      <c r="AI227" s="6" t="s">
        <v>286</v>
      </c>
      <c r="AJ227" s="9">
        <v>40</v>
      </c>
      <c r="AK227" s="8">
        <v>40</v>
      </c>
      <c r="AL227" s="8">
        <v>40</v>
      </c>
      <c r="AM227" s="8">
        <v>40</v>
      </c>
      <c r="AN227" s="8">
        <v>40</v>
      </c>
      <c r="AO227" s="13">
        <v>40</v>
      </c>
      <c r="AP227" s="5"/>
    </row>
    <row r="228" spans="1:42">
      <c r="A228" s="12">
        <v>227</v>
      </c>
      <c r="B228" s="6" t="s">
        <v>1011</v>
      </c>
      <c r="C228" s="6" t="s">
        <v>1926</v>
      </c>
      <c r="D228" s="6" t="s">
        <v>392</v>
      </c>
      <c r="E228" s="6" t="s">
        <v>86</v>
      </c>
      <c r="F228" s="7">
        <v>45283</v>
      </c>
      <c r="G228" s="6" t="s">
        <v>155</v>
      </c>
      <c r="H228" s="6" t="s">
        <v>94</v>
      </c>
      <c r="I228" s="6" t="s">
        <v>1013</v>
      </c>
      <c r="J228" s="6" t="s">
        <v>90</v>
      </c>
      <c r="K228" s="6" t="s">
        <v>91</v>
      </c>
      <c r="L228" s="6" t="s">
        <v>92</v>
      </c>
      <c r="M228" s="6" t="s">
        <v>90</v>
      </c>
      <c r="N228" s="6" t="s">
        <v>27</v>
      </c>
      <c r="O228" s="6" t="s">
        <v>104</v>
      </c>
      <c r="P228" s="6" t="s">
        <v>93</v>
      </c>
      <c r="Q228" s="6" t="s">
        <v>104</v>
      </c>
      <c r="R228" s="6" t="s">
        <v>1643</v>
      </c>
      <c r="S228" s="6" t="s">
        <v>94</v>
      </c>
      <c r="T228" s="6" t="s">
        <v>94</v>
      </c>
      <c r="U228" s="6" t="s">
        <v>94</v>
      </c>
      <c r="V228" s="6" t="s">
        <v>94</v>
      </c>
      <c r="W228" s="6" t="s">
        <v>369</v>
      </c>
      <c r="X228" s="6" t="s">
        <v>1643</v>
      </c>
      <c r="Y228" s="6" t="s">
        <v>1643</v>
      </c>
      <c r="Z228" s="6" t="s">
        <v>1643</v>
      </c>
      <c r="AA228" s="8">
        <v>1</v>
      </c>
      <c r="AB228" s="8">
        <v>1</v>
      </c>
      <c r="AC228" s="8">
        <v>1</v>
      </c>
      <c r="AD228" s="8">
        <v>1</v>
      </c>
      <c r="AE228" s="8">
        <v>0</v>
      </c>
      <c r="AF228" s="6" t="s">
        <v>326</v>
      </c>
      <c r="AG228" s="6" t="s">
        <v>283</v>
      </c>
      <c r="AH228" s="6" t="s">
        <v>323</v>
      </c>
      <c r="AI228" s="6" t="s">
        <v>286</v>
      </c>
      <c r="AJ228" s="9">
        <v>40</v>
      </c>
      <c r="AK228" s="8">
        <v>40</v>
      </c>
      <c r="AL228" s="8">
        <v>40</v>
      </c>
      <c r="AM228" s="8">
        <v>40</v>
      </c>
      <c r="AN228" s="8">
        <v>40</v>
      </c>
      <c r="AO228" s="13">
        <v>40</v>
      </c>
      <c r="AP228" s="5"/>
    </row>
    <row r="229" spans="1:42">
      <c r="A229" s="12">
        <v>228</v>
      </c>
      <c r="B229" s="6" t="s">
        <v>1014</v>
      </c>
      <c r="C229" s="6" t="s">
        <v>1927</v>
      </c>
      <c r="D229" s="6" t="s">
        <v>468</v>
      </c>
      <c r="E229" s="6" t="s">
        <v>86</v>
      </c>
      <c r="F229" s="7">
        <v>42171</v>
      </c>
      <c r="G229" s="6" t="s">
        <v>204</v>
      </c>
      <c r="H229" s="6" t="s">
        <v>622</v>
      </c>
      <c r="I229" s="6" t="s">
        <v>1016</v>
      </c>
      <c r="J229" s="6" t="s">
        <v>90</v>
      </c>
      <c r="K229" s="6" t="s">
        <v>91</v>
      </c>
      <c r="L229" s="6" t="s">
        <v>92</v>
      </c>
      <c r="M229" s="6" t="s">
        <v>90</v>
      </c>
      <c r="N229" s="6" t="s">
        <v>43</v>
      </c>
      <c r="O229" s="6" t="s">
        <v>122</v>
      </c>
      <c r="P229" s="6" t="s">
        <v>395</v>
      </c>
      <c r="Q229" s="6" t="s">
        <v>122</v>
      </c>
      <c r="R229" s="6" t="s">
        <v>1643</v>
      </c>
      <c r="S229" s="6" t="s">
        <v>1928</v>
      </c>
      <c r="T229" s="6" t="s">
        <v>94</v>
      </c>
      <c r="U229" s="6" t="s">
        <v>94</v>
      </c>
      <c r="V229" s="6" t="s">
        <v>94</v>
      </c>
      <c r="W229" s="6" t="s">
        <v>321</v>
      </c>
      <c r="X229" s="6" t="s">
        <v>1643</v>
      </c>
      <c r="Y229" s="6" t="s">
        <v>1643</v>
      </c>
      <c r="Z229" s="6" t="s">
        <v>1929</v>
      </c>
      <c r="AA229" s="8">
        <v>1</v>
      </c>
      <c r="AB229" s="8">
        <v>1</v>
      </c>
      <c r="AC229" s="8">
        <v>1</v>
      </c>
      <c r="AD229" s="8">
        <v>0</v>
      </c>
      <c r="AE229" s="8">
        <v>100</v>
      </c>
      <c r="AF229" s="6" t="s">
        <v>282</v>
      </c>
      <c r="AG229" s="6" t="s">
        <v>283</v>
      </c>
      <c r="AH229" s="6" t="s">
        <v>392</v>
      </c>
      <c r="AI229" s="6" t="s">
        <v>286</v>
      </c>
      <c r="AJ229" s="9">
        <v>40</v>
      </c>
      <c r="AK229" s="8">
        <v>40</v>
      </c>
      <c r="AL229" s="8">
        <v>40</v>
      </c>
      <c r="AM229" s="8">
        <v>40</v>
      </c>
      <c r="AN229" s="8">
        <v>40</v>
      </c>
      <c r="AO229" s="13">
        <v>40</v>
      </c>
      <c r="AP229" s="5"/>
    </row>
    <row r="230" spans="1:42">
      <c r="A230" s="12">
        <v>229</v>
      </c>
      <c r="B230" s="6" t="s">
        <v>1017</v>
      </c>
      <c r="C230" s="6" t="s">
        <v>1930</v>
      </c>
      <c r="D230" s="6" t="s">
        <v>305</v>
      </c>
      <c r="E230" s="6" t="s">
        <v>86</v>
      </c>
      <c r="F230" s="7">
        <v>43101</v>
      </c>
      <c r="G230" s="6" t="s">
        <v>111</v>
      </c>
      <c r="H230" s="6" t="s">
        <v>120</v>
      </c>
      <c r="I230" s="6" t="s">
        <v>1019</v>
      </c>
      <c r="J230" s="6" t="s">
        <v>90</v>
      </c>
      <c r="K230" s="6" t="s">
        <v>91</v>
      </c>
      <c r="L230" s="6" t="s">
        <v>92</v>
      </c>
      <c r="M230" s="6" t="s">
        <v>90</v>
      </c>
      <c r="N230" s="6" t="s">
        <v>131</v>
      </c>
      <c r="O230" s="6" t="s">
        <v>95</v>
      </c>
      <c r="P230" s="6" t="s">
        <v>131</v>
      </c>
      <c r="Q230" s="6" t="s">
        <v>122</v>
      </c>
      <c r="R230" s="6" t="s">
        <v>1643</v>
      </c>
      <c r="S230" s="6" t="s">
        <v>94</v>
      </c>
      <c r="T230" s="6" t="s">
        <v>94</v>
      </c>
      <c r="U230" s="6" t="s">
        <v>94</v>
      </c>
      <c r="V230" s="6" t="s">
        <v>94</v>
      </c>
      <c r="W230" s="6" t="s">
        <v>281</v>
      </c>
      <c r="X230" s="6" t="s">
        <v>1643</v>
      </c>
      <c r="Y230" s="6" t="s">
        <v>1643</v>
      </c>
      <c r="Z230" s="6" t="s">
        <v>1643</v>
      </c>
      <c r="AA230" s="8">
        <v>1</v>
      </c>
      <c r="AB230" s="8">
        <v>1</v>
      </c>
      <c r="AC230" s="8">
        <v>1</v>
      </c>
      <c r="AD230" s="8">
        <v>1</v>
      </c>
      <c r="AE230" s="8">
        <v>100</v>
      </c>
      <c r="AF230" s="6" t="s">
        <v>282</v>
      </c>
      <c r="AG230" s="6" t="s">
        <v>283</v>
      </c>
      <c r="AH230" s="6" t="s">
        <v>468</v>
      </c>
      <c r="AI230" s="6" t="s">
        <v>286</v>
      </c>
      <c r="AJ230" s="9">
        <v>40</v>
      </c>
      <c r="AK230" s="8">
        <v>40</v>
      </c>
      <c r="AL230" s="8">
        <v>40</v>
      </c>
      <c r="AM230" s="8">
        <v>40</v>
      </c>
      <c r="AN230" s="8">
        <v>40</v>
      </c>
      <c r="AO230" s="13">
        <v>40</v>
      </c>
      <c r="AP230" s="5"/>
    </row>
    <row r="231" spans="1:42">
      <c r="A231" s="12">
        <v>230</v>
      </c>
      <c r="B231" s="6" t="s">
        <v>1020</v>
      </c>
      <c r="C231" s="6" t="s">
        <v>1931</v>
      </c>
      <c r="D231" s="6" t="s">
        <v>298</v>
      </c>
      <c r="E231" s="6" t="s">
        <v>86</v>
      </c>
      <c r="F231" s="7">
        <v>45664</v>
      </c>
      <c r="G231" s="6" t="s">
        <v>288</v>
      </c>
      <c r="H231" s="6" t="s">
        <v>94</v>
      </c>
      <c r="I231" s="6" t="s">
        <v>94</v>
      </c>
      <c r="J231" s="6" t="s">
        <v>90</v>
      </c>
      <c r="K231" s="6" t="s">
        <v>91</v>
      </c>
      <c r="L231" s="6" t="s">
        <v>92</v>
      </c>
      <c r="M231" s="6" t="s">
        <v>90</v>
      </c>
      <c r="N231" s="6" t="s">
        <v>94</v>
      </c>
      <c r="O231" s="6" t="s">
        <v>94</v>
      </c>
      <c r="P231" s="6" t="s">
        <v>550</v>
      </c>
      <c r="Q231" s="6" t="s">
        <v>104</v>
      </c>
      <c r="R231" s="6" t="s">
        <v>1643</v>
      </c>
      <c r="S231" s="6" t="s">
        <v>94</v>
      </c>
      <c r="T231" s="6" t="s">
        <v>94</v>
      </c>
      <c r="U231" s="6" t="s">
        <v>94</v>
      </c>
      <c r="V231" s="6" t="s">
        <v>94</v>
      </c>
      <c r="W231" s="6" t="s">
        <v>291</v>
      </c>
      <c r="X231" s="6" t="s">
        <v>1643</v>
      </c>
      <c r="Y231" s="6" t="s">
        <v>1643</v>
      </c>
      <c r="Z231" s="6" t="s">
        <v>1643</v>
      </c>
      <c r="AA231" s="8">
        <v>1</v>
      </c>
      <c r="AB231" s="8">
        <v>1</v>
      </c>
      <c r="AC231" s="8">
        <v>1</v>
      </c>
      <c r="AD231" s="8">
        <v>1</v>
      </c>
      <c r="AE231" s="8">
        <v>100</v>
      </c>
      <c r="AF231" s="6" t="s">
        <v>308</v>
      </c>
      <c r="AG231" s="6" t="s">
        <v>283</v>
      </c>
      <c r="AH231" s="6" t="s">
        <v>305</v>
      </c>
      <c r="AI231" s="6" t="s">
        <v>286</v>
      </c>
      <c r="AJ231" s="9">
        <v>40</v>
      </c>
      <c r="AK231" s="8">
        <v>40</v>
      </c>
      <c r="AL231" s="8">
        <v>40</v>
      </c>
      <c r="AM231" s="8">
        <v>40</v>
      </c>
      <c r="AN231" s="8">
        <v>40</v>
      </c>
      <c r="AO231" s="13">
        <v>40</v>
      </c>
      <c r="AP231" s="5"/>
    </row>
    <row r="232" spans="1:42">
      <c r="A232" s="12">
        <v>231</v>
      </c>
      <c r="B232" s="6" t="s">
        <v>1022</v>
      </c>
      <c r="C232" s="6" t="s">
        <v>30</v>
      </c>
      <c r="D232" s="6" t="s">
        <v>396</v>
      </c>
      <c r="E232" s="6" t="s">
        <v>86</v>
      </c>
      <c r="F232" s="7">
        <v>45854</v>
      </c>
      <c r="G232" s="6" t="s">
        <v>26</v>
      </c>
      <c r="H232" s="6" t="s">
        <v>94</v>
      </c>
      <c r="I232" s="6" t="s">
        <v>162</v>
      </c>
      <c r="J232" s="6" t="s">
        <v>90</v>
      </c>
      <c r="K232" s="6" t="s">
        <v>91</v>
      </c>
      <c r="L232" s="6" t="s">
        <v>92</v>
      </c>
      <c r="M232" s="6" t="s">
        <v>90</v>
      </c>
      <c r="N232" s="6" t="s">
        <v>94</v>
      </c>
      <c r="O232" s="6" t="s">
        <v>94</v>
      </c>
      <c r="P232" s="6" t="s">
        <v>27</v>
      </c>
      <c r="Q232" s="6" t="s">
        <v>95</v>
      </c>
      <c r="R232" s="6" t="s">
        <v>1643</v>
      </c>
      <c r="S232" s="6" t="s">
        <v>1669</v>
      </c>
      <c r="T232" s="6" t="s">
        <v>94</v>
      </c>
      <c r="U232" s="6" t="s">
        <v>94</v>
      </c>
      <c r="V232" s="6" t="s">
        <v>94</v>
      </c>
      <c r="W232" s="6" t="s">
        <v>296</v>
      </c>
      <c r="X232" s="6" t="s">
        <v>1643</v>
      </c>
      <c r="Y232" s="6" t="s">
        <v>1643</v>
      </c>
      <c r="Z232" s="6" t="s">
        <v>1643</v>
      </c>
      <c r="AA232" s="8">
        <v>1</v>
      </c>
      <c r="AB232" s="8">
        <v>1</v>
      </c>
      <c r="AC232" s="8">
        <v>1</v>
      </c>
      <c r="AD232" s="8">
        <v>1</v>
      </c>
      <c r="AE232" s="8">
        <v>100</v>
      </c>
      <c r="AF232" s="6" t="s">
        <v>300</v>
      </c>
      <c r="AG232" s="6" t="s">
        <v>283</v>
      </c>
      <c r="AH232" s="6" t="s">
        <v>298</v>
      </c>
      <c r="AI232" s="6" t="s">
        <v>286</v>
      </c>
      <c r="AJ232" s="9">
        <v>40</v>
      </c>
      <c r="AK232" s="8">
        <v>40</v>
      </c>
      <c r="AL232" s="8">
        <v>40</v>
      </c>
      <c r="AM232" s="8">
        <v>40</v>
      </c>
      <c r="AN232" s="8">
        <v>40</v>
      </c>
      <c r="AO232" s="13">
        <v>40</v>
      </c>
      <c r="AP232" s="5"/>
    </row>
    <row r="233" spans="1:42">
      <c r="A233" s="12">
        <v>232</v>
      </c>
      <c r="B233" s="6" t="s">
        <v>1024</v>
      </c>
      <c r="C233" s="6" t="s">
        <v>1932</v>
      </c>
      <c r="D233" s="6" t="s">
        <v>301</v>
      </c>
      <c r="E233" s="6" t="s">
        <v>86</v>
      </c>
      <c r="F233" s="7">
        <v>41821</v>
      </c>
      <c r="G233" s="6" t="s">
        <v>406</v>
      </c>
      <c r="H233" s="6" t="s">
        <v>294</v>
      </c>
      <c r="I233" s="6" t="s">
        <v>1026</v>
      </c>
      <c r="J233" s="6" t="s">
        <v>90</v>
      </c>
      <c r="K233" s="6" t="s">
        <v>91</v>
      </c>
      <c r="L233" s="6" t="s">
        <v>92</v>
      </c>
      <c r="M233" s="6" t="s">
        <v>90</v>
      </c>
      <c r="N233" s="6" t="s">
        <v>93</v>
      </c>
      <c r="O233" s="6" t="s">
        <v>122</v>
      </c>
      <c r="P233" s="6" t="s">
        <v>93</v>
      </c>
      <c r="Q233" s="6" t="s">
        <v>122</v>
      </c>
      <c r="R233" s="6" t="s">
        <v>1689</v>
      </c>
      <c r="S233" s="6" t="s">
        <v>94</v>
      </c>
      <c r="T233" s="6" t="s">
        <v>94</v>
      </c>
      <c r="U233" s="6" t="s">
        <v>94</v>
      </c>
      <c r="V233" s="6" t="s">
        <v>94</v>
      </c>
      <c r="W233" s="6" t="s">
        <v>409</v>
      </c>
      <c r="X233" s="6" t="s">
        <v>1689</v>
      </c>
      <c r="Y233" s="6" t="s">
        <v>1689</v>
      </c>
      <c r="Z233" s="6" t="s">
        <v>1689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6" t="s">
        <v>282</v>
      </c>
      <c r="AG233" s="6" t="s">
        <v>283</v>
      </c>
      <c r="AH233" s="6" t="s">
        <v>396</v>
      </c>
      <c r="AI233" s="6" t="s">
        <v>286</v>
      </c>
      <c r="AJ233" s="9">
        <v>0</v>
      </c>
      <c r="AK233" s="8">
        <v>0</v>
      </c>
      <c r="AL233" s="8">
        <v>0</v>
      </c>
      <c r="AM233" s="8">
        <v>0</v>
      </c>
      <c r="AN233" s="8">
        <v>0</v>
      </c>
      <c r="AO233" s="13">
        <v>0</v>
      </c>
      <c r="AP233" s="5"/>
    </row>
    <row r="234" spans="1:42">
      <c r="A234" s="12">
        <v>233</v>
      </c>
      <c r="B234" s="6" t="s">
        <v>1027</v>
      </c>
      <c r="C234" s="6" t="s">
        <v>1933</v>
      </c>
      <c r="D234" s="6" t="s">
        <v>341</v>
      </c>
      <c r="E234" s="6" t="s">
        <v>86</v>
      </c>
      <c r="F234" s="7">
        <v>46007</v>
      </c>
      <c r="G234" s="6" t="s">
        <v>125</v>
      </c>
      <c r="H234" s="6" t="s">
        <v>126</v>
      </c>
      <c r="I234" s="6" t="s">
        <v>1029</v>
      </c>
      <c r="J234" s="6" t="s">
        <v>90</v>
      </c>
      <c r="K234" s="6" t="s">
        <v>91</v>
      </c>
      <c r="L234" s="6" t="s">
        <v>92</v>
      </c>
      <c r="M234" s="6" t="s">
        <v>90</v>
      </c>
      <c r="N234" s="6" t="s">
        <v>94</v>
      </c>
      <c r="O234" s="6" t="s">
        <v>94</v>
      </c>
      <c r="P234" s="6" t="s">
        <v>131</v>
      </c>
      <c r="Q234" s="6" t="s">
        <v>122</v>
      </c>
      <c r="R234" s="6" t="s">
        <v>1643</v>
      </c>
      <c r="S234" s="6" t="s">
        <v>94</v>
      </c>
      <c r="T234" s="6" t="s">
        <v>94</v>
      </c>
      <c r="U234" s="6" t="s">
        <v>94</v>
      </c>
      <c r="V234" s="6" t="s">
        <v>94</v>
      </c>
      <c r="W234" s="6" t="s">
        <v>353</v>
      </c>
      <c r="X234" s="6" t="s">
        <v>1643</v>
      </c>
      <c r="Y234" s="6" t="s">
        <v>1643</v>
      </c>
      <c r="Z234" s="6" t="s">
        <v>1643</v>
      </c>
      <c r="AA234" s="8">
        <v>1</v>
      </c>
      <c r="AB234" s="8">
        <v>1</v>
      </c>
      <c r="AC234" s="8">
        <v>1</v>
      </c>
      <c r="AD234" s="8">
        <v>1</v>
      </c>
      <c r="AE234" s="8">
        <v>100</v>
      </c>
      <c r="AF234" s="6" t="s">
        <v>282</v>
      </c>
      <c r="AG234" s="6" t="s">
        <v>283</v>
      </c>
      <c r="AH234" s="6" t="s">
        <v>301</v>
      </c>
      <c r="AI234" s="6" t="s">
        <v>286</v>
      </c>
      <c r="AJ234" s="9">
        <v>40</v>
      </c>
      <c r="AK234" s="8">
        <v>40</v>
      </c>
      <c r="AL234" s="8">
        <v>40</v>
      </c>
      <c r="AM234" s="8">
        <v>40</v>
      </c>
      <c r="AN234" s="8">
        <v>40</v>
      </c>
      <c r="AO234" s="13">
        <v>40</v>
      </c>
      <c r="AP234" s="5"/>
    </row>
    <row r="235" spans="1:42">
      <c r="A235" s="12">
        <v>234</v>
      </c>
      <c r="B235" s="6" t="s">
        <v>1030</v>
      </c>
      <c r="C235" s="6" t="s">
        <v>1934</v>
      </c>
      <c r="D235" s="6" t="s">
        <v>387</v>
      </c>
      <c r="E235" s="6" t="s">
        <v>86</v>
      </c>
      <c r="F235" s="7">
        <v>41631</v>
      </c>
      <c r="G235" s="6" t="s">
        <v>343</v>
      </c>
      <c r="H235" s="6" t="s">
        <v>526</v>
      </c>
      <c r="I235" s="6" t="s">
        <v>1032</v>
      </c>
      <c r="J235" s="6" t="s">
        <v>90</v>
      </c>
      <c r="K235" s="6" t="s">
        <v>91</v>
      </c>
      <c r="L235" s="6" t="s">
        <v>92</v>
      </c>
      <c r="M235" s="6" t="s">
        <v>90</v>
      </c>
      <c r="N235" s="6" t="s">
        <v>346</v>
      </c>
      <c r="O235" s="6" t="s">
        <v>94</v>
      </c>
      <c r="P235" s="6" t="s">
        <v>131</v>
      </c>
      <c r="Q235" s="6" t="s">
        <v>417</v>
      </c>
      <c r="R235" s="6" t="s">
        <v>1643</v>
      </c>
      <c r="S235" s="6" t="s">
        <v>94</v>
      </c>
      <c r="T235" s="6" t="s">
        <v>94</v>
      </c>
      <c r="U235" s="6" t="s">
        <v>94</v>
      </c>
      <c r="V235" s="6" t="s">
        <v>94</v>
      </c>
      <c r="W235" s="6" t="s">
        <v>347</v>
      </c>
      <c r="X235" s="6" t="s">
        <v>1643</v>
      </c>
      <c r="Y235" s="6" t="s">
        <v>1643</v>
      </c>
      <c r="Z235" s="6" t="s">
        <v>1652</v>
      </c>
      <c r="AA235" s="8">
        <v>1</v>
      </c>
      <c r="AB235" s="8">
        <v>1</v>
      </c>
      <c r="AC235" s="8">
        <v>1</v>
      </c>
      <c r="AD235" s="8">
        <v>0</v>
      </c>
      <c r="AE235" s="8">
        <v>100</v>
      </c>
      <c r="AF235" s="6" t="s">
        <v>282</v>
      </c>
      <c r="AG235" s="6" t="s">
        <v>283</v>
      </c>
      <c r="AH235" s="6" t="s">
        <v>341</v>
      </c>
      <c r="AI235" s="6" t="s">
        <v>286</v>
      </c>
      <c r="AJ235" s="9">
        <v>40</v>
      </c>
      <c r="AK235" s="8">
        <v>40</v>
      </c>
      <c r="AL235" s="8">
        <v>40</v>
      </c>
      <c r="AM235" s="8">
        <v>40</v>
      </c>
      <c r="AN235" s="8">
        <v>40</v>
      </c>
      <c r="AO235" s="13">
        <v>40</v>
      </c>
      <c r="AP235" s="5"/>
    </row>
    <row r="236" spans="1:42">
      <c r="A236" s="12">
        <v>235</v>
      </c>
      <c r="B236" s="6" t="s">
        <v>1033</v>
      </c>
      <c r="C236" s="6" t="s">
        <v>1935</v>
      </c>
      <c r="D236" s="6" t="s">
        <v>339</v>
      </c>
      <c r="E236" s="6" t="s">
        <v>86</v>
      </c>
      <c r="F236" s="7">
        <v>46180</v>
      </c>
      <c r="G236" s="6" t="s">
        <v>337</v>
      </c>
      <c r="H236" s="6" t="s">
        <v>94</v>
      </c>
      <c r="I236" s="6" t="s">
        <v>94</v>
      </c>
      <c r="J236" s="6" t="s">
        <v>90</v>
      </c>
      <c r="K236" s="6" t="s">
        <v>91</v>
      </c>
      <c r="L236" s="6" t="s">
        <v>92</v>
      </c>
      <c r="M236" s="6" t="s">
        <v>90</v>
      </c>
      <c r="N236" s="6" t="s">
        <v>94</v>
      </c>
      <c r="O236" s="6" t="s">
        <v>94</v>
      </c>
      <c r="P236" s="6" t="s">
        <v>131</v>
      </c>
      <c r="Q236" s="6" t="s">
        <v>95</v>
      </c>
      <c r="R236" s="6" t="s">
        <v>1643</v>
      </c>
      <c r="S236" s="6" t="s">
        <v>1919</v>
      </c>
      <c r="T236" s="6" t="s">
        <v>94</v>
      </c>
      <c r="U236" s="6" t="s">
        <v>94</v>
      </c>
      <c r="V236" s="6" t="s">
        <v>94</v>
      </c>
      <c r="W236" s="6" t="s">
        <v>338</v>
      </c>
      <c r="X236" s="6" t="s">
        <v>1643</v>
      </c>
      <c r="Y236" s="6" t="s">
        <v>1643</v>
      </c>
      <c r="Z236" s="6" t="s">
        <v>1652</v>
      </c>
      <c r="AA236" s="8">
        <v>1</v>
      </c>
      <c r="AB236" s="8">
        <v>1</v>
      </c>
      <c r="AC236" s="8">
        <v>1</v>
      </c>
      <c r="AD236" s="8">
        <v>0</v>
      </c>
      <c r="AE236" s="8">
        <v>100</v>
      </c>
      <c r="AF236" s="6" t="s">
        <v>391</v>
      </c>
      <c r="AG236" s="6" t="s">
        <v>386</v>
      </c>
      <c r="AH236" s="6" t="s">
        <v>387</v>
      </c>
      <c r="AI236" s="6" t="s">
        <v>286</v>
      </c>
      <c r="AJ236" s="9">
        <v>40</v>
      </c>
      <c r="AK236" s="8">
        <v>40</v>
      </c>
      <c r="AL236" s="8">
        <v>40</v>
      </c>
      <c r="AM236" s="8">
        <v>40</v>
      </c>
      <c r="AN236" s="8">
        <v>40</v>
      </c>
      <c r="AO236" s="13">
        <v>40</v>
      </c>
      <c r="AP236" s="5"/>
    </row>
    <row r="237" spans="1:42">
      <c r="A237" s="12">
        <v>236</v>
      </c>
      <c r="B237" s="6" t="s">
        <v>1035</v>
      </c>
      <c r="C237" s="6" t="s">
        <v>1936</v>
      </c>
      <c r="D237" s="6" t="s">
        <v>341</v>
      </c>
      <c r="E237" s="6" t="s">
        <v>86</v>
      </c>
      <c r="F237" s="7">
        <v>44262</v>
      </c>
      <c r="G237" s="6" t="s">
        <v>111</v>
      </c>
      <c r="H237" s="6" t="s">
        <v>175</v>
      </c>
      <c r="I237" s="6" t="s">
        <v>1037</v>
      </c>
      <c r="J237" s="6" t="s">
        <v>90</v>
      </c>
      <c r="K237" s="6" t="s">
        <v>91</v>
      </c>
      <c r="L237" s="6" t="s">
        <v>92</v>
      </c>
      <c r="M237" s="6" t="s">
        <v>90</v>
      </c>
      <c r="N237" s="6" t="s">
        <v>103</v>
      </c>
      <c r="O237" s="6" t="s">
        <v>95</v>
      </c>
      <c r="P237" s="6" t="s">
        <v>103</v>
      </c>
      <c r="Q237" s="6" t="s">
        <v>122</v>
      </c>
      <c r="R237" s="6" t="s">
        <v>1643</v>
      </c>
      <c r="S237" s="6" t="s">
        <v>94</v>
      </c>
      <c r="T237" s="6" t="s">
        <v>94</v>
      </c>
      <c r="U237" s="6" t="s">
        <v>94</v>
      </c>
      <c r="V237" s="6" t="s">
        <v>94</v>
      </c>
      <c r="W237" s="6" t="s">
        <v>281</v>
      </c>
      <c r="X237" s="6" t="s">
        <v>1643</v>
      </c>
      <c r="Y237" s="6" t="s">
        <v>1643</v>
      </c>
      <c r="Z237" s="6" t="s">
        <v>1643</v>
      </c>
      <c r="AA237" s="8">
        <v>1</v>
      </c>
      <c r="AB237" s="8">
        <v>1</v>
      </c>
      <c r="AC237" s="8">
        <v>1</v>
      </c>
      <c r="AD237" s="8">
        <v>1</v>
      </c>
      <c r="AE237" s="8">
        <v>100</v>
      </c>
      <c r="AF237" s="6" t="s">
        <v>334</v>
      </c>
      <c r="AG237" s="6" t="s">
        <v>335</v>
      </c>
      <c r="AH237" s="6" t="s">
        <v>339</v>
      </c>
      <c r="AI237" s="6" t="s">
        <v>286</v>
      </c>
      <c r="AJ237" s="9">
        <v>40</v>
      </c>
      <c r="AK237" s="8">
        <v>40</v>
      </c>
      <c r="AL237" s="8">
        <v>40</v>
      </c>
      <c r="AM237" s="8">
        <v>40</v>
      </c>
      <c r="AN237" s="8">
        <v>40</v>
      </c>
      <c r="AO237" s="13">
        <v>40</v>
      </c>
      <c r="AP237" s="5"/>
    </row>
    <row r="238" spans="1:42">
      <c r="A238" s="12">
        <v>237</v>
      </c>
      <c r="B238" s="6" t="s">
        <v>1038</v>
      </c>
      <c r="C238" s="6" t="s">
        <v>1937</v>
      </c>
      <c r="D238" s="6" t="s">
        <v>413</v>
      </c>
      <c r="E238" s="6" t="s">
        <v>86</v>
      </c>
      <c r="F238" s="7">
        <v>42567</v>
      </c>
      <c r="G238" s="6" t="s">
        <v>4</v>
      </c>
      <c r="H238" s="6" t="s">
        <v>175</v>
      </c>
      <c r="I238" s="6" t="s">
        <v>1040</v>
      </c>
      <c r="J238" s="6" t="s">
        <v>90</v>
      </c>
      <c r="K238" s="6" t="s">
        <v>91</v>
      </c>
      <c r="L238" s="6" t="s">
        <v>92</v>
      </c>
      <c r="M238" s="6" t="s">
        <v>90</v>
      </c>
      <c r="N238" s="6" t="s">
        <v>93</v>
      </c>
      <c r="O238" s="6" t="s">
        <v>104</v>
      </c>
      <c r="P238" s="6" t="s">
        <v>93</v>
      </c>
      <c r="Q238" s="6" t="s">
        <v>95</v>
      </c>
      <c r="R238" s="6" t="s">
        <v>1643</v>
      </c>
      <c r="S238" s="6" t="s">
        <v>1756</v>
      </c>
      <c r="T238" s="6" t="s">
        <v>94</v>
      </c>
      <c r="U238" s="6" t="s">
        <v>94</v>
      </c>
      <c r="V238" s="6" t="s">
        <v>94</v>
      </c>
      <c r="W238" s="6" t="s">
        <v>399</v>
      </c>
      <c r="X238" s="6" t="s">
        <v>1643</v>
      </c>
      <c r="Y238" s="6" t="s">
        <v>1643</v>
      </c>
      <c r="Z238" s="6" t="s">
        <v>1652</v>
      </c>
      <c r="AA238" s="8">
        <v>1</v>
      </c>
      <c r="AB238" s="8">
        <v>1</v>
      </c>
      <c r="AC238" s="8">
        <v>1</v>
      </c>
      <c r="AD238" s="8">
        <v>0</v>
      </c>
      <c r="AE238" s="8">
        <v>100</v>
      </c>
      <c r="AF238" s="6" t="s">
        <v>282</v>
      </c>
      <c r="AG238" s="6" t="s">
        <v>283</v>
      </c>
      <c r="AH238" s="6" t="s">
        <v>341</v>
      </c>
      <c r="AI238" s="6" t="s">
        <v>286</v>
      </c>
      <c r="AJ238" s="9">
        <v>40</v>
      </c>
      <c r="AK238" s="8">
        <v>40</v>
      </c>
      <c r="AL238" s="8">
        <v>40</v>
      </c>
      <c r="AM238" s="8">
        <v>40</v>
      </c>
      <c r="AN238" s="8">
        <v>40</v>
      </c>
      <c r="AO238" s="13">
        <v>40</v>
      </c>
      <c r="AP238" s="5"/>
    </row>
    <row r="239" spans="1:42">
      <c r="A239" s="12">
        <v>238</v>
      </c>
      <c r="B239" s="6" t="s">
        <v>1041</v>
      </c>
      <c r="C239" s="6" t="s">
        <v>1938</v>
      </c>
      <c r="D239" s="6" t="s">
        <v>434</v>
      </c>
      <c r="E239" s="6" t="s">
        <v>86</v>
      </c>
      <c r="F239" s="7">
        <v>45170</v>
      </c>
      <c r="G239" s="6" t="s">
        <v>288</v>
      </c>
      <c r="H239" s="6" t="s">
        <v>187</v>
      </c>
      <c r="I239" s="6" t="s">
        <v>1043</v>
      </c>
      <c r="J239" s="6" t="s">
        <v>90</v>
      </c>
      <c r="K239" s="6" t="s">
        <v>91</v>
      </c>
      <c r="L239" s="6" t="s">
        <v>92</v>
      </c>
      <c r="M239" s="6" t="s">
        <v>90</v>
      </c>
      <c r="N239" s="6" t="s">
        <v>136</v>
      </c>
      <c r="O239" s="6" t="s">
        <v>104</v>
      </c>
      <c r="P239" s="6" t="s">
        <v>290</v>
      </c>
      <c r="Q239" s="6" t="s">
        <v>95</v>
      </c>
      <c r="R239" s="6" t="s">
        <v>1643</v>
      </c>
      <c r="S239" s="6" t="s">
        <v>1693</v>
      </c>
      <c r="T239" s="6" t="s">
        <v>94</v>
      </c>
      <c r="U239" s="6" t="s">
        <v>94</v>
      </c>
      <c r="V239" s="6" t="s">
        <v>94</v>
      </c>
      <c r="W239" s="6" t="s">
        <v>291</v>
      </c>
      <c r="X239" s="6" t="s">
        <v>1643</v>
      </c>
      <c r="Y239" s="6" t="s">
        <v>1643</v>
      </c>
      <c r="Z239" s="6" t="s">
        <v>1643</v>
      </c>
      <c r="AA239" s="8">
        <v>1</v>
      </c>
      <c r="AB239" s="8">
        <v>1</v>
      </c>
      <c r="AC239" s="8">
        <v>1</v>
      </c>
      <c r="AD239" s="8">
        <v>1</v>
      </c>
      <c r="AE239" s="8">
        <v>100</v>
      </c>
      <c r="AF239" s="6" t="s">
        <v>334</v>
      </c>
      <c r="AG239" s="6" t="s">
        <v>335</v>
      </c>
      <c r="AH239" s="6" t="s">
        <v>413</v>
      </c>
      <c r="AI239" s="6" t="s">
        <v>286</v>
      </c>
      <c r="AJ239" s="9">
        <v>40</v>
      </c>
      <c r="AK239" s="8">
        <v>40</v>
      </c>
      <c r="AL239" s="8">
        <v>40</v>
      </c>
      <c r="AM239" s="8">
        <v>40</v>
      </c>
      <c r="AN239" s="8">
        <v>40</v>
      </c>
      <c r="AO239" s="13">
        <v>40</v>
      </c>
      <c r="AP239" s="5"/>
    </row>
    <row r="240" spans="1:42">
      <c r="A240" s="12">
        <v>239</v>
      </c>
      <c r="B240" s="6" t="s">
        <v>1044</v>
      </c>
      <c r="C240" s="6" t="s">
        <v>1939</v>
      </c>
      <c r="D240" s="6" t="s">
        <v>341</v>
      </c>
      <c r="E240" s="6" t="s">
        <v>86</v>
      </c>
      <c r="F240" s="7">
        <v>46082</v>
      </c>
      <c r="G240" s="6" t="s">
        <v>100</v>
      </c>
      <c r="H240" s="6" t="s">
        <v>94</v>
      </c>
      <c r="I240" s="6" t="s">
        <v>94</v>
      </c>
      <c r="J240" s="6" t="s">
        <v>90</v>
      </c>
      <c r="K240" s="6" t="s">
        <v>91</v>
      </c>
      <c r="L240" s="6" t="s">
        <v>92</v>
      </c>
      <c r="M240" s="6" t="s">
        <v>90</v>
      </c>
      <c r="N240" s="6" t="s">
        <v>94</v>
      </c>
      <c r="O240" s="6" t="s">
        <v>94</v>
      </c>
      <c r="P240" s="6" t="s">
        <v>497</v>
      </c>
      <c r="Q240" s="6" t="s">
        <v>95</v>
      </c>
      <c r="R240" s="6" t="s">
        <v>1643</v>
      </c>
      <c r="S240" s="6" t="s">
        <v>1940</v>
      </c>
      <c r="T240" s="6" t="s">
        <v>94</v>
      </c>
      <c r="U240" s="6" t="s">
        <v>94</v>
      </c>
      <c r="V240" s="6" t="s">
        <v>94</v>
      </c>
      <c r="W240" s="6" t="s">
        <v>304</v>
      </c>
      <c r="X240" s="6" t="s">
        <v>1643</v>
      </c>
      <c r="Y240" s="6" t="s">
        <v>1643</v>
      </c>
      <c r="Z240" s="6" t="s">
        <v>1643</v>
      </c>
      <c r="AA240" s="8">
        <v>1</v>
      </c>
      <c r="AB240" s="8">
        <v>1</v>
      </c>
      <c r="AC240" s="8">
        <v>1</v>
      </c>
      <c r="AD240" s="8">
        <v>1</v>
      </c>
      <c r="AE240" s="8">
        <v>100</v>
      </c>
      <c r="AF240" s="6" t="s">
        <v>334</v>
      </c>
      <c r="AG240" s="6" t="s">
        <v>335</v>
      </c>
      <c r="AH240" s="6" t="s">
        <v>434</v>
      </c>
      <c r="AI240" s="6" t="s">
        <v>286</v>
      </c>
      <c r="AJ240" s="9">
        <v>40</v>
      </c>
      <c r="AK240" s="8">
        <v>40</v>
      </c>
      <c r="AL240" s="8">
        <v>40</v>
      </c>
      <c r="AM240" s="8">
        <v>40</v>
      </c>
      <c r="AN240" s="8">
        <v>40</v>
      </c>
      <c r="AO240" s="13">
        <v>40</v>
      </c>
      <c r="AP240" s="5"/>
    </row>
    <row r="241" spans="1:42">
      <c r="A241" s="12">
        <v>240</v>
      </c>
      <c r="B241" s="6" t="s">
        <v>1046</v>
      </c>
      <c r="C241" s="6" t="s">
        <v>1941</v>
      </c>
      <c r="D241" s="6" t="s">
        <v>305</v>
      </c>
      <c r="E241" s="6" t="s">
        <v>86</v>
      </c>
      <c r="F241" s="7">
        <v>45962</v>
      </c>
      <c r="G241" s="6" t="s">
        <v>4</v>
      </c>
      <c r="H241" s="6" t="s">
        <v>94</v>
      </c>
      <c r="I241" s="6" t="s">
        <v>94</v>
      </c>
      <c r="J241" s="6" t="s">
        <v>90</v>
      </c>
      <c r="K241" s="6" t="s">
        <v>91</v>
      </c>
      <c r="L241" s="6" t="s">
        <v>92</v>
      </c>
      <c r="M241" s="6" t="s">
        <v>90</v>
      </c>
      <c r="N241" s="6" t="s">
        <v>94</v>
      </c>
      <c r="O241" s="6" t="s">
        <v>94</v>
      </c>
      <c r="P241" s="6" t="s">
        <v>93</v>
      </c>
      <c r="Q241" s="6" t="s">
        <v>104</v>
      </c>
      <c r="R241" s="6" t="s">
        <v>1643</v>
      </c>
      <c r="S241" s="6" t="s">
        <v>94</v>
      </c>
      <c r="T241" s="6" t="s">
        <v>94</v>
      </c>
      <c r="U241" s="6" t="s">
        <v>94</v>
      </c>
      <c r="V241" s="6" t="s">
        <v>94</v>
      </c>
      <c r="W241" s="6" t="s">
        <v>399</v>
      </c>
      <c r="X241" s="6" t="s">
        <v>1643</v>
      </c>
      <c r="Y241" s="6" t="s">
        <v>1643</v>
      </c>
      <c r="Z241" s="6" t="s">
        <v>1643</v>
      </c>
      <c r="AA241" s="8">
        <v>0.98</v>
      </c>
      <c r="AB241" s="8">
        <v>0.98</v>
      </c>
      <c r="AC241" s="8">
        <v>0.98</v>
      </c>
      <c r="AD241" s="8">
        <v>0.38</v>
      </c>
      <c r="AE241" s="8">
        <v>97.5</v>
      </c>
      <c r="AF241" s="6" t="s">
        <v>282</v>
      </c>
      <c r="AG241" s="6" t="s">
        <v>283</v>
      </c>
      <c r="AH241" s="6" t="s">
        <v>341</v>
      </c>
      <c r="AI241" s="6" t="s">
        <v>286</v>
      </c>
      <c r="AJ241" s="9">
        <v>39</v>
      </c>
      <c r="AK241" s="8">
        <v>39</v>
      </c>
      <c r="AL241" s="8">
        <v>39</v>
      </c>
      <c r="AM241" s="8">
        <v>39</v>
      </c>
      <c r="AN241" s="8">
        <v>39</v>
      </c>
      <c r="AO241" s="13">
        <v>39</v>
      </c>
      <c r="AP241" s="5"/>
    </row>
    <row r="242" spans="1:42">
      <c r="A242" s="12">
        <v>241</v>
      </c>
      <c r="B242" s="6" t="s">
        <v>1048</v>
      </c>
      <c r="C242" s="6" t="s">
        <v>1942</v>
      </c>
      <c r="D242" s="6" t="s">
        <v>348</v>
      </c>
      <c r="E242" s="6" t="s">
        <v>86</v>
      </c>
      <c r="F242" s="7">
        <v>45695</v>
      </c>
      <c r="G242" s="6" t="s">
        <v>288</v>
      </c>
      <c r="H242" s="6" t="s">
        <v>94</v>
      </c>
      <c r="I242" s="6" t="s">
        <v>1050</v>
      </c>
      <c r="J242" s="6" t="s">
        <v>90</v>
      </c>
      <c r="K242" s="6" t="s">
        <v>91</v>
      </c>
      <c r="L242" s="6" t="s">
        <v>92</v>
      </c>
      <c r="M242" s="6" t="s">
        <v>90</v>
      </c>
      <c r="N242" s="6" t="s">
        <v>94</v>
      </c>
      <c r="O242" s="6" t="s">
        <v>94</v>
      </c>
      <c r="P242" s="6" t="s">
        <v>550</v>
      </c>
      <c r="Q242" s="6" t="s">
        <v>104</v>
      </c>
      <c r="R242" s="6" t="s">
        <v>1643</v>
      </c>
      <c r="S242" s="6" t="s">
        <v>94</v>
      </c>
      <c r="T242" s="6" t="s">
        <v>94</v>
      </c>
      <c r="U242" s="6" t="s">
        <v>94</v>
      </c>
      <c r="V242" s="6" t="s">
        <v>94</v>
      </c>
      <c r="W242" s="6" t="s">
        <v>291</v>
      </c>
      <c r="X242" s="6" t="s">
        <v>1643</v>
      </c>
      <c r="Y242" s="6" t="s">
        <v>1643</v>
      </c>
      <c r="Z242" s="6" t="s">
        <v>1643</v>
      </c>
      <c r="AA242" s="8">
        <v>1</v>
      </c>
      <c r="AB242" s="8">
        <v>1</v>
      </c>
      <c r="AC242" s="8">
        <v>1</v>
      </c>
      <c r="AD242" s="8">
        <v>1</v>
      </c>
      <c r="AE242" s="8">
        <v>100</v>
      </c>
      <c r="AF242" s="6" t="s">
        <v>308</v>
      </c>
      <c r="AG242" s="6" t="s">
        <v>283</v>
      </c>
      <c r="AH242" s="6" t="s">
        <v>305</v>
      </c>
      <c r="AI242" s="6" t="s">
        <v>286</v>
      </c>
      <c r="AJ242" s="9">
        <v>40</v>
      </c>
      <c r="AK242" s="8">
        <v>40</v>
      </c>
      <c r="AL242" s="8">
        <v>40</v>
      </c>
      <c r="AM242" s="8">
        <v>40</v>
      </c>
      <c r="AN242" s="8">
        <v>40</v>
      </c>
      <c r="AO242" s="13">
        <v>40</v>
      </c>
      <c r="AP242" s="5"/>
    </row>
    <row r="243" spans="1:42">
      <c r="A243" s="12">
        <v>242</v>
      </c>
      <c r="B243" s="6" t="s">
        <v>1051</v>
      </c>
      <c r="C243" s="6" t="s">
        <v>1943</v>
      </c>
      <c r="D243" s="6" t="s">
        <v>305</v>
      </c>
      <c r="E243" s="6" t="s">
        <v>86</v>
      </c>
      <c r="F243" s="7">
        <v>44850</v>
      </c>
      <c r="G243" s="6" t="s">
        <v>111</v>
      </c>
      <c r="H243" s="6" t="s">
        <v>371</v>
      </c>
      <c r="I243" s="6" t="s">
        <v>1053</v>
      </c>
      <c r="J243" s="6" t="s">
        <v>90</v>
      </c>
      <c r="K243" s="6" t="s">
        <v>91</v>
      </c>
      <c r="L243" s="6" t="s">
        <v>92</v>
      </c>
      <c r="M243" s="6" t="s">
        <v>90</v>
      </c>
      <c r="N243" s="6" t="s">
        <v>103</v>
      </c>
      <c r="O243" s="6" t="s">
        <v>104</v>
      </c>
      <c r="P243" s="6" t="s">
        <v>103</v>
      </c>
      <c r="Q243" s="6" t="s">
        <v>95</v>
      </c>
      <c r="R243" s="6" t="s">
        <v>1643</v>
      </c>
      <c r="S243" s="6" t="s">
        <v>94</v>
      </c>
      <c r="T243" s="6" t="s">
        <v>94</v>
      </c>
      <c r="U243" s="6" t="s">
        <v>94</v>
      </c>
      <c r="V243" s="6" t="s">
        <v>94</v>
      </c>
      <c r="W243" s="6" t="s">
        <v>281</v>
      </c>
      <c r="X243" s="6" t="s">
        <v>1643</v>
      </c>
      <c r="Y243" s="6" t="s">
        <v>1643</v>
      </c>
      <c r="Z243" s="6" t="s">
        <v>1643</v>
      </c>
      <c r="AA243" s="8">
        <v>1</v>
      </c>
      <c r="AB243" s="8">
        <v>1</v>
      </c>
      <c r="AC243" s="8">
        <v>1</v>
      </c>
      <c r="AD243" s="8">
        <v>1</v>
      </c>
      <c r="AE243" s="8">
        <v>100</v>
      </c>
      <c r="AF243" s="6" t="s">
        <v>351</v>
      </c>
      <c r="AG243" s="6" t="s">
        <v>283</v>
      </c>
      <c r="AH243" s="6" t="s">
        <v>348</v>
      </c>
      <c r="AI243" s="6" t="s">
        <v>286</v>
      </c>
      <c r="AJ243" s="9">
        <v>40</v>
      </c>
      <c r="AK243" s="8">
        <v>40</v>
      </c>
      <c r="AL243" s="8">
        <v>40</v>
      </c>
      <c r="AM243" s="8">
        <v>40</v>
      </c>
      <c r="AN243" s="8">
        <v>40</v>
      </c>
      <c r="AO243" s="13">
        <v>40</v>
      </c>
      <c r="AP243" s="5"/>
    </row>
    <row r="244" spans="1:42">
      <c r="A244" s="12">
        <v>243</v>
      </c>
      <c r="B244" s="6" t="s">
        <v>1054</v>
      </c>
      <c r="C244" s="6" t="s">
        <v>1944</v>
      </c>
      <c r="D244" s="6" t="s">
        <v>392</v>
      </c>
      <c r="E244" s="6" t="s">
        <v>86</v>
      </c>
      <c r="F244" s="7">
        <v>46149</v>
      </c>
      <c r="G244" s="6" t="s">
        <v>111</v>
      </c>
      <c r="H244" s="6" t="s">
        <v>94</v>
      </c>
      <c r="I244" s="6" t="s">
        <v>94</v>
      </c>
      <c r="J244" s="6" t="s">
        <v>90</v>
      </c>
      <c r="K244" s="6" t="s">
        <v>91</v>
      </c>
      <c r="L244" s="6" t="s">
        <v>92</v>
      </c>
      <c r="M244" s="6" t="s">
        <v>90</v>
      </c>
      <c r="N244" s="6" t="s">
        <v>94</v>
      </c>
      <c r="O244" s="6" t="s">
        <v>94</v>
      </c>
      <c r="P244" s="6" t="s">
        <v>131</v>
      </c>
      <c r="Q244" s="6" t="s">
        <v>95</v>
      </c>
      <c r="R244" s="6" t="s">
        <v>1643</v>
      </c>
      <c r="S244" s="6" t="s">
        <v>1744</v>
      </c>
      <c r="T244" s="6" t="s">
        <v>94</v>
      </c>
      <c r="U244" s="6" t="s">
        <v>94</v>
      </c>
      <c r="V244" s="6" t="s">
        <v>94</v>
      </c>
      <c r="W244" s="6" t="s">
        <v>281</v>
      </c>
      <c r="X244" s="6" t="s">
        <v>1643</v>
      </c>
      <c r="Y244" s="6" t="s">
        <v>1643</v>
      </c>
      <c r="Z244" s="6" t="s">
        <v>1643</v>
      </c>
      <c r="AA244" s="8">
        <v>1</v>
      </c>
      <c r="AB244" s="8">
        <v>1</v>
      </c>
      <c r="AC244" s="8">
        <v>1</v>
      </c>
      <c r="AD244" s="8">
        <v>1</v>
      </c>
      <c r="AE244" s="8">
        <v>100</v>
      </c>
      <c r="AF244" s="6" t="s">
        <v>308</v>
      </c>
      <c r="AG244" s="6" t="s">
        <v>283</v>
      </c>
      <c r="AH244" s="6" t="s">
        <v>305</v>
      </c>
      <c r="AI244" s="6" t="s">
        <v>286</v>
      </c>
      <c r="AJ244" s="9">
        <v>40</v>
      </c>
      <c r="AK244" s="8">
        <v>40</v>
      </c>
      <c r="AL244" s="8">
        <v>40</v>
      </c>
      <c r="AM244" s="8">
        <v>40</v>
      </c>
      <c r="AN244" s="8">
        <v>40</v>
      </c>
      <c r="AO244" s="13">
        <v>40</v>
      </c>
      <c r="AP244" s="5"/>
    </row>
    <row r="245" spans="1:42">
      <c r="A245" s="12">
        <v>244</v>
      </c>
      <c r="B245" s="6" t="s">
        <v>1056</v>
      </c>
      <c r="C245" s="6" t="s">
        <v>1945</v>
      </c>
      <c r="D245" s="6" t="s">
        <v>341</v>
      </c>
      <c r="E245" s="6" t="s">
        <v>86</v>
      </c>
      <c r="F245" s="7">
        <v>46023</v>
      </c>
      <c r="G245" s="6" t="s">
        <v>155</v>
      </c>
      <c r="H245" s="6" t="s">
        <v>94</v>
      </c>
      <c r="I245" s="6" t="s">
        <v>156</v>
      </c>
      <c r="J245" s="6" t="s">
        <v>90</v>
      </c>
      <c r="K245" s="6" t="s">
        <v>91</v>
      </c>
      <c r="L245" s="6" t="s">
        <v>92</v>
      </c>
      <c r="M245" s="6" t="s">
        <v>90</v>
      </c>
      <c r="N245" s="6" t="s">
        <v>94</v>
      </c>
      <c r="O245" s="6" t="s">
        <v>94</v>
      </c>
      <c r="P245" s="6" t="s">
        <v>43</v>
      </c>
      <c r="Q245" s="6" t="s">
        <v>104</v>
      </c>
      <c r="R245" s="6" t="s">
        <v>1643</v>
      </c>
      <c r="S245" s="6" t="s">
        <v>1669</v>
      </c>
      <c r="T245" s="6" t="s">
        <v>94</v>
      </c>
      <c r="U245" s="6" t="s">
        <v>94</v>
      </c>
      <c r="V245" s="6" t="s">
        <v>94</v>
      </c>
      <c r="W245" s="6" t="s">
        <v>369</v>
      </c>
      <c r="X245" s="6" t="s">
        <v>1643</v>
      </c>
      <c r="Y245" s="6" t="s">
        <v>1643</v>
      </c>
      <c r="Z245" s="6" t="s">
        <v>1652</v>
      </c>
      <c r="AA245" s="8">
        <v>1</v>
      </c>
      <c r="AB245" s="8">
        <v>1</v>
      </c>
      <c r="AC245" s="8">
        <v>1</v>
      </c>
      <c r="AD245" s="8">
        <v>0</v>
      </c>
      <c r="AE245" s="8">
        <v>100</v>
      </c>
      <c r="AF245" s="6" t="s">
        <v>282</v>
      </c>
      <c r="AG245" s="6" t="s">
        <v>283</v>
      </c>
      <c r="AH245" s="6" t="s">
        <v>392</v>
      </c>
      <c r="AI245" s="6" t="s">
        <v>286</v>
      </c>
      <c r="AJ245" s="9">
        <v>40</v>
      </c>
      <c r="AK245" s="8">
        <v>40</v>
      </c>
      <c r="AL245" s="8">
        <v>40</v>
      </c>
      <c r="AM245" s="8">
        <v>40</v>
      </c>
      <c r="AN245" s="8">
        <v>40</v>
      </c>
      <c r="AO245" s="13">
        <v>40</v>
      </c>
      <c r="AP245" s="5"/>
    </row>
    <row r="246" spans="1:42">
      <c r="A246" s="12">
        <v>245</v>
      </c>
      <c r="B246" s="6" t="s">
        <v>1058</v>
      </c>
      <c r="C246" s="6" t="s">
        <v>1946</v>
      </c>
      <c r="D246" s="6" t="s">
        <v>348</v>
      </c>
      <c r="E246" s="6" t="s">
        <v>86</v>
      </c>
      <c r="F246" s="7">
        <v>44158</v>
      </c>
      <c r="G246" s="6" t="s">
        <v>430</v>
      </c>
      <c r="H246" s="6" t="s">
        <v>359</v>
      </c>
      <c r="I246" s="6" t="s">
        <v>1060</v>
      </c>
      <c r="J246" s="6" t="s">
        <v>90</v>
      </c>
      <c r="K246" s="6" t="s">
        <v>91</v>
      </c>
      <c r="L246" s="6" t="s">
        <v>92</v>
      </c>
      <c r="M246" s="6" t="s">
        <v>90</v>
      </c>
      <c r="N246" s="6" t="s">
        <v>474</v>
      </c>
      <c r="O246" s="6" t="s">
        <v>122</v>
      </c>
      <c r="P246" s="6" t="s">
        <v>474</v>
      </c>
      <c r="Q246" s="6" t="s">
        <v>122</v>
      </c>
      <c r="R246" s="6" t="s">
        <v>1643</v>
      </c>
      <c r="S246" s="6" t="s">
        <v>1947</v>
      </c>
      <c r="T246" s="6" t="s">
        <v>94</v>
      </c>
      <c r="U246" s="6" t="s">
        <v>94</v>
      </c>
      <c r="V246" s="6" t="s">
        <v>94</v>
      </c>
      <c r="W246" s="6" t="s">
        <v>433</v>
      </c>
      <c r="X246" s="6" t="s">
        <v>1643</v>
      </c>
      <c r="Y246" s="6" t="s">
        <v>1643</v>
      </c>
      <c r="Z246" s="6" t="s">
        <v>1652</v>
      </c>
      <c r="AA246" s="8">
        <v>1</v>
      </c>
      <c r="AB246" s="8">
        <v>1</v>
      </c>
      <c r="AC246" s="8">
        <v>1</v>
      </c>
      <c r="AD246" s="8">
        <v>0</v>
      </c>
      <c r="AE246" s="8">
        <v>95.238095239999993</v>
      </c>
      <c r="AF246" s="6" t="s">
        <v>282</v>
      </c>
      <c r="AG246" s="6" t="s">
        <v>283</v>
      </c>
      <c r="AH246" s="6" t="s">
        <v>341</v>
      </c>
      <c r="AI246" s="6" t="s">
        <v>286</v>
      </c>
      <c r="AJ246" s="9">
        <v>40</v>
      </c>
      <c r="AK246" s="8">
        <v>40</v>
      </c>
      <c r="AL246" s="8">
        <v>40</v>
      </c>
      <c r="AM246" s="8">
        <v>40</v>
      </c>
      <c r="AN246" s="8">
        <v>40</v>
      </c>
      <c r="AO246" s="13">
        <v>40</v>
      </c>
      <c r="AP246" s="5"/>
    </row>
    <row r="247" spans="1:42">
      <c r="A247" s="12">
        <v>246</v>
      </c>
      <c r="B247" s="6" t="s">
        <v>1061</v>
      </c>
      <c r="C247" s="6" t="s">
        <v>1948</v>
      </c>
      <c r="D247" s="6" t="s">
        <v>94</v>
      </c>
      <c r="E247" s="6" t="s">
        <v>86</v>
      </c>
      <c r="F247" s="7">
        <v>43001</v>
      </c>
      <c r="G247" s="6" t="s">
        <v>204</v>
      </c>
      <c r="H247" s="6" t="s">
        <v>120</v>
      </c>
      <c r="I247" s="6" t="s">
        <v>1063</v>
      </c>
      <c r="J247" s="6" t="s">
        <v>90</v>
      </c>
      <c r="K247" s="6" t="s">
        <v>91</v>
      </c>
      <c r="L247" s="6" t="s">
        <v>92</v>
      </c>
      <c r="M247" s="6" t="s">
        <v>90</v>
      </c>
      <c r="N247" s="6" t="s">
        <v>131</v>
      </c>
      <c r="O247" s="6" t="s">
        <v>95</v>
      </c>
      <c r="P247" s="6" t="s">
        <v>43</v>
      </c>
      <c r="Q247" s="6" t="s">
        <v>104</v>
      </c>
      <c r="R247" s="6" t="s">
        <v>1643</v>
      </c>
      <c r="S247" s="6" t="s">
        <v>1949</v>
      </c>
      <c r="T247" s="6" t="s">
        <v>94</v>
      </c>
      <c r="U247" s="6" t="s">
        <v>94</v>
      </c>
      <c r="V247" s="6" t="s">
        <v>94</v>
      </c>
      <c r="W247" s="6" t="s">
        <v>403</v>
      </c>
      <c r="X247" s="6" t="s">
        <v>1643</v>
      </c>
      <c r="Y247" s="6" t="s">
        <v>1643</v>
      </c>
      <c r="Z247" s="6" t="s">
        <v>1643</v>
      </c>
      <c r="AA247" s="8">
        <v>1</v>
      </c>
      <c r="AB247" s="8">
        <v>1</v>
      </c>
      <c r="AC247" s="8">
        <v>1</v>
      </c>
      <c r="AD247" s="8">
        <v>1</v>
      </c>
      <c r="AE247" s="8">
        <v>100</v>
      </c>
      <c r="AF247" s="6" t="s">
        <v>351</v>
      </c>
      <c r="AG247" s="6" t="s">
        <v>283</v>
      </c>
      <c r="AH247" s="6" t="s">
        <v>348</v>
      </c>
      <c r="AI247" s="6" t="s">
        <v>286</v>
      </c>
      <c r="AJ247" s="9">
        <v>40</v>
      </c>
      <c r="AK247" s="8">
        <v>40</v>
      </c>
      <c r="AL247" s="8">
        <v>40</v>
      </c>
      <c r="AM247" s="8">
        <v>40</v>
      </c>
      <c r="AN247" s="8">
        <v>40</v>
      </c>
      <c r="AO247" s="13">
        <v>40</v>
      </c>
      <c r="AP247" s="5"/>
    </row>
    <row r="248" spans="1:42">
      <c r="A248" s="12">
        <v>247</v>
      </c>
      <c r="B248" s="6" t="s">
        <v>1064</v>
      </c>
      <c r="C248" s="6" t="s">
        <v>1950</v>
      </c>
      <c r="D248" s="6" t="s">
        <v>323</v>
      </c>
      <c r="E248" s="6" t="s">
        <v>251</v>
      </c>
      <c r="F248" s="7">
        <v>46257</v>
      </c>
      <c r="G248" s="6" t="s">
        <v>889</v>
      </c>
      <c r="H248" s="6" t="s">
        <v>94</v>
      </c>
      <c r="I248" s="6" t="s">
        <v>94</v>
      </c>
      <c r="J248" s="6" t="s">
        <v>90</v>
      </c>
      <c r="K248" s="6" t="s">
        <v>91</v>
      </c>
      <c r="L248" s="6" t="s">
        <v>92</v>
      </c>
      <c r="M248" s="6" t="s">
        <v>90</v>
      </c>
      <c r="N248" s="6" t="s">
        <v>184</v>
      </c>
      <c r="O248" s="6" t="s">
        <v>94</v>
      </c>
      <c r="P248" s="6" t="s">
        <v>94</v>
      </c>
      <c r="Q248" s="6" t="s">
        <v>94</v>
      </c>
      <c r="R248" s="11" t="s">
        <v>1838</v>
      </c>
      <c r="S248" s="6" t="s">
        <v>94</v>
      </c>
      <c r="T248" s="6" t="s">
        <v>94</v>
      </c>
      <c r="U248" s="6" t="s">
        <v>94</v>
      </c>
      <c r="V248" s="6" t="s">
        <v>94</v>
      </c>
      <c r="W248" s="6" t="s">
        <v>1066</v>
      </c>
      <c r="X248" s="6" t="s">
        <v>1652</v>
      </c>
      <c r="Y248" s="6" t="s">
        <v>1652</v>
      </c>
      <c r="Z248" s="6" t="s">
        <v>1652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6" t="s">
        <v>94</v>
      </c>
      <c r="AG248" s="6" t="s">
        <v>94</v>
      </c>
      <c r="AH248" s="6" t="s">
        <v>94</v>
      </c>
      <c r="AI248" s="6" t="s">
        <v>94</v>
      </c>
      <c r="AJ248" s="9">
        <v>0</v>
      </c>
      <c r="AK248" s="8">
        <v>0</v>
      </c>
      <c r="AL248" s="8">
        <v>0</v>
      </c>
      <c r="AM248" s="8">
        <v>0</v>
      </c>
      <c r="AN248" s="8">
        <v>0</v>
      </c>
      <c r="AO248" s="13">
        <v>0</v>
      </c>
      <c r="AP248" s="5"/>
    </row>
    <row r="249" spans="1:42">
      <c r="A249" s="12">
        <v>248</v>
      </c>
      <c r="B249" s="6" t="s">
        <v>1067</v>
      </c>
      <c r="C249" s="6" t="s">
        <v>1951</v>
      </c>
      <c r="D249" s="6" t="s">
        <v>305</v>
      </c>
      <c r="E249" s="6" t="s">
        <v>86</v>
      </c>
      <c r="F249" s="7">
        <v>45001</v>
      </c>
      <c r="G249" s="6" t="s">
        <v>784</v>
      </c>
      <c r="H249" s="6" t="s">
        <v>974</v>
      </c>
      <c r="I249" s="6" t="s">
        <v>135</v>
      </c>
      <c r="J249" s="6" t="s">
        <v>90</v>
      </c>
      <c r="K249" s="6" t="s">
        <v>91</v>
      </c>
      <c r="L249" s="6" t="s">
        <v>92</v>
      </c>
      <c r="M249" s="6" t="s">
        <v>90</v>
      </c>
      <c r="N249" s="6" t="s">
        <v>784</v>
      </c>
      <c r="O249" s="6" t="s">
        <v>94</v>
      </c>
      <c r="P249" s="6" t="s">
        <v>497</v>
      </c>
      <c r="Q249" s="6" t="s">
        <v>95</v>
      </c>
      <c r="R249" s="6" t="s">
        <v>1643</v>
      </c>
      <c r="S249" s="6" t="s">
        <v>1693</v>
      </c>
      <c r="T249" s="6" t="s">
        <v>94</v>
      </c>
      <c r="U249" s="6" t="s">
        <v>94</v>
      </c>
      <c r="V249" s="6" t="s">
        <v>94</v>
      </c>
      <c r="W249" s="6" t="s">
        <v>1069</v>
      </c>
      <c r="X249" s="6" t="s">
        <v>1643</v>
      </c>
      <c r="Y249" s="6" t="s">
        <v>1643</v>
      </c>
      <c r="Z249" s="6" t="s">
        <v>1643</v>
      </c>
      <c r="AA249" s="8">
        <v>1</v>
      </c>
      <c r="AB249" s="8">
        <v>1</v>
      </c>
      <c r="AC249" s="8">
        <v>1</v>
      </c>
      <c r="AD249" s="8">
        <v>1</v>
      </c>
      <c r="AE249" s="8">
        <v>100</v>
      </c>
      <c r="AF249" s="6" t="s">
        <v>326</v>
      </c>
      <c r="AG249" s="6" t="s">
        <v>283</v>
      </c>
      <c r="AH249" s="6" t="s">
        <v>323</v>
      </c>
      <c r="AI249" s="6" t="s">
        <v>286</v>
      </c>
      <c r="AJ249" s="9">
        <v>40</v>
      </c>
      <c r="AK249" s="8">
        <v>40</v>
      </c>
      <c r="AL249" s="8">
        <v>40</v>
      </c>
      <c r="AM249" s="8">
        <v>40</v>
      </c>
      <c r="AN249" s="8">
        <v>40</v>
      </c>
      <c r="AO249" s="13">
        <v>40</v>
      </c>
      <c r="AP249" s="5"/>
    </row>
    <row r="250" spans="1:42">
      <c r="A250" s="12">
        <v>249</v>
      </c>
      <c r="B250" s="6" t="s">
        <v>1070</v>
      </c>
      <c r="C250" s="6" t="s">
        <v>1952</v>
      </c>
      <c r="D250" s="6" t="s">
        <v>348</v>
      </c>
      <c r="E250" s="6" t="s">
        <v>86</v>
      </c>
      <c r="F250" s="7">
        <v>43998</v>
      </c>
      <c r="G250" s="6" t="s">
        <v>111</v>
      </c>
      <c r="H250" s="6" t="s">
        <v>146</v>
      </c>
      <c r="I250" s="6" t="s">
        <v>1072</v>
      </c>
      <c r="J250" s="6" t="s">
        <v>90</v>
      </c>
      <c r="K250" s="6" t="s">
        <v>91</v>
      </c>
      <c r="L250" s="6" t="s">
        <v>92</v>
      </c>
      <c r="M250" s="6" t="s">
        <v>90</v>
      </c>
      <c r="N250" s="6" t="s">
        <v>584</v>
      </c>
      <c r="O250" s="6" t="s">
        <v>94</v>
      </c>
      <c r="P250" s="6" t="s">
        <v>131</v>
      </c>
      <c r="Q250" s="6" t="s">
        <v>95</v>
      </c>
      <c r="R250" s="6" t="s">
        <v>1643</v>
      </c>
      <c r="S250" s="6" t="s">
        <v>94</v>
      </c>
      <c r="T250" s="6" t="s">
        <v>94</v>
      </c>
      <c r="U250" s="6" t="s">
        <v>94</v>
      </c>
      <c r="V250" s="6" t="s">
        <v>94</v>
      </c>
      <c r="W250" s="6" t="s">
        <v>418</v>
      </c>
      <c r="X250" s="6" t="s">
        <v>1643</v>
      </c>
      <c r="Y250" s="6" t="s">
        <v>1643</v>
      </c>
      <c r="Z250" s="6" t="s">
        <v>1643</v>
      </c>
      <c r="AA250" s="8">
        <v>1</v>
      </c>
      <c r="AB250" s="8">
        <v>1</v>
      </c>
      <c r="AC250" s="8">
        <v>1</v>
      </c>
      <c r="AD250" s="8">
        <v>1</v>
      </c>
      <c r="AE250" s="8">
        <v>100</v>
      </c>
      <c r="AF250" s="6" t="s">
        <v>308</v>
      </c>
      <c r="AG250" s="6" t="s">
        <v>283</v>
      </c>
      <c r="AH250" s="6" t="s">
        <v>305</v>
      </c>
      <c r="AI250" s="6" t="s">
        <v>286</v>
      </c>
      <c r="AJ250" s="9">
        <v>40</v>
      </c>
      <c r="AK250" s="8">
        <v>40</v>
      </c>
      <c r="AL250" s="8">
        <v>40</v>
      </c>
      <c r="AM250" s="8">
        <v>40</v>
      </c>
      <c r="AN250" s="8">
        <v>40</v>
      </c>
      <c r="AO250" s="13">
        <v>40</v>
      </c>
      <c r="AP250" s="5"/>
    </row>
    <row r="251" spans="1:42">
      <c r="A251" s="12">
        <v>250</v>
      </c>
      <c r="B251" s="6" t="s">
        <v>1073</v>
      </c>
      <c r="C251" s="6" t="s">
        <v>1953</v>
      </c>
      <c r="D251" s="6" t="s">
        <v>339</v>
      </c>
      <c r="E251" s="6" t="s">
        <v>86</v>
      </c>
      <c r="F251" s="7">
        <v>43062</v>
      </c>
      <c r="G251" s="6" t="s">
        <v>111</v>
      </c>
      <c r="H251" s="6" t="s">
        <v>187</v>
      </c>
      <c r="I251" s="6" t="s">
        <v>1075</v>
      </c>
      <c r="J251" s="6" t="s">
        <v>90</v>
      </c>
      <c r="K251" s="6" t="s">
        <v>91</v>
      </c>
      <c r="L251" s="6" t="s">
        <v>92</v>
      </c>
      <c r="M251" s="6" t="s">
        <v>90</v>
      </c>
      <c r="N251" s="6" t="s">
        <v>103</v>
      </c>
      <c r="O251" s="6" t="s">
        <v>95</v>
      </c>
      <c r="P251" s="6" t="s">
        <v>103</v>
      </c>
      <c r="Q251" s="6" t="s">
        <v>122</v>
      </c>
      <c r="R251" s="6" t="s">
        <v>1643</v>
      </c>
      <c r="S251" s="6" t="s">
        <v>94</v>
      </c>
      <c r="T251" s="6" t="s">
        <v>94</v>
      </c>
      <c r="U251" s="6" t="s">
        <v>94</v>
      </c>
      <c r="V251" s="6" t="s">
        <v>94</v>
      </c>
      <c r="W251" s="6" t="s">
        <v>281</v>
      </c>
      <c r="X251" s="6" t="s">
        <v>1643</v>
      </c>
      <c r="Y251" s="6" t="s">
        <v>1643</v>
      </c>
      <c r="Z251" s="6" t="s">
        <v>1643</v>
      </c>
      <c r="AA251" s="8">
        <v>1</v>
      </c>
      <c r="AB251" s="8">
        <v>1</v>
      </c>
      <c r="AC251" s="8">
        <v>1</v>
      </c>
      <c r="AD251" s="8">
        <v>1</v>
      </c>
      <c r="AE251" s="8">
        <v>100</v>
      </c>
      <c r="AF251" s="6" t="s">
        <v>351</v>
      </c>
      <c r="AG251" s="6" t="s">
        <v>283</v>
      </c>
      <c r="AH251" s="6" t="s">
        <v>348</v>
      </c>
      <c r="AI251" s="6" t="s">
        <v>286</v>
      </c>
      <c r="AJ251" s="9">
        <v>40</v>
      </c>
      <c r="AK251" s="8">
        <v>40</v>
      </c>
      <c r="AL251" s="8">
        <v>40</v>
      </c>
      <c r="AM251" s="8">
        <v>40</v>
      </c>
      <c r="AN251" s="8">
        <v>40</v>
      </c>
      <c r="AO251" s="13">
        <v>40</v>
      </c>
      <c r="AP251" s="5"/>
    </row>
    <row r="252" spans="1:42">
      <c r="A252" s="12">
        <v>251</v>
      </c>
      <c r="B252" s="6" t="s">
        <v>1076</v>
      </c>
      <c r="C252" s="6" t="s">
        <v>1954</v>
      </c>
      <c r="D252" s="6" t="s">
        <v>323</v>
      </c>
      <c r="E252" s="6" t="s">
        <v>86</v>
      </c>
      <c r="F252" s="7">
        <v>46104</v>
      </c>
      <c r="G252" s="6" t="s">
        <v>430</v>
      </c>
      <c r="H252" s="6" t="s">
        <v>94</v>
      </c>
      <c r="I252" s="6" t="s">
        <v>94</v>
      </c>
      <c r="J252" s="6" t="s">
        <v>90</v>
      </c>
      <c r="K252" s="6" t="s">
        <v>91</v>
      </c>
      <c r="L252" s="6" t="s">
        <v>92</v>
      </c>
      <c r="M252" s="6" t="s">
        <v>90</v>
      </c>
      <c r="N252" s="6" t="s">
        <v>94</v>
      </c>
      <c r="O252" s="6" t="s">
        <v>94</v>
      </c>
      <c r="P252" s="6" t="s">
        <v>103</v>
      </c>
      <c r="Q252" s="6" t="s">
        <v>122</v>
      </c>
      <c r="R252" s="6" t="s">
        <v>1643</v>
      </c>
      <c r="S252" s="6" t="s">
        <v>94</v>
      </c>
      <c r="T252" s="6" t="s">
        <v>94</v>
      </c>
      <c r="U252" s="6" t="s">
        <v>94</v>
      </c>
      <c r="V252" s="6" t="s">
        <v>94</v>
      </c>
      <c r="W252" s="6" t="s">
        <v>433</v>
      </c>
      <c r="X252" s="6" t="s">
        <v>1643</v>
      </c>
      <c r="Y252" s="6" t="s">
        <v>1643</v>
      </c>
      <c r="Z252" s="6" t="s">
        <v>1643</v>
      </c>
      <c r="AA252" s="8">
        <v>1</v>
      </c>
      <c r="AB252" s="8">
        <v>1</v>
      </c>
      <c r="AC252" s="8">
        <v>1</v>
      </c>
      <c r="AD252" s="8">
        <v>1</v>
      </c>
      <c r="AE252" s="8">
        <v>100</v>
      </c>
      <c r="AF252" s="6" t="s">
        <v>334</v>
      </c>
      <c r="AG252" s="6" t="s">
        <v>335</v>
      </c>
      <c r="AH252" s="6" t="s">
        <v>339</v>
      </c>
      <c r="AI252" s="6" t="s">
        <v>286</v>
      </c>
      <c r="AJ252" s="9">
        <v>40</v>
      </c>
      <c r="AK252" s="8">
        <v>40</v>
      </c>
      <c r="AL252" s="8">
        <v>40</v>
      </c>
      <c r="AM252" s="8">
        <v>40</v>
      </c>
      <c r="AN252" s="8">
        <v>40</v>
      </c>
      <c r="AO252" s="13">
        <v>40</v>
      </c>
      <c r="AP252" s="5"/>
    </row>
    <row r="253" spans="1:42">
      <c r="A253" s="12">
        <v>252</v>
      </c>
      <c r="B253" s="6" t="s">
        <v>1078</v>
      </c>
      <c r="C253" s="6" t="s">
        <v>1955</v>
      </c>
      <c r="D253" s="6" t="s">
        <v>315</v>
      </c>
      <c r="E253" s="6" t="s">
        <v>86</v>
      </c>
      <c r="F253" s="7">
        <v>44148</v>
      </c>
      <c r="G253" s="6" t="s">
        <v>14</v>
      </c>
      <c r="H253" s="6" t="s">
        <v>769</v>
      </c>
      <c r="I253" s="6" t="s">
        <v>1080</v>
      </c>
      <c r="J253" s="6" t="s">
        <v>90</v>
      </c>
      <c r="K253" s="6" t="s">
        <v>91</v>
      </c>
      <c r="L253" s="6" t="s">
        <v>92</v>
      </c>
      <c r="M253" s="6" t="s">
        <v>90</v>
      </c>
      <c r="N253" s="6" t="s">
        <v>696</v>
      </c>
      <c r="O253" s="6" t="s">
        <v>94</v>
      </c>
      <c r="P253" s="6" t="s">
        <v>346</v>
      </c>
      <c r="Q253" s="6" t="s">
        <v>122</v>
      </c>
      <c r="R253" s="6" t="s">
        <v>1643</v>
      </c>
      <c r="S253" s="6" t="s">
        <v>94</v>
      </c>
      <c r="T253" s="6" t="s">
        <v>94</v>
      </c>
      <c r="U253" s="6" t="s">
        <v>94</v>
      </c>
      <c r="V253" s="6" t="s">
        <v>94</v>
      </c>
      <c r="W253" s="6" t="s">
        <v>422</v>
      </c>
      <c r="X253" s="6" t="s">
        <v>1643</v>
      </c>
      <c r="Y253" s="6" t="s">
        <v>1643</v>
      </c>
      <c r="Z253" s="6" t="s">
        <v>1643</v>
      </c>
      <c r="AA253" s="8">
        <v>1</v>
      </c>
      <c r="AB253" s="8">
        <v>1</v>
      </c>
      <c r="AC253" s="8">
        <v>1</v>
      </c>
      <c r="AD253" s="8">
        <v>1</v>
      </c>
      <c r="AE253" s="8">
        <v>100</v>
      </c>
      <c r="AF253" s="6" t="s">
        <v>326</v>
      </c>
      <c r="AG253" s="6" t="s">
        <v>283</v>
      </c>
      <c r="AH253" s="6" t="s">
        <v>323</v>
      </c>
      <c r="AI253" s="6" t="s">
        <v>286</v>
      </c>
      <c r="AJ253" s="9">
        <v>40</v>
      </c>
      <c r="AK253" s="8">
        <v>40</v>
      </c>
      <c r="AL253" s="8">
        <v>40</v>
      </c>
      <c r="AM253" s="8">
        <v>40</v>
      </c>
      <c r="AN253" s="8">
        <v>40</v>
      </c>
      <c r="AO253" s="13">
        <v>40</v>
      </c>
      <c r="AP253" s="5"/>
    </row>
    <row r="254" spans="1:42">
      <c r="A254" s="12">
        <v>253</v>
      </c>
      <c r="B254" s="6" t="s">
        <v>1081</v>
      </c>
      <c r="C254" s="6" t="s">
        <v>1956</v>
      </c>
      <c r="D254" s="6" t="s">
        <v>301</v>
      </c>
      <c r="E254" s="6" t="s">
        <v>86</v>
      </c>
      <c r="F254" s="7">
        <v>43366</v>
      </c>
      <c r="G254" s="6" t="s">
        <v>111</v>
      </c>
      <c r="H254" s="6" t="s">
        <v>126</v>
      </c>
      <c r="I254" s="6" t="s">
        <v>1083</v>
      </c>
      <c r="J254" s="6" t="s">
        <v>90</v>
      </c>
      <c r="K254" s="6" t="s">
        <v>91</v>
      </c>
      <c r="L254" s="6" t="s">
        <v>92</v>
      </c>
      <c r="M254" s="6" t="s">
        <v>90</v>
      </c>
      <c r="N254" s="6" t="s">
        <v>131</v>
      </c>
      <c r="O254" s="6" t="s">
        <v>95</v>
      </c>
      <c r="P254" s="6" t="s">
        <v>131</v>
      </c>
      <c r="Q254" s="6" t="s">
        <v>122</v>
      </c>
      <c r="R254" s="6" t="s">
        <v>1643</v>
      </c>
      <c r="S254" s="6" t="s">
        <v>94</v>
      </c>
      <c r="T254" s="6" t="s">
        <v>94</v>
      </c>
      <c r="U254" s="6" t="s">
        <v>94</v>
      </c>
      <c r="V254" s="6" t="s">
        <v>94</v>
      </c>
      <c r="W254" s="6" t="s">
        <v>281</v>
      </c>
      <c r="X254" s="6" t="s">
        <v>1643</v>
      </c>
      <c r="Y254" s="6" t="s">
        <v>1643</v>
      </c>
      <c r="Z254" s="6" t="s">
        <v>1643</v>
      </c>
      <c r="AA254" s="8">
        <v>1</v>
      </c>
      <c r="AB254" s="8">
        <v>1</v>
      </c>
      <c r="AC254" s="8">
        <v>1</v>
      </c>
      <c r="AD254" s="8">
        <v>1</v>
      </c>
      <c r="AE254" s="8">
        <v>100</v>
      </c>
      <c r="AF254" s="6" t="s">
        <v>317</v>
      </c>
      <c r="AG254" s="6" t="s">
        <v>283</v>
      </c>
      <c r="AH254" s="6" t="s">
        <v>315</v>
      </c>
      <c r="AI254" s="6" t="s">
        <v>286</v>
      </c>
      <c r="AJ254" s="9">
        <v>40</v>
      </c>
      <c r="AK254" s="8">
        <v>40</v>
      </c>
      <c r="AL254" s="8">
        <v>40</v>
      </c>
      <c r="AM254" s="8">
        <v>40</v>
      </c>
      <c r="AN254" s="8">
        <v>40</v>
      </c>
      <c r="AO254" s="13">
        <v>40</v>
      </c>
      <c r="AP254" s="5"/>
    </row>
    <row r="255" spans="1:42">
      <c r="A255" s="12">
        <v>254</v>
      </c>
      <c r="B255" s="6" t="s">
        <v>1084</v>
      </c>
      <c r="C255" s="6" t="s">
        <v>1957</v>
      </c>
      <c r="D255" s="6" t="s">
        <v>434</v>
      </c>
      <c r="E255" s="6" t="s">
        <v>86</v>
      </c>
      <c r="F255" s="7">
        <v>45907</v>
      </c>
      <c r="G255" s="6" t="s">
        <v>111</v>
      </c>
      <c r="H255" s="6" t="s">
        <v>94</v>
      </c>
      <c r="I255" s="6" t="s">
        <v>94</v>
      </c>
      <c r="J255" s="6" t="s">
        <v>90</v>
      </c>
      <c r="K255" s="6" t="s">
        <v>91</v>
      </c>
      <c r="L255" s="6" t="s">
        <v>92</v>
      </c>
      <c r="M255" s="6" t="s">
        <v>90</v>
      </c>
      <c r="N255" s="6" t="s">
        <v>94</v>
      </c>
      <c r="O255" s="6" t="s">
        <v>94</v>
      </c>
      <c r="P255" s="6" t="s">
        <v>136</v>
      </c>
      <c r="Q255" s="6" t="s">
        <v>122</v>
      </c>
      <c r="R255" s="6" t="s">
        <v>1643</v>
      </c>
      <c r="S255" s="6" t="s">
        <v>94</v>
      </c>
      <c r="T255" s="6" t="s">
        <v>94</v>
      </c>
      <c r="U255" s="6" t="s">
        <v>94</v>
      </c>
      <c r="V255" s="6" t="s">
        <v>94</v>
      </c>
      <c r="W255" s="6" t="s">
        <v>418</v>
      </c>
      <c r="X255" s="6" t="s">
        <v>1643</v>
      </c>
      <c r="Y255" s="6" t="s">
        <v>1643</v>
      </c>
      <c r="Z255" s="6" t="s">
        <v>1643</v>
      </c>
      <c r="AA255" s="8">
        <v>1</v>
      </c>
      <c r="AB255" s="8">
        <v>1</v>
      </c>
      <c r="AC255" s="8">
        <v>1</v>
      </c>
      <c r="AD255" s="8">
        <v>1</v>
      </c>
      <c r="AE255" s="8">
        <v>100</v>
      </c>
      <c r="AF255" s="6" t="s">
        <v>282</v>
      </c>
      <c r="AG255" s="6" t="s">
        <v>283</v>
      </c>
      <c r="AH255" s="6" t="s">
        <v>301</v>
      </c>
      <c r="AI255" s="6" t="s">
        <v>286</v>
      </c>
      <c r="AJ255" s="9">
        <v>40</v>
      </c>
      <c r="AK255" s="8">
        <v>40</v>
      </c>
      <c r="AL255" s="8">
        <v>40</v>
      </c>
      <c r="AM255" s="8">
        <v>40</v>
      </c>
      <c r="AN255" s="8">
        <v>40</v>
      </c>
      <c r="AO255" s="13">
        <v>40</v>
      </c>
      <c r="AP255" s="5"/>
    </row>
    <row r="256" spans="1:42">
      <c r="A256" s="12">
        <v>255</v>
      </c>
      <c r="B256" s="6" t="s">
        <v>1086</v>
      </c>
      <c r="C256" s="6" t="s">
        <v>1958</v>
      </c>
      <c r="D256" s="6" t="s">
        <v>387</v>
      </c>
      <c r="E256" s="6" t="s">
        <v>86</v>
      </c>
      <c r="F256" s="7">
        <v>44378</v>
      </c>
      <c r="G256" s="6" t="s">
        <v>204</v>
      </c>
      <c r="H256" s="6" t="s">
        <v>126</v>
      </c>
      <c r="I256" s="6" t="s">
        <v>1088</v>
      </c>
      <c r="J256" s="6" t="s">
        <v>90</v>
      </c>
      <c r="K256" s="6" t="s">
        <v>91</v>
      </c>
      <c r="L256" s="6" t="s">
        <v>92</v>
      </c>
      <c r="M256" s="6" t="s">
        <v>90</v>
      </c>
      <c r="N256" s="6" t="s">
        <v>451</v>
      </c>
      <c r="O256" s="6" t="s">
        <v>94</v>
      </c>
      <c r="P256" s="6" t="s">
        <v>642</v>
      </c>
      <c r="Q256" s="6" t="s">
        <v>122</v>
      </c>
      <c r="R256" s="6" t="s">
        <v>1643</v>
      </c>
      <c r="S256" s="6" t="s">
        <v>94</v>
      </c>
      <c r="T256" s="6" t="s">
        <v>94</v>
      </c>
      <c r="U256" s="6" t="s">
        <v>94</v>
      </c>
      <c r="V256" s="6" t="s">
        <v>94</v>
      </c>
      <c r="W256" s="6" t="s">
        <v>321</v>
      </c>
      <c r="X256" s="6" t="s">
        <v>1643</v>
      </c>
      <c r="Y256" s="6" t="s">
        <v>1643</v>
      </c>
      <c r="Z256" s="6" t="s">
        <v>1643</v>
      </c>
      <c r="AA256" s="8">
        <v>1</v>
      </c>
      <c r="AB256" s="8">
        <v>1</v>
      </c>
      <c r="AC256" s="8">
        <v>1</v>
      </c>
      <c r="AD256" s="8">
        <v>1</v>
      </c>
      <c r="AE256" s="8">
        <v>100</v>
      </c>
      <c r="AF256" s="6" t="s">
        <v>334</v>
      </c>
      <c r="AG256" s="6" t="s">
        <v>335</v>
      </c>
      <c r="AH256" s="6" t="s">
        <v>434</v>
      </c>
      <c r="AI256" s="6" t="s">
        <v>286</v>
      </c>
      <c r="AJ256" s="9">
        <v>40</v>
      </c>
      <c r="AK256" s="8">
        <v>40</v>
      </c>
      <c r="AL256" s="8">
        <v>40</v>
      </c>
      <c r="AM256" s="8">
        <v>40</v>
      </c>
      <c r="AN256" s="8">
        <v>40</v>
      </c>
      <c r="AO256" s="13">
        <v>40</v>
      </c>
      <c r="AP256" s="5"/>
    </row>
    <row r="257" spans="1:42">
      <c r="A257" s="12">
        <v>256</v>
      </c>
      <c r="B257" s="6" t="s">
        <v>1089</v>
      </c>
      <c r="C257" s="6" t="s">
        <v>1959</v>
      </c>
      <c r="D257" s="6" t="s">
        <v>1092</v>
      </c>
      <c r="E257" s="6" t="s">
        <v>86</v>
      </c>
      <c r="F257" s="7">
        <v>45078</v>
      </c>
      <c r="G257" s="6" t="s">
        <v>111</v>
      </c>
      <c r="H257" s="6" t="s">
        <v>311</v>
      </c>
      <c r="I257" s="6" t="s">
        <v>1091</v>
      </c>
      <c r="J257" s="6" t="s">
        <v>90</v>
      </c>
      <c r="K257" s="6" t="s">
        <v>91</v>
      </c>
      <c r="L257" s="6" t="s">
        <v>92</v>
      </c>
      <c r="M257" s="6" t="s">
        <v>90</v>
      </c>
      <c r="N257" s="6" t="s">
        <v>131</v>
      </c>
      <c r="O257" s="6" t="s">
        <v>95</v>
      </c>
      <c r="P257" s="6" t="s">
        <v>131</v>
      </c>
      <c r="Q257" s="6" t="s">
        <v>95</v>
      </c>
      <c r="R257" s="6" t="s">
        <v>1643</v>
      </c>
      <c r="S257" s="6" t="s">
        <v>1646</v>
      </c>
      <c r="T257" s="6" t="s">
        <v>94</v>
      </c>
      <c r="U257" s="6" t="s">
        <v>94</v>
      </c>
      <c r="V257" s="6" t="s">
        <v>94</v>
      </c>
      <c r="W257" s="6" t="s">
        <v>281</v>
      </c>
      <c r="X257" s="6" t="s">
        <v>1643</v>
      </c>
      <c r="Y257" s="6" t="s">
        <v>1643</v>
      </c>
      <c r="Z257" s="6" t="s">
        <v>1643</v>
      </c>
      <c r="AA257" s="8">
        <v>1</v>
      </c>
      <c r="AB257" s="8">
        <v>1</v>
      </c>
      <c r="AC257" s="8">
        <v>1</v>
      </c>
      <c r="AD257" s="8">
        <v>1</v>
      </c>
      <c r="AE257" s="8">
        <v>100</v>
      </c>
      <c r="AF257" s="6" t="s">
        <v>391</v>
      </c>
      <c r="AG257" s="6" t="s">
        <v>386</v>
      </c>
      <c r="AH257" s="6" t="s">
        <v>387</v>
      </c>
      <c r="AI257" s="6" t="s">
        <v>286</v>
      </c>
      <c r="AJ257" s="9">
        <v>40</v>
      </c>
      <c r="AK257" s="8">
        <v>40</v>
      </c>
      <c r="AL257" s="8">
        <v>40</v>
      </c>
      <c r="AM257" s="8">
        <v>40</v>
      </c>
      <c r="AN257" s="8">
        <v>40</v>
      </c>
      <c r="AO257" s="13">
        <v>40</v>
      </c>
      <c r="AP257" s="5"/>
    </row>
    <row r="258" spans="1:42">
      <c r="A258" s="12">
        <v>257</v>
      </c>
      <c r="B258" s="6" t="s">
        <v>1093</v>
      </c>
      <c r="C258" s="6" t="s">
        <v>1960</v>
      </c>
      <c r="D258" s="6" t="s">
        <v>771</v>
      </c>
      <c r="E258" s="6" t="s">
        <v>86</v>
      </c>
      <c r="F258" s="7">
        <v>46158</v>
      </c>
      <c r="G258" s="6" t="s">
        <v>4</v>
      </c>
      <c r="H258" s="6" t="s">
        <v>126</v>
      </c>
      <c r="I258" s="6" t="s">
        <v>1095</v>
      </c>
      <c r="J258" s="6" t="s">
        <v>90</v>
      </c>
      <c r="K258" s="6" t="s">
        <v>91</v>
      </c>
      <c r="L258" s="6" t="s">
        <v>92</v>
      </c>
      <c r="M258" s="6" t="s">
        <v>90</v>
      </c>
      <c r="N258" s="6" t="s">
        <v>93</v>
      </c>
      <c r="O258" s="6" t="s">
        <v>104</v>
      </c>
      <c r="P258" s="6" t="s">
        <v>93</v>
      </c>
      <c r="Q258" s="6" t="s">
        <v>95</v>
      </c>
      <c r="R258" s="6" t="s">
        <v>1643</v>
      </c>
      <c r="S258" s="6" t="s">
        <v>94</v>
      </c>
      <c r="T258" s="6" t="s">
        <v>94</v>
      </c>
      <c r="U258" s="6" t="s">
        <v>94</v>
      </c>
      <c r="V258" s="6" t="s">
        <v>94</v>
      </c>
      <c r="W258" s="6" t="s">
        <v>399</v>
      </c>
      <c r="X258" s="6" t="s">
        <v>1643</v>
      </c>
      <c r="Y258" s="6" t="s">
        <v>1652</v>
      </c>
      <c r="Z258" s="6" t="s">
        <v>1652</v>
      </c>
      <c r="AA258" s="8">
        <v>1</v>
      </c>
      <c r="AB258" s="8">
        <v>1</v>
      </c>
      <c r="AC258" s="8">
        <v>0</v>
      </c>
      <c r="AD258" s="8">
        <v>0</v>
      </c>
      <c r="AE258" s="8">
        <v>100</v>
      </c>
      <c r="AF258" s="6" t="s">
        <v>446</v>
      </c>
      <c r="AG258" s="6" t="s">
        <v>447</v>
      </c>
      <c r="AH258" s="6" t="s">
        <v>1092</v>
      </c>
      <c r="AI258" s="6" t="s">
        <v>448</v>
      </c>
      <c r="AJ258" s="9">
        <v>40</v>
      </c>
      <c r="AK258" s="8">
        <v>40</v>
      </c>
      <c r="AL258" s="8">
        <v>40</v>
      </c>
      <c r="AM258" s="8">
        <v>40</v>
      </c>
      <c r="AN258" s="8">
        <v>40</v>
      </c>
      <c r="AO258" s="13">
        <v>40</v>
      </c>
      <c r="AP258" s="5"/>
    </row>
    <row r="259" spans="1:42">
      <c r="A259" s="12">
        <v>258</v>
      </c>
      <c r="B259" s="6" t="s">
        <v>1096</v>
      </c>
      <c r="C259" s="6" t="s">
        <v>1961</v>
      </c>
      <c r="D259" s="6" t="s">
        <v>373</v>
      </c>
      <c r="E259" s="6" t="s">
        <v>86</v>
      </c>
      <c r="F259" s="7">
        <v>41061</v>
      </c>
      <c r="G259" s="6" t="s">
        <v>150</v>
      </c>
      <c r="H259" s="6" t="s">
        <v>407</v>
      </c>
      <c r="I259" s="6" t="s">
        <v>1098</v>
      </c>
      <c r="J259" s="6" t="s">
        <v>90</v>
      </c>
      <c r="K259" s="6" t="s">
        <v>91</v>
      </c>
      <c r="L259" s="6" t="s">
        <v>92</v>
      </c>
      <c r="M259" s="6" t="s">
        <v>90</v>
      </c>
      <c r="N259" s="6" t="s">
        <v>27</v>
      </c>
      <c r="O259" s="6" t="s">
        <v>94</v>
      </c>
      <c r="P259" s="6" t="s">
        <v>27</v>
      </c>
      <c r="Q259" s="6" t="s">
        <v>104</v>
      </c>
      <c r="R259" s="11" t="s">
        <v>1838</v>
      </c>
      <c r="S259" s="6" t="s">
        <v>1962</v>
      </c>
      <c r="T259" s="6" t="s">
        <v>94</v>
      </c>
      <c r="U259" s="6" t="s">
        <v>94</v>
      </c>
      <c r="V259" s="6" t="s">
        <v>94</v>
      </c>
      <c r="W259" s="6" t="s">
        <v>445</v>
      </c>
      <c r="X259" s="6" t="s">
        <v>1652</v>
      </c>
      <c r="Y259" s="6" t="s">
        <v>1652</v>
      </c>
      <c r="Z259" s="6" t="s">
        <v>1652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6" t="s">
        <v>446</v>
      </c>
      <c r="AG259" s="6" t="s">
        <v>774</v>
      </c>
      <c r="AH259" s="6" t="s">
        <v>771</v>
      </c>
      <c r="AI259" s="6" t="s">
        <v>448</v>
      </c>
      <c r="AJ259" s="9">
        <v>0</v>
      </c>
      <c r="AK259" s="8">
        <v>0</v>
      </c>
      <c r="AL259" s="8">
        <v>0</v>
      </c>
      <c r="AM259" s="8">
        <v>0</v>
      </c>
      <c r="AN259" s="8">
        <v>0</v>
      </c>
      <c r="AO259" s="13">
        <v>0</v>
      </c>
      <c r="AP259" s="5"/>
    </row>
    <row r="260" spans="1:42">
      <c r="A260" s="12">
        <v>259</v>
      </c>
      <c r="B260" s="6" t="s">
        <v>1099</v>
      </c>
      <c r="C260" s="6" t="s">
        <v>1963</v>
      </c>
      <c r="D260" s="6" t="s">
        <v>305</v>
      </c>
      <c r="E260" s="6" t="s">
        <v>86</v>
      </c>
      <c r="F260" s="7">
        <v>44197</v>
      </c>
      <c r="G260" s="6" t="s">
        <v>425</v>
      </c>
      <c r="H260" s="6" t="s">
        <v>146</v>
      </c>
      <c r="I260" s="6" t="s">
        <v>1101</v>
      </c>
      <c r="J260" s="6" t="s">
        <v>90</v>
      </c>
      <c r="K260" s="6" t="s">
        <v>91</v>
      </c>
      <c r="L260" s="6" t="s">
        <v>92</v>
      </c>
      <c r="M260" s="6" t="s">
        <v>90</v>
      </c>
      <c r="N260" s="6" t="s">
        <v>642</v>
      </c>
      <c r="O260" s="6" t="s">
        <v>94</v>
      </c>
      <c r="P260" s="6" t="s">
        <v>642</v>
      </c>
      <c r="Q260" s="6" t="s">
        <v>95</v>
      </c>
      <c r="R260" s="6" t="s">
        <v>1643</v>
      </c>
      <c r="S260" s="6" t="s">
        <v>94</v>
      </c>
      <c r="T260" s="6" t="s">
        <v>94</v>
      </c>
      <c r="U260" s="6" t="s">
        <v>94</v>
      </c>
      <c r="V260" s="6" t="s">
        <v>94</v>
      </c>
      <c r="W260" s="6" t="s">
        <v>1102</v>
      </c>
      <c r="X260" s="6" t="s">
        <v>1643</v>
      </c>
      <c r="Y260" s="6" t="s">
        <v>1643</v>
      </c>
      <c r="Z260" s="6" t="s">
        <v>1643</v>
      </c>
      <c r="AA260" s="8">
        <v>1</v>
      </c>
      <c r="AB260" s="8">
        <v>1</v>
      </c>
      <c r="AC260" s="8">
        <v>1</v>
      </c>
      <c r="AD260" s="8">
        <v>1</v>
      </c>
      <c r="AE260" s="8">
        <v>100</v>
      </c>
      <c r="AF260" s="6" t="s">
        <v>334</v>
      </c>
      <c r="AG260" s="6" t="s">
        <v>335</v>
      </c>
      <c r="AH260" s="6" t="s">
        <v>373</v>
      </c>
      <c r="AI260" s="6" t="s">
        <v>286</v>
      </c>
      <c r="AJ260" s="9">
        <v>40</v>
      </c>
      <c r="AK260" s="8">
        <v>40</v>
      </c>
      <c r="AL260" s="8">
        <v>40</v>
      </c>
      <c r="AM260" s="8">
        <v>40</v>
      </c>
      <c r="AN260" s="8">
        <v>40</v>
      </c>
      <c r="AO260" s="13">
        <v>40</v>
      </c>
      <c r="AP260" s="5"/>
    </row>
    <row r="261" spans="1:42">
      <c r="A261" s="12">
        <v>260</v>
      </c>
      <c r="B261" s="6" t="s">
        <v>1103</v>
      </c>
      <c r="C261" s="6" t="s">
        <v>1964</v>
      </c>
      <c r="D261" s="6" t="s">
        <v>341</v>
      </c>
      <c r="E261" s="6" t="s">
        <v>86</v>
      </c>
      <c r="F261" s="7">
        <v>45784</v>
      </c>
      <c r="G261" s="6" t="s">
        <v>732</v>
      </c>
      <c r="H261" s="6" t="s">
        <v>94</v>
      </c>
      <c r="I261" s="6" t="s">
        <v>162</v>
      </c>
      <c r="J261" s="6" t="s">
        <v>90</v>
      </c>
      <c r="K261" s="6" t="s">
        <v>91</v>
      </c>
      <c r="L261" s="6" t="s">
        <v>92</v>
      </c>
      <c r="M261" s="6" t="s">
        <v>90</v>
      </c>
      <c r="N261" s="6" t="s">
        <v>94</v>
      </c>
      <c r="O261" s="6" t="s">
        <v>94</v>
      </c>
      <c r="P261" s="6" t="s">
        <v>117</v>
      </c>
      <c r="Q261" s="6" t="s">
        <v>104</v>
      </c>
      <c r="R261" s="6" t="s">
        <v>1643</v>
      </c>
      <c r="S261" s="6" t="s">
        <v>1965</v>
      </c>
      <c r="T261" s="6" t="s">
        <v>94</v>
      </c>
      <c r="U261" s="6" t="s">
        <v>94</v>
      </c>
      <c r="V261" s="6" t="s">
        <v>94</v>
      </c>
      <c r="W261" s="6" t="s">
        <v>734</v>
      </c>
      <c r="X261" s="6" t="s">
        <v>1643</v>
      </c>
      <c r="Y261" s="6" t="s">
        <v>1643</v>
      </c>
      <c r="Z261" s="6" t="s">
        <v>1643</v>
      </c>
      <c r="AA261" s="8">
        <v>1</v>
      </c>
      <c r="AB261" s="8">
        <v>1</v>
      </c>
      <c r="AC261" s="8">
        <v>1</v>
      </c>
      <c r="AD261" s="8">
        <v>1</v>
      </c>
      <c r="AE261" s="8">
        <v>100</v>
      </c>
      <c r="AF261" s="6" t="s">
        <v>308</v>
      </c>
      <c r="AG261" s="6" t="s">
        <v>283</v>
      </c>
      <c r="AH261" s="6" t="s">
        <v>305</v>
      </c>
      <c r="AI261" s="6" t="s">
        <v>286</v>
      </c>
      <c r="AJ261" s="9">
        <v>40</v>
      </c>
      <c r="AK261" s="8">
        <v>40</v>
      </c>
      <c r="AL261" s="8">
        <v>40</v>
      </c>
      <c r="AM261" s="8">
        <v>40</v>
      </c>
      <c r="AN261" s="8">
        <v>40</v>
      </c>
      <c r="AO261" s="13">
        <v>40</v>
      </c>
      <c r="AP261" s="5"/>
    </row>
    <row r="262" spans="1:42">
      <c r="A262" s="12">
        <v>261</v>
      </c>
      <c r="B262" s="6" t="s">
        <v>1105</v>
      </c>
      <c r="C262" s="6" t="s">
        <v>1966</v>
      </c>
      <c r="D262" s="6" t="s">
        <v>387</v>
      </c>
      <c r="E262" s="6" t="s">
        <v>86</v>
      </c>
      <c r="F262" s="7">
        <v>42567</v>
      </c>
      <c r="G262" s="6" t="s">
        <v>111</v>
      </c>
      <c r="H262" s="6" t="s">
        <v>134</v>
      </c>
      <c r="I262" s="6" t="s">
        <v>1107</v>
      </c>
      <c r="J262" s="6" t="s">
        <v>90</v>
      </c>
      <c r="K262" s="6" t="s">
        <v>91</v>
      </c>
      <c r="L262" s="6" t="s">
        <v>92</v>
      </c>
      <c r="M262" s="6" t="s">
        <v>90</v>
      </c>
      <c r="N262" s="6" t="s">
        <v>131</v>
      </c>
      <c r="O262" s="6" t="s">
        <v>122</v>
      </c>
      <c r="P262" s="6" t="s">
        <v>131</v>
      </c>
      <c r="Q262" s="6" t="s">
        <v>122</v>
      </c>
      <c r="R262" s="6" t="s">
        <v>1643</v>
      </c>
      <c r="S262" s="6" t="s">
        <v>1967</v>
      </c>
      <c r="T262" s="6" t="s">
        <v>94</v>
      </c>
      <c r="U262" s="6" t="s">
        <v>94</v>
      </c>
      <c r="V262" s="6" t="s">
        <v>94</v>
      </c>
      <c r="W262" s="6" t="s">
        <v>418</v>
      </c>
      <c r="X262" s="6" t="s">
        <v>1643</v>
      </c>
      <c r="Y262" s="6" t="s">
        <v>1643</v>
      </c>
      <c r="Z262" s="6" t="s">
        <v>1652</v>
      </c>
      <c r="AA262" s="8">
        <v>1</v>
      </c>
      <c r="AB262" s="8">
        <v>1</v>
      </c>
      <c r="AC262" s="8">
        <v>1</v>
      </c>
      <c r="AD262" s="8">
        <v>0</v>
      </c>
      <c r="AE262" s="8">
        <v>100</v>
      </c>
      <c r="AF262" s="6" t="s">
        <v>282</v>
      </c>
      <c r="AG262" s="6" t="s">
        <v>283</v>
      </c>
      <c r="AH262" s="6" t="s">
        <v>341</v>
      </c>
      <c r="AI262" s="6" t="s">
        <v>286</v>
      </c>
      <c r="AJ262" s="9">
        <v>40</v>
      </c>
      <c r="AK262" s="8">
        <v>40</v>
      </c>
      <c r="AL262" s="8">
        <v>40</v>
      </c>
      <c r="AM262" s="8">
        <v>40</v>
      </c>
      <c r="AN262" s="8">
        <v>40</v>
      </c>
      <c r="AO262" s="13">
        <v>40</v>
      </c>
      <c r="AP262" s="5"/>
    </row>
    <row r="263" spans="1:42">
      <c r="A263" s="12">
        <v>262</v>
      </c>
      <c r="B263" s="6" t="s">
        <v>1108</v>
      </c>
      <c r="C263" s="6" t="s">
        <v>1968</v>
      </c>
      <c r="D263" s="6" t="s">
        <v>323</v>
      </c>
      <c r="E263" s="6" t="s">
        <v>86</v>
      </c>
      <c r="F263" s="7">
        <v>46088</v>
      </c>
      <c r="G263" s="6" t="s">
        <v>337</v>
      </c>
      <c r="H263" s="6" t="s">
        <v>94</v>
      </c>
      <c r="I263" s="6" t="s">
        <v>333</v>
      </c>
      <c r="J263" s="6" t="s">
        <v>90</v>
      </c>
      <c r="K263" s="6" t="s">
        <v>91</v>
      </c>
      <c r="L263" s="6" t="s">
        <v>92</v>
      </c>
      <c r="M263" s="6" t="s">
        <v>90</v>
      </c>
      <c r="N263" s="6" t="s">
        <v>94</v>
      </c>
      <c r="O263" s="6" t="s">
        <v>94</v>
      </c>
      <c r="P263" s="6" t="s">
        <v>131</v>
      </c>
      <c r="Q263" s="6" t="s">
        <v>95</v>
      </c>
      <c r="R263" s="6" t="s">
        <v>1643</v>
      </c>
      <c r="S263" s="6" t="s">
        <v>1969</v>
      </c>
      <c r="T263" s="6" t="s">
        <v>94</v>
      </c>
      <c r="U263" s="6" t="s">
        <v>94</v>
      </c>
      <c r="V263" s="6" t="s">
        <v>94</v>
      </c>
      <c r="W263" s="6" t="s">
        <v>338</v>
      </c>
      <c r="X263" s="6" t="s">
        <v>1652</v>
      </c>
      <c r="Y263" s="6" t="s">
        <v>1652</v>
      </c>
      <c r="Z263" s="6" t="s">
        <v>1652</v>
      </c>
      <c r="AA263" s="8">
        <v>0.81</v>
      </c>
      <c r="AB263" s="8">
        <v>0</v>
      </c>
      <c r="AC263" s="8">
        <v>0</v>
      </c>
      <c r="AD263" s="8">
        <v>0</v>
      </c>
      <c r="AE263" s="8">
        <v>85.714285709999999</v>
      </c>
      <c r="AF263" s="6" t="s">
        <v>391</v>
      </c>
      <c r="AG263" s="6" t="s">
        <v>386</v>
      </c>
      <c r="AH263" s="6" t="s">
        <v>387</v>
      </c>
      <c r="AI263" s="6" t="s">
        <v>286</v>
      </c>
      <c r="AJ263" s="9">
        <v>40</v>
      </c>
      <c r="AK263" s="8">
        <v>16</v>
      </c>
      <c r="AL263" s="8">
        <v>0</v>
      </c>
      <c r="AM263" s="8">
        <v>0</v>
      </c>
      <c r="AN263" s="8">
        <v>0</v>
      </c>
      <c r="AO263" s="13">
        <v>0</v>
      </c>
      <c r="AP263" s="5"/>
    </row>
    <row r="264" spans="1:42">
      <c r="A264" s="12">
        <v>263</v>
      </c>
      <c r="B264" s="6" t="s">
        <v>1110</v>
      </c>
      <c r="C264" s="6" t="s">
        <v>1970</v>
      </c>
      <c r="D264" s="6" t="s">
        <v>373</v>
      </c>
      <c r="E264" s="6" t="s">
        <v>86</v>
      </c>
      <c r="F264" s="7">
        <v>44332</v>
      </c>
      <c r="G264" s="6" t="s">
        <v>125</v>
      </c>
      <c r="H264" s="6" t="s">
        <v>151</v>
      </c>
      <c r="I264" s="6" t="s">
        <v>1112</v>
      </c>
      <c r="J264" s="6" t="s">
        <v>90</v>
      </c>
      <c r="K264" s="6" t="s">
        <v>91</v>
      </c>
      <c r="L264" s="6" t="s">
        <v>92</v>
      </c>
      <c r="M264" s="6" t="s">
        <v>90</v>
      </c>
      <c r="N264" s="6" t="s">
        <v>364</v>
      </c>
      <c r="O264" s="6" t="s">
        <v>94</v>
      </c>
      <c r="P264" s="6" t="s">
        <v>364</v>
      </c>
      <c r="Q264" s="6" t="s">
        <v>122</v>
      </c>
      <c r="R264" s="6" t="s">
        <v>1643</v>
      </c>
      <c r="S264" s="6" t="s">
        <v>94</v>
      </c>
      <c r="T264" s="6" t="s">
        <v>94</v>
      </c>
      <c r="U264" s="6" t="s">
        <v>94</v>
      </c>
      <c r="V264" s="6" t="s">
        <v>94</v>
      </c>
      <c r="W264" s="6" t="s">
        <v>353</v>
      </c>
      <c r="X264" s="6" t="s">
        <v>1643</v>
      </c>
      <c r="Y264" s="6" t="s">
        <v>1643</v>
      </c>
      <c r="Z264" s="6" t="s">
        <v>1643</v>
      </c>
      <c r="AA264" s="8">
        <v>1</v>
      </c>
      <c r="AB264" s="8">
        <v>1</v>
      </c>
      <c r="AC264" s="8">
        <v>1</v>
      </c>
      <c r="AD264" s="8">
        <v>1</v>
      </c>
      <c r="AE264" s="8">
        <v>100</v>
      </c>
      <c r="AF264" s="6" t="s">
        <v>326</v>
      </c>
      <c r="AG264" s="6" t="s">
        <v>283</v>
      </c>
      <c r="AH264" s="6" t="s">
        <v>323</v>
      </c>
      <c r="AI264" s="6" t="s">
        <v>286</v>
      </c>
      <c r="AJ264" s="9">
        <v>40</v>
      </c>
      <c r="AK264" s="8">
        <v>40</v>
      </c>
      <c r="AL264" s="8">
        <v>40</v>
      </c>
      <c r="AM264" s="8">
        <v>40</v>
      </c>
      <c r="AN264" s="8">
        <v>40</v>
      </c>
      <c r="AO264" s="13">
        <v>40</v>
      </c>
      <c r="AP264" s="5"/>
    </row>
    <row r="265" spans="1:42">
      <c r="A265" s="12">
        <v>264</v>
      </c>
      <c r="B265" s="6" t="s">
        <v>1113</v>
      </c>
      <c r="C265" s="6" t="s">
        <v>1971</v>
      </c>
      <c r="D265" s="6" t="s">
        <v>575</v>
      </c>
      <c r="E265" s="6" t="s">
        <v>86</v>
      </c>
      <c r="F265" s="7">
        <v>43998</v>
      </c>
      <c r="G265" s="6" t="s">
        <v>111</v>
      </c>
      <c r="H265" s="6" t="s">
        <v>420</v>
      </c>
      <c r="I265" s="6" t="s">
        <v>1115</v>
      </c>
      <c r="J265" s="6" t="s">
        <v>90</v>
      </c>
      <c r="K265" s="6" t="s">
        <v>91</v>
      </c>
      <c r="L265" s="6" t="s">
        <v>92</v>
      </c>
      <c r="M265" s="6" t="s">
        <v>90</v>
      </c>
      <c r="N265" s="6" t="s">
        <v>131</v>
      </c>
      <c r="O265" s="6" t="s">
        <v>95</v>
      </c>
      <c r="P265" s="6" t="s">
        <v>131</v>
      </c>
      <c r="Q265" s="6" t="s">
        <v>122</v>
      </c>
      <c r="R265" s="6" t="s">
        <v>1643</v>
      </c>
      <c r="S265" s="6" t="s">
        <v>94</v>
      </c>
      <c r="T265" s="6" t="s">
        <v>94</v>
      </c>
      <c r="U265" s="6" t="s">
        <v>94</v>
      </c>
      <c r="V265" s="6" t="s">
        <v>94</v>
      </c>
      <c r="W265" s="6" t="s">
        <v>418</v>
      </c>
      <c r="X265" s="6" t="s">
        <v>1643</v>
      </c>
      <c r="Y265" s="6" t="s">
        <v>1643</v>
      </c>
      <c r="Z265" s="6" t="s">
        <v>1643</v>
      </c>
      <c r="AA265" s="8">
        <v>1</v>
      </c>
      <c r="AB265" s="8">
        <v>1</v>
      </c>
      <c r="AC265" s="8">
        <v>1</v>
      </c>
      <c r="AD265" s="8">
        <v>1</v>
      </c>
      <c r="AE265" s="8">
        <v>100</v>
      </c>
      <c r="AF265" s="6" t="s">
        <v>334</v>
      </c>
      <c r="AG265" s="6" t="s">
        <v>335</v>
      </c>
      <c r="AH265" s="6" t="s">
        <v>373</v>
      </c>
      <c r="AI265" s="6" t="s">
        <v>286</v>
      </c>
      <c r="AJ265" s="9">
        <v>40</v>
      </c>
      <c r="AK265" s="8">
        <v>40</v>
      </c>
      <c r="AL265" s="8">
        <v>40</v>
      </c>
      <c r="AM265" s="8">
        <v>40</v>
      </c>
      <c r="AN265" s="8">
        <v>40</v>
      </c>
      <c r="AO265" s="13">
        <v>40</v>
      </c>
      <c r="AP265" s="5"/>
    </row>
    <row r="266" spans="1:42">
      <c r="A266" s="12">
        <v>265</v>
      </c>
      <c r="B266" s="6" t="s">
        <v>1113</v>
      </c>
      <c r="C266" s="6" t="s">
        <v>1972</v>
      </c>
      <c r="D266" s="6" t="s">
        <v>341</v>
      </c>
      <c r="E266" s="6" t="s">
        <v>86</v>
      </c>
      <c r="F266" s="7">
        <v>46038</v>
      </c>
      <c r="G266" s="6" t="s">
        <v>87</v>
      </c>
      <c r="H266" s="6" t="s">
        <v>94</v>
      </c>
      <c r="I266" s="6" t="s">
        <v>333</v>
      </c>
      <c r="J266" s="6" t="s">
        <v>90</v>
      </c>
      <c r="K266" s="6" t="s">
        <v>91</v>
      </c>
      <c r="L266" s="6" t="s">
        <v>92</v>
      </c>
      <c r="M266" s="6" t="s">
        <v>90</v>
      </c>
      <c r="N266" s="6" t="s">
        <v>94</v>
      </c>
      <c r="O266" s="6" t="s">
        <v>94</v>
      </c>
      <c r="P266" s="6" t="s">
        <v>93</v>
      </c>
      <c r="Q266" s="6" t="s">
        <v>122</v>
      </c>
      <c r="R266" s="6" t="s">
        <v>1643</v>
      </c>
      <c r="S266" s="6" t="s">
        <v>94</v>
      </c>
      <c r="T266" s="6" t="s">
        <v>94</v>
      </c>
      <c r="U266" s="6" t="s">
        <v>94</v>
      </c>
      <c r="V266" s="6" t="s">
        <v>94</v>
      </c>
      <c r="W266" s="6" t="s">
        <v>697</v>
      </c>
      <c r="X266" s="6" t="s">
        <v>1643</v>
      </c>
      <c r="Y266" s="6" t="s">
        <v>1643</v>
      </c>
      <c r="Z266" s="6" t="s">
        <v>1643</v>
      </c>
      <c r="AA266" s="8">
        <v>1</v>
      </c>
      <c r="AB266" s="8">
        <v>1</v>
      </c>
      <c r="AC266" s="8">
        <v>1</v>
      </c>
      <c r="AD266" s="8">
        <v>1</v>
      </c>
      <c r="AE266" s="8">
        <v>100</v>
      </c>
      <c r="AF266" s="6" t="s">
        <v>282</v>
      </c>
      <c r="AG266" s="6" t="s">
        <v>283</v>
      </c>
      <c r="AH266" s="6" t="s">
        <v>575</v>
      </c>
      <c r="AI266" s="6" t="s">
        <v>286</v>
      </c>
      <c r="AJ266" s="9">
        <v>40</v>
      </c>
      <c r="AK266" s="8">
        <v>40</v>
      </c>
      <c r="AL266" s="8">
        <v>40</v>
      </c>
      <c r="AM266" s="8">
        <v>40</v>
      </c>
      <c r="AN266" s="8">
        <v>40</v>
      </c>
      <c r="AO266" s="13">
        <v>40</v>
      </c>
      <c r="AP266" s="5"/>
    </row>
    <row r="267" spans="1:42">
      <c r="A267" s="12">
        <v>266</v>
      </c>
      <c r="B267" s="6" t="s">
        <v>1117</v>
      </c>
      <c r="C267" s="6" t="s">
        <v>1973</v>
      </c>
      <c r="D267" s="6" t="s">
        <v>323</v>
      </c>
      <c r="E267" s="6" t="s">
        <v>86</v>
      </c>
      <c r="F267" s="7">
        <v>45154</v>
      </c>
      <c r="G267" s="6" t="s">
        <v>204</v>
      </c>
      <c r="H267" s="6" t="s">
        <v>603</v>
      </c>
      <c r="I267" s="6" t="s">
        <v>1119</v>
      </c>
      <c r="J267" s="6" t="s">
        <v>90</v>
      </c>
      <c r="K267" s="6" t="s">
        <v>91</v>
      </c>
      <c r="L267" s="6" t="s">
        <v>92</v>
      </c>
      <c r="M267" s="6" t="s">
        <v>90</v>
      </c>
      <c r="N267" s="6" t="s">
        <v>43</v>
      </c>
      <c r="O267" s="6" t="s">
        <v>122</v>
      </c>
      <c r="P267" s="6" t="s">
        <v>43</v>
      </c>
      <c r="Q267" s="6" t="s">
        <v>122</v>
      </c>
      <c r="R267" s="6" t="s">
        <v>1643</v>
      </c>
      <c r="S267" s="6" t="s">
        <v>94</v>
      </c>
      <c r="T267" s="6" t="s">
        <v>94</v>
      </c>
      <c r="U267" s="6" t="s">
        <v>94</v>
      </c>
      <c r="V267" s="6" t="s">
        <v>94</v>
      </c>
      <c r="W267" s="6" t="s">
        <v>321</v>
      </c>
      <c r="X267" s="6" t="s">
        <v>1643</v>
      </c>
      <c r="Y267" s="6" t="s">
        <v>1643</v>
      </c>
      <c r="Z267" s="6" t="s">
        <v>1652</v>
      </c>
      <c r="AA267" s="8">
        <v>1</v>
      </c>
      <c r="AB267" s="8">
        <v>1</v>
      </c>
      <c r="AC267" s="8">
        <v>1</v>
      </c>
      <c r="AD267" s="8">
        <v>0</v>
      </c>
      <c r="AE267" s="8">
        <v>100</v>
      </c>
      <c r="AF267" s="6" t="s">
        <v>282</v>
      </c>
      <c r="AG267" s="6" t="s">
        <v>283</v>
      </c>
      <c r="AH267" s="6" t="s">
        <v>341</v>
      </c>
      <c r="AI267" s="6" t="s">
        <v>286</v>
      </c>
      <c r="AJ267" s="9">
        <v>40</v>
      </c>
      <c r="AK267" s="8">
        <v>40</v>
      </c>
      <c r="AL267" s="8">
        <v>40</v>
      </c>
      <c r="AM267" s="8">
        <v>40</v>
      </c>
      <c r="AN267" s="8">
        <v>40</v>
      </c>
      <c r="AO267" s="13">
        <v>40</v>
      </c>
      <c r="AP267" s="5"/>
    </row>
    <row r="268" spans="1:42">
      <c r="A268" s="12">
        <v>267</v>
      </c>
      <c r="B268" s="6" t="s">
        <v>1120</v>
      </c>
      <c r="C268" s="6" t="s">
        <v>1974</v>
      </c>
      <c r="D268" s="6" t="s">
        <v>387</v>
      </c>
      <c r="E268" s="6" t="s">
        <v>86</v>
      </c>
      <c r="F268" s="7">
        <v>42339</v>
      </c>
      <c r="G268" s="6" t="s">
        <v>87</v>
      </c>
      <c r="H268" s="6" t="s">
        <v>389</v>
      </c>
      <c r="I268" s="6" t="s">
        <v>1122</v>
      </c>
      <c r="J268" s="6" t="s">
        <v>90</v>
      </c>
      <c r="K268" s="6" t="s">
        <v>91</v>
      </c>
      <c r="L268" s="6" t="s">
        <v>92</v>
      </c>
      <c r="M268" s="6" t="s">
        <v>90</v>
      </c>
      <c r="N268" s="6" t="s">
        <v>696</v>
      </c>
      <c r="O268" s="6" t="s">
        <v>94</v>
      </c>
      <c r="P268" s="6" t="s">
        <v>93</v>
      </c>
      <c r="Q268" s="6" t="s">
        <v>122</v>
      </c>
      <c r="R268" s="6" t="s">
        <v>1643</v>
      </c>
      <c r="S268" s="6" t="s">
        <v>94</v>
      </c>
      <c r="T268" s="6" t="s">
        <v>94</v>
      </c>
      <c r="U268" s="6" t="s">
        <v>94</v>
      </c>
      <c r="V268" s="6" t="s">
        <v>94</v>
      </c>
      <c r="W268" s="6" t="s">
        <v>490</v>
      </c>
      <c r="X268" s="6" t="s">
        <v>1643</v>
      </c>
      <c r="Y268" s="6" t="s">
        <v>1643</v>
      </c>
      <c r="Z268" s="6" t="s">
        <v>1643</v>
      </c>
      <c r="AA268" s="8">
        <v>1</v>
      </c>
      <c r="AB268" s="8">
        <v>1</v>
      </c>
      <c r="AC268" s="8">
        <v>1</v>
      </c>
      <c r="AD268" s="8">
        <v>1</v>
      </c>
      <c r="AE268" s="8">
        <v>100</v>
      </c>
      <c r="AF268" s="6" t="s">
        <v>326</v>
      </c>
      <c r="AG268" s="6" t="s">
        <v>283</v>
      </c>
      <c r="AH268" s="6" t="s">
        <v>323</v>
      </c>
      <c r="AI268" s="6" t="s">
        <v>286</v>
      </c>
      <c r="AJ268" s="9">
        <v>40</v>
      </c>
      <c r="AK268" s="8">
        <v>40</v>
      </c>
      <c r="AL268" s="8">
        <v>40</v>
      </c>
      <c r="AM268" s="8">
        <v>40</v>
      </c>
      <c r="AN268" s="8">
        <v>40</v>
      </c>
      <c r="AO268" s="13">
        <v>40</v>
      </c>
      <c r="AP268" s="5"/>
    </row>
    <row r="269" spans="1:42">
      <c r="A269" s="12">
        <v>268</v>
      </c>
      <c r="B269" s="6" t="s">
        <v>1123</v>
      </c>
      <c r="C269" s="6" t="s">
        <v>1975</v>
      </c>
      <c r="D269" s="6" t="s">
        <v>298</v>
      </c>
      <c r="E269" s="6" t="s">
        <v>86</v>
      </c>
      <c r="F269" s="7">
        <v>44713</v>
      </c>
      <c r="G269" s="6" t="s">
        <v>288</v>
      </c>
      <c r="H269" s="6" t="s">
        <v>1125</v>
      </c>
      <c r="I269" s="6" t="s">
        <v>1126</v>
      </c>
      <c r="J269" s="6" t="s">
        <v>90</v>
      </c>
      <c r="K269" s="6" t="s">
        <v>91</v>
      </c>
      <c r="L269" s="6" t="s">
        <v>92</v>
      </c>
      <c r="M269" s="6" t="s">
        <v>90</v>
      </c>
      <c r="N269" s="6" t="s">
        <v>675</v>
      </c>
      <c r="O269" s="6" t="s">
        <v>94</v>
      </c>
      <c r="P269" s="6" t="s">
        <v>136</v>
      </c>
      <c r="Q269" s="6" t="s">
        <v>95</v>
      </c>
      <c r="R269" s="6" t="s">
        <v>1643</v>
      </c>
      <c r="S269" s="6" t="s">
        <v>1976</v>
      </c>
      <c r="T269" s="6" t="s">
        <v>94</v>
      </c>
      <c r="U269" s="6" t="s">
        <v>94</v>
      </c>
      <c r="V269" s="6" t="s">
        <v>94</v>
      </c>
      <c r="W269" s="6" t="s">
        <v>291</v>
      </c>
      <c r="X269" s="6" t="s">
        <v>1643</v>
      </c>
      <c r="Y269" s="6" t="s">
        <v>1643</v>
      </c>
      <c r="Z269" s="6" t="s">
        <v>1643</v>
      </c>
      <c r="AA269" s="8">
        <v>1</v>
      </c>
      <c r="AB269" s="8">
        <v>1</v>
      </c>
      <c r="AC269" s="8">
        <v>1</v>
      </c>
      <c r="AD269" s="8">
        <v>1</v>
      </c>
      <c r="AE269" s="8">
        <v>76.190476200000006</v>
      </c>
      <c r="AF269" s="6" t="s">
        <v>391</v>
      </c>
      <c r="AG269" s="6" t="s">
        <v>386</v>
      </c>
      <c r="AH269" s="6" t="s">
        <v>387</v>
      </c>
      <c r="AI269" s="6" t="s">
        <v>286</v>
      </c>
      <c r="AJ269" s="9">
        <v>40</v>
      </c>
      <c r="AK269" s="8">
        <v>40</v>
      </c>
      <c r="AL269" s="8">
        <v>40</v>
      </c>
      <c r="AM269" s="8">
        <v>40</v>
      </c>
      <c r="AN269" s="8">
        <v>40</v>
      </c>
      <c r="AO269" s="13">
        <v>40</v>
      </c>
      <c r="AP269" s="5"/>
    </row>
    <row r="270" spans="1:42">
      <c r="A270" s="12">
        <v>269</v>
      </c>
      <c r="B270" s="6" t="s">
        <v>1127</v>
      </c>
      <c r="C270" s="6" t="s">
        <v>1520</v>
      </c>
      <c r="D270" s="6" t="s">
        <v>298</v>
      </c>
      <c r="E270" s="6" t="s">
        <v>86</v>
      </c>
      <c r="F270" s="7">
        <v>43182</v>
      </c>
      <c r="G270" s="6" t="s">
        <v>111</v>
      </c>
      <c r="H270" s="6" t="s">
        <v>187</v>
      </c>
      <c r="I270" s="6" t="s">
        <v>188</v>
      </c>
      <c r="J270" s="6" t="s">
        <v>90</v>
      </c>
      <c r="K270" s="6" t="s">
        <v>91</v>
      </c>
      <c r="L270" s="6" t="s">
        <v>92</v>
      </c>
      <c r="M270" s="6" t="s">
        <v>90</v>
      </c>
      <c r="N270" s="6" t="s">
        <v>103</v>
      </c>
      <c r="O270" s="6" t="s">
        <v>122</v>
      </c>
      <c r="P270" s="6" t="s">
        <v>184</v>
      </c>
      <c r="Q270" s="6" t="s">
        <v>104</v>
      </c>
      <c r="R270" s="6" t="s">
        <v>1643</v>
      </c>
      <c r="S270" s="6" t="s">
        <v>1690</v>
      </c>
      <c r="T270" s="6" t="s">
        <v>94</v>
      </c>
      <c r="U270" s="6" t="s">
        <v>94</v>
      </c>
      <c r="V270" s="6" t="s">
        <v>94</v>
      </c>
      <c r="W270" s="6" t="s">
        <v>418</v>
      </c>
      <c r="X270" s="6" t="s">
        <v>1643</v>
      </c>
      <c r="Y270" s="6" t="s">
        <v>1643</v>
      </c>
      <c r="Z270" s="6" t="s">
        <v>1643</v>
      </c>
      <c r="AA270" s="8">
        <v>1</v>
      </c>
      <c r="AB270" s="8">
        <v>1</v>
      </c>
      <c r="AC270" s="8">
        <v>1</v>
      </c>
      <c r="AD270" s="8">
        <v>1</v>
      </c>
      <c r="AE270" s="8">
        <v>100</v>
      </c>
      <c r="AF270" s="6" t="s">
        <v>300</v>
      </c>
      <c r="AG270" s="6" t="s">
        <v>283</v>
      </c>
      <c r="AH270" s="6" t="s">
        <v>298</v>
      </c>
      <c r="AI270" s="6" t="s">
        <v>286</v>
      </c>
      <c r="AJ270" s="9">
        <v>40</v>
      </c>
      <c r="AK270" s="8">
        <v>40</v>
      </c>
      <c r="AL270" s="8">
        <v>40</v>
      </c>
      <c r="AM270" s="8">
        <v>40</v>
      </c>
      <c r="AN270" s="8">
        <v>40</v>
      </c>
      <c r="AO270" s="13">
        <v>40</v>
      </c>
      <c r="AP270" s="5"/>
    </row>
    <row r="271" spans="1:42">
      <c r="A271" s="12">
        <v>270</v>
      </c>
      <c r="B271" s="6" t="s">
        <v>1129</v>
      </c>
      <c r="C271" s="6" t="s">
        <v>35</v>
      </c>
      <c r="D271" s="6" t="s">
        <v>648</v>
      </c>
      <c r="E271" s="6" t="s">
        <v>86</v>
      </c>
      <c r="F271" s="7">
        <v>45885</v>
      </c>
      <c r="G271" s="6" t="s">
        <v>111</v>
      </c>
      <c r="H271" s="6" t="s">
        <v>175</v>
      </c>
      <c r="I271" s="6" t="s">
        <v>176</v>
      </c>
      <c r="J271" s="6" t="s">
        <v>90</v>
      </c>
      <c r="K271" s="6" t="s">
        <v>91</v>
      </c>
      <c r="L271" s="6" t="s">
        <v>92</v>
      </c>
      <c r="M271" s="6" t="s">
        <v>90</v>
      </c>
      <c r="N271" s="6" t="s">
        <v>103</v>
      </c>
      <c r="O271" s="6" t="s">
        <v>94</v>
      </c>
      <c r="P271" s="6" t="s">
        <v>103</v>
      </c>
      <c r="Q271" s="6" t="s">
        <v>95</v>
      </c>
      <c r="R271" s="6" t="s">
        <v>1643</v>
      </c>
      <c r="S271" s="6" t="s">
        <v>1646</v>
      </c>
      <c r="T271" s="6" t="s">
        <v>94</v>
      </c>
      <c r="U271" s="6" t="s">
        <v>94</v>
      </c>
      <c r="V271" s="6" t="s">
        <v>94</v>
      </c>
      <c r="W271" s="6" t="s">
        <v>281</v>
      </c>
      <c r="X271" s="6" t="s">
        <v>1643</v>
      </c>
      <c r="Y271" s="6" t="s">
        <v>1643</v>
      </c>
      <c r="Z271" s="6" t="s">
        <v>1643</v>
      </c>
      <c r="AA271" s="8">
        <v>1</v>
      </c>
      <c r="AB271" s="8">
        <v>1</v>
      </c>
      <c r="AC271" s="8">
        <v>1</v>
      </c>
      <c r="AD271" s="8">
        <v>1</v>
      </c>
      <c r="AE271" s="8">
        <v>100</v>
      </c>
      <c r="AF271" s="6" t="s">
        <v>300</v>
      </c>
      <c r="AG271" s="6" t="s">
        <v>283</v>
      </c>
      <c r="AH271" s="6" t="s">
        <v>298</v>
      </c>
      <c r="AI271" s="6" t="s">
        <v>286</v>
      </c>
      <c r="AJ271" s="9">
        <v>40</v>
      </c>
      <c r="AK271" s="8">
        <v>40</v>
      </c>
      <c r="AL271" s="8">
        <v>40</v>
      </c>
      <c r="AM271" s="8">
        <v>40</v>
      </c>
      <c r="AN271" s="8">
        <v>40</v>
      </c>
      <c r="AO271" s="13">
        <v>40</v>
      </c>
      <c r="AP271" s="5"/>
    </row>
    <row r="272" spans="1:42">
      <c r="A272" s="12">
        <v>271</v>
      </c>
      <c r="B272" s="6" t="s">
        <v>1131</v>
      </c>
      <c r="C272" s="6" t="s">
        <v>1977</v>
      </c>
      <c r="D272" s="6" t="s">
        <v>396</v>
      </c>
      <c r="E272" s="6" t="s">
        <v>86</v>
      </c>
      <c r="F272" s="7">
        <v>44713</v>
      </c>
      <c r="G272" s="6" t="s">
        <v>111</v>
      </c>
      <c r="H272" s="6" t="s">
        <v>526</v>
      </c>
      <c r="I272" s="6" t="s">
        <v>533</v>
      </c>
      <c r="J272" s="6" t="s">
        <v>90</v>
      </c>
      <c r="K272" s="6" t="s">
        <v>91</v>
      </c>
      <c r="L272" s="6" t="s">
        <v>92</v>
      </c>
      <c r="M272" s="6" t="s">
        <v>90</v>
      </c>
      <c r="N272" s="6" t="s">
        <v>103</v>
      </c>
      <c r="O272" s="6" t="s">
        <v>104</v>
      </c>
      <c r="P272" s="6" t="s">
        <v>103</v>
      </c>
      <c r="Q272" s="6" t="s">
        <v>95</v>
      </c>
      <c r="R272" s="6" t="s">
        <v>1643</v>
      </c>
      <c r="S272" s="6" t="s">
        <v>94</v>
      </c>
      <c r="T272" s="6" t="s">
        <v>94</v>
      </c>
      <c r="U272" s="6" t="s">
        <v>94</v>
      </c>
      <c r="V272" s="6" t="s">
        <v>94</v>
      </c>
      <c r="W272" s="6" t="s">
        <v>281</v>
      </c>
      <c r="X272" s="6" t="s">
        <v>1643</v>
      </c>
      <c r="Y272" s="6" t="s">
        <v>1643</v>
      </c>
      <c r="Z272" s="6" t="s">
        <v>1643</v>
      </c>
      <c r="AA272" s="8">
        <v>1</v>
      </c>
      <c r="AB272" s="8">
        <v>1</v>
      </c>
      <c r="AC272" s="8">
        <v>1</v>
      </c>
      <c r="AD272" s="8">
        <v>1</v>
      </c>
      <c r="AE272" s="8">
        <v>100</v>
      </c>
      <c r="AF272" s="6" t="s">
        <v>652</v>
      </c>
      <c r="AG272" s="6" t="s">
        <v>283</v>
      </c>
      <c r="AH272" s="6" t="s">
        <v>648</v>
      </c>
      <c r="AI272" s="6" t="s">
        <v>286</v>
      </c>
      <c r="AJ272" s="9">
        <v>40</v>
      </c>
      <c r="AK272" s="8">
        <v>40</v>
      </c>
      <c r="AL272" s="8">
        <v>40</v>
      </c>
      <c r="AM272" s="8">
        <v>40</v>
      </c>
      <c r="AN272" s="8">
        <v>40</v>
      </c>
      <c r="AO272" s="13">
        <v>40</v>
      </c>
      <c r="AP272" s="5"/>
    </row>
    <row r="273" spans="1:42">
      <c r="A273" s="12">
        <v>272</v>
      </c>
      <c r="B273" s="6" t="s">
        <v>1133</v>
      </c>
      <c r="C273" s="6" t="s">
        <v>1978</v>
      </c>
      <c r="D273" s="6" t="s">
        <v>1135</v>
      </c>
      <c r="E273" s="6" t="s">
        <v>86</v>
      </c>
      <c r="F273" s="7">
        <v>46135</v>
      </c>
      <c r="G273" s="6" t="s">
        <v>4</v>
      </c>
      <c r="H273" s="6" t="s">
        <v>94</v>
      </c>
      <c r="I273" s="6" t="s">
        <v>94</v>
      </c>
      <c r="J273" s="6" t="s">
        <v>90</v>
      </c>
      <c r="K273" s="6" t="s">
        <v>91</v>
      </c>
      <c r="L273" s="6" t="s">
        <v>92</v>
      </c>
      <c r="M273" s="6" t="s">
        <v>90</v>
      </c>
      <c r="N273" s="6" t="s">
        <v>94</v>
      </c>
      <c r="O273" s="6" t="s">
        <v>94</v>
      </c>
      <c r="P273" s="6" t="s">
        <v>93</v>
      </c>
      <c r="Q273" s="6" t="s">
        <v>104</v>
      </c>
      <c r="R273" s="6" t="s">
        <v>1643</v>
      </c>
      <c r="S273" s="6" t="s">
        <v>1979</v>
      </c>
      <c r="T273" s="6" t="s">
        <v>94</v>
      </c>
      <c r="U273" s="6" t="s">
        <v>94</v>
      </c>
      <c r="V273" s="6" t="s">
        <v>94</v>
      </c>
      <c r="W273" s="6" t="s">
        <v>399</v>
      </c>
      <c r="X273" s="6" t="s">
        <v>1643</v>
      </c>
      <c r="Y273" s="6" t="s">
        <v>1643</v>
      </c>
      <c r="Z273" s="6" t="s">
        <v>1652</v>
      </c>
      <c r="AA273" s="8">
        <v>1</v>
      </c>
      <c r="AB273" s="8">
        <v>1</v>
      </c>
      <c r="AC273" s="8">
        <v>1</v>
      </c>
      <c r="AD273" s="8">
        <v>0</v>
      </c>
      <c r="AE273" s="8">
        <v>100</v>
      </c>
      <c r="AF273" s="6" t="s">
        <v>282</v>
      </c>
      <c r="AG273" s="6" t="s">
        <v>283</v>
      </c>
      <c r="AH273" s="6" t="s">
        <v>396</v>
      </c>
      <c r="AI273" s="6" t="s">
        <v>286</v>
      </c>
      <c r="AJ273" s="9">
        <v>40</v>
      </c>
      <c r="AK273" s="8">
        <v>40</v>
      </c>
      <c r="AL273" s="8">
        <v>40</v>
      </c>
      <c r="AM273" s="8">
        <v>40</v>
      </c>
      <c r="AN273" s="8">
        <v>40</v>
      </c>
      <c r="AO273" s="13">
        <v>40</v>
      </c>
      <c r="AP273" s="5"/>
    </row>
    <row r="274" spans="1:42">
      <c r="A274" s="12">
        <v>273</v>
      </c>
      <c r="B274" s="6" t="s">
        <v>1136</v>
      </c>
      <c r="C274" s="6" t="s">
        <v>1980</v>
      </c>
      <c r="D274" s="6" t="s">
        <v>301</v>
      </c>
      <c r="E274" s="6" t="s">
        <v>86</v>
      </c>
      <c r="F274" s="7">
        <v>44455</v>
      </c>
      <c r="G274" s="6" t="s">
        <v>430</v>
      </c>
      <c r="H274" s="6" t="s">
        <v>294</v>
      </c>
      <c r="I274" s="6" t="s">
        <v>1138</v>
      </c>
      <c r="J274" s="6" t="s">
        <v>90</v>
      </c>
      <c r="K274" s="6" t="s">
        <v>91</v>
      </c>
      <c r="L274" s="6" t="s">
        <v>92</v>
      </c>
      <c r="M274" s="6" t="s">
        <v>90</v>
      </c>
      <c r="N274" s="6" t="s">
        <v>1139</v>
      </c>
      <c r="O274" s="6" t="s">
        <v>122</v>
      </c>
      <c r="P274" s="6" t="s">
        <v>412</v>
      </c>
      <c r="Q274" s="6" t="s">
        <v>122</v>
      </c>
      <c r="R274" s="6" t="s">
        <v>1643</v>
      </c>
      <c r="S274" s="6" t="s">
        <v>94</v>
      </c>
      <c r="T274" s="6" t="s">
        <v>94</v>
      </c>
      <c r="U274" s="6" t="s">
        <v>94</v>
      </c>
      <c r="V274" s="6" t="s">
        <v>94</v>
      </c>
      <c r="W274" s="6" t="s">
        <v>433</v>
      </c>
      <c r="X274" s="6" t="s">
        <v>1643</v>
      </c>
      <c r="Y274" s="6" t="s">
        <v>1643</v>
      </c>
      <c r="Z274" s="6" t="s">
        <v>1643</v>
      </c>
      <c r="AA274" s="8">
        <v>1</v>
      </c>
      <c r="AB274" s="8">
        <v>1</v>
      </c>
      <c r="AC274" s="8">
        <v>1</v>
      </c>
      <c r="AD274" s="8">
        <v>1</v>
      </c>
      <c r="AE274" s="8">
        <v>100</v>
      </c>
      <c r="AF274" s="6" t="s">
        <v>1140</v>
      </c>
      <c r="AG274" s="6" t="s">
        <v>1141</v>
      </c>
      <c r="AH274" s="6" t="s">
        <v>1135</v>
      </c>
      <c r="AI274" s="6" t="s">
        <v>286</v>
      </c>
      <c r="AJ274" s="9">
        <v>40</v>
      </c>
      <c r="AK274" s="8">
        <v>40</v>
      </c>
      <c r="AL274" s="8">
        <v>40</v>
      </c>
      <c r="AM274" s="8">
        <v>40</v>
      </c>
      <c r="AN274" s="8">
        <v>40</v>
      </c>
      <c r="AO274" s="13">
        <v>40</v>
      </c>
      <c r="AP274" s="5"/>
    </row>
    <row r="275" spans="1:42">
      <c r="A275" s="12">
        <v>274</v>
      </c>
      <c r="B275" s="6" t="s">
        <v>1142</v>
      </c>
      <c r="C275" s="6" t="s">
        <v>1981</v>
      </c>
      <c r="D275" s="6" t="s">
        <v>501</v>
      </c>
      <c r="E275" s="6" t="s">
        <v>86</v>
      </c>
      <c r="F275" s="7">
        <v>45923</v>
      </c>
      <c r="G275" s="6" t="s">
        <v>111</v>
      </c>
      <c r="H275" s="6" t="s">
        <v>94</v>
      </c>
      <c r="I275" s="6" t="s">
        <v>333</v>
      </c>
      <c r="J275" s="6" t="s">
        <v>90</v>
      </c>
      <c r="K275" s="6" t="s">
        <v>91</v>
      </c>
      <c r="L275" s="6" t="s">
        <v>92</v>
      </c>
      <c r="M275" s="6" t="s">
        <v>90</v>
      </c>
      <c r="N275" s="6" t="s">
        <v>94</v>
      </c>
      <c r="O275" s="6" t="s">
        <v>94</v>
      </c>
      <c r="P275" s="6" t="s">
        <v>131</v>
      </c>
      <c r="Q275" s="6" t="s">
        <v>95</v>
      </c>
      <c r="R275" s="6" t="s">
        <v>1643</v>
      </c>
      <c r="S275" s="6" t="s">
        <v>1669</v>
      </c>
      <c r="T275" s="6" t="s">
        <v>94</v>
      </c>
      <c r="U275" s="6" t="s">
        <v>94</v>
      </c>
      <c r="V275" s="6" t="s">
        <v>94</v>
      </c>
      <c r="W275" s="6" t="s">
        <v>281</v>
      </c>
      <c r="X275" s="6" t="s">
        <v>1643</v>
      </c>
      <c r="Y275" s="6" t="s">
        <v>1643</v>
      </c>
      <c r="Z275" s="6" t="s">
        <v>1643</v>
      </c>
      <c r="AA275" s="8">
        <v>1</v>
      </c>
      <c r="AB275" s="8">
        <v>1</v>
      </c>
      <c r="AC275" s="8">
        <v>1</v>
      </c>
      <c r="AD275" s="8">
        <v>1</v>
      </c>
      <c r="AE275" s="8">
        <v>100</v>
      </c>
      <c r="AF275" s="6" t="s">
        <v>282</v>
      </c>
      <c r="AG275" s="6" t="s">
        <v>283</v>
      </c>
      <c r="AH275" s="6" t="s">
        <v>301</v>
      </c>
      <c r="AI275" s="6" t="s">
        <v>286</v>
      </c>
      <c r="AJ275" s="9">
        <v>40</v>
      </c>
      <c r="AK275" s="8">
        <v>40</v>
      </c>
      <c r="AL275" s="8">
        <v>40</v>
      </c>
      <c r="AM275" s="8">
        <v>40</v>
      </c>
      <c r="AN275" s="8">
        <v>40</v>
      </c>
      <c r="AO275" s="13">
        <v>40</v>
      </c>
      <c r="AP275" s="5"/>
    </row>
    <row r="276" spans="1:42">
      <c r="A276" s="12">
        <v>275</v>
      </c>
      <c r="B276" s="6" t="s">
        <v>1144</v>
      </c>
      <c r="C276" s="6" t="s">
        <v>1982</v>
      </c>
      <c r="D276" s="6" t="s">
        <v>323</v>
      </c>
      <c r="E276" s="6" t="s">
        <v>86</v>
      </c>
      <c r="F276" s="7">
        <v>44577</v>
      </c>
      <c r="G276" s="6" t="s">
        <v>111</v>
      </c>
      <c r="H276" s="6" t="s">
        <v>359</v>
      </c>
      <c r="I276" s="6" t="s">
        <v>1146</v>
      </c>
      <c r="J276" s="6" t="s">
        <v>90</v>
      </c>
      <c r="K276" s="6" t="s">
        <v>91</v>
      </c>
      <c r="L276" s="6" t="s">
        <v>92</v>
      </c>
      <c r="M276" s="6" t="s">
        <v>90</v>
      </c>
      <c r="N276" s="6" t="s">
        <v>136</v>
      </c>
      <c r="O276" s="6" t="s">
        <v>94</v>
      </c>
      <c r="P276" s="6" t="s">
        <v>136</v>
      </c>
      <c r="Q276" s="6" t="s">
        <v>95</v>
      </c>
      <c r="R276" s="6" t="s">
        <v>1643</v>
      </c>
      <c r="S276" s="6" t="s">
        <v>94</v>
      </c>
      <c r="T276" s="6" t="s">
        <v>94</v>
      </c>
      <c r="U276" s="6" t="s">
        <v>94</v>
      </c>
      <c r="V276" s="6" t="s">
        <v>94</v>
      </c>
      <c r="W276" s="6" t="s">
        <v>281</v>
      </c>
      <c r="X276" s="6" t="s">
        <v>1643</v>
      </c>
      <c r="Y276" s="6" t="s">
        <v>1643</v>
      </c>
      <c r="Z276" s="6" t="s">
        <v>1643</v>
      </c>
      <c r="AA276" s="8">
        <v>1</v>
      </c>
      <c r="AB276" s="8">
        <v>1</v>
      </c>
      <c r="AC276" s="8">
        <v>1</v>
      </c>
      <c r="AD276" s="8">
        <v>1</v>
      </c>
      <c r="AE276" s="8">
        <v>100</v>
      </c>
      <c r="AF276" s="6" t="s">
        <v>334</v>
      </c>
      <c r="AG276" s="6" t="s">
        <v>335</v>
      </c>
      <c r="AH276" s="6" t="s">
        <v>501</v>
      </c>
      <c r="AI276" s="6" t="s">
        <v>286</v>
      </c>
      <c r="AJ276" s="9">
        <v>40</v>
      </c>
      <c r="AK276" s="8">
        <v>40</v>
      </c>
      <c r="AL276" s="8">
        <v>40</v>
      </c>
      <c r="AM276" s="8">
        <v>40</v>
      </c>
      <c r="AN276" s="8">
        <v>40</v>
      </c>
      <c r="AO276" s="13">
        <v>40</v>
      </c>
      <c r="AP276" s="5"/>
    </row>
    <row r="277" spans="1:42">
      <c r="A277" s="12">
        <v>276</v>
      </c>
      <c r="B277" s="6" t="s">
        <v>1147</v>
      </c>
      <c r="C277" s="6" t="s">
        <v>1983</v>
      </c>
      <c r="D277" s="6" t="s">
        <v>298</v>
      </c>
      <c r="E277" s="6" t="s">
        <v>86</v>
      </c>
      <c r="F277" s="7">
        <v>45998</v>
      </c>
      <c r="G277" s="6" t="s">
        <v>100</v>
      </c>
      <c r="H277" s="6" t="s">
        <v>94</v>
      </c>
      <c r="I277" s="6" t="s">
        <v>1149</v>
      </c>
      <c r="J277" s="6" t="s">
        <v>90</v>
      </c>
      <c r="K277" s="6" t="s">
        <v>91</v>
      </c>
      <c r="L277" s="6" t="s">
        <v>92</v>
      </c>
      <c r="M277" s="6" t="s">
        <v>90</v>
      </c>
      <c r="N277" s="6" t="s">
        <v>94</v>
      </c>
      <c r="O277" s="6" t="s">
        <v>94</v>
      </c>
      <c r="P277" s="6" t="s">
        <v>93</v>
      </c>
      <c r="Q277" s="6" t="s">
        <v>104</v>
      </c>
      <c r="R277" s="6" t="s">
        <v>1643</v>
      </c>
      <c r="S277" s="6" t="s">
        <v>94</v>
      </c>
      <c r="T277" s="6" t="s">
        <v>94</v>
      </c>
      <c r="U277" s="6" t="s">
        <v>94</v>
      </c>
      <c r="V277" s="6" t="s">
        <v>94</v>
      </c>
      <c r="W277" s="6" t="s">
        <v>304</v>
      </c>
      <c r="X277" s="6" t="s">
        <v>1643</v>
      </c>
      <c r="Y277" s="6" t="s">
        <v>1643</v>
      </c>
      <c r="Z277" s="6" t="s">
        <v>1643</v>
      </c>
      <c r="AA277" s="8">
        <v>1</v>
      </c>
      <c r="AB277" s="8">
        <v>1</v>
      </c>
      <c r="AC277" s="8">
        <v>1</v>
      </c>
      <c r="AD277" s="8">
        <v>1</v>
      </c>
      <c r="AE277" s="8">
        <v>100</v>
      </c>
      <c r="AF277" s="6" t="s">
        <v>326</v>
      </c>
      <c r="AG277" s="6" t="s">
        <v>283</v>
      </c>
      <c r="AH277" s="6" t="s">
        <v>323</v>
      </c>
      <c r="AI277" s="6" t="s">
        <v>286</v>
      </c>
      <c r="AJ277" s="9">
        <v>40</v>
      </c>
      <c r="AK277" s="8">
        <v>40</v>
      </c>
      <c r="AL277" s="8">
        <v>40</v>
      </c>
      <c r="AM277" s="8">
        <v>40</v>
      </c>
      <c r="AN277" s="8">
        <v>40</v>
      </c>
      <c r="AO277" s="13">
        <v>40</v>
      </c>
      <c r="AP277" s="5"/>
    </row>
    <row r="278" spans="1:42">
      <c r="A278" s="12">
        <v>277</v>
      </c>
      <c r="B278" s="6" t="s">
        <v>1150</v>
      </c>
      <c r="C278" s="6" t="s">
        <v>20</v>
      </c>
      <c r="D278" s="6" t="s">
        <v>284</v>
      </c>
      <c r="E278" s="6" t="s">
        <v>86</v>
      </c>
      <c r="F278" s="7">
        <v>45084</v>
      </c>
      <c r="G278" s="6" t="s">
        <v>111</v>
      </c>
      <c r="H278" s="6" t="s">
        <v>134</v>
      </c>
      <c r="I278" s="6" t="s">
        <v>135</v>
      </c>
      <c r="J278" s="6" t="s">
        <v>90</v>
      </c>
      <c r="K278" s="6" t="s">
        <v>91</v>
      </c>
      <c r="L278" s="6" t="s">
        <v>92</v>
      </c>
      <c r="M278" s="6" t="s">
        <v>90</v>
      </c>
      <c r="N278" s="6" t="s">
        <v>136</v>
      </c>
      <c r="O278" s="6" t="s">
        <v>122</v>
      </c>
      <c r="P278" s="6" t="s">
        <v>136</v>
      </c>
      <c r="Q278" s="6" t="s">
        <v>122</v>
      </c>
      <c r="R278" s="6" t="s">
        <v>1643</v>
      </c>
      <c r="S278" s="6" t="s">
        <v>94</v>
      </c>
      <c r="T278" s="6" t="s">
        <v>94</v>
      </c>
      <c r="U278" s="6" t="s">
        <v>94</v>
      </c>
      <c r="V278" s="6" t="s">
        <v>94</v>
      </c>
      <c r="W278" s="6" t="s">
        <v>418</v>
      </c>
      <c r="X278" s="6" t="s">
        <v>1643</v>
      </c>
      <c r="Y278" s="6" t="s">
        <v>1643</v>
      </c>
      <c r="Z278" s="6" t="s">
        <v>1643</v>
      </c>
      <c r="AA278" s="8">
        <v>1</v>
      </c>
      <c r="AB278" s="8">
        <v>1</v>
      </c>
      <c r="AC278" s="8">
        <v>1</v>
      </c>
      <c r="AD278" s="8">
        <v>1</v>
      </c>
      <c r="AE278" s="8">
        <v>100</v>
      </c>
      <c r="AF278" s="6" t="s">
        <v>300</v>
      </c>
      <c r="AG278" s="6" t="s">
        <v>283</v>
      </c>
      <c r="AH278" s="6" t="s">
        <v>298</v>
      </c>
      <c r="AI278" s="6" t="s">
        <v>286</v>
      </c>
      <c r="AJ278" s="9">
        <v>40</v>
      </c>
      <c r="AK278" s="8">
        <v>40</v>
      </c>
      <c r="AL278" s="8">
        <v>40</v>
      </c>
      <c r="AM278" s="8">
        <v>40</v>
      </c>
      <c r="AN278" s="8">
        <v>40</v>
      </c>
      <c r="AO278" s="13">
        <v>40</v>
      </c>
      <c r="AP278" s="5"/>
    </row>
    <row r="279" spans="1:42">
      <c r="A279" s="12">
        <v>278</v>
      </c>
      <c r="B279" s="6" t="s">
        <v>1152</v>
      </c>
      <c r="C279" s="6" t="s">
        <v>1984</v>
      </c>
      <c r="D279" s="6" t="s">
        <v>301</v>
      </c>
      <c r="E279" s="6" t="s">
        <v>86</v>
      </c>
      <c r="F279" s="7">
        <v>43350</v>
      </c>
      <c r="G279" s="6" t="s">
        <v>4</v>
      </c>
      <c r="H279" s="6" t="s">
        <v>187</v>
      </c>
      <c r="I279" s="6" t="s">
        <v>1154</v>
      </c>
      <c r="J279" s="6" t="s">
        <v>90</v>
      </c>
      <c r="K279" s="6" t="s">
        <v>91</v>
      </c>
      <c r="L279" s="6" t="s">
        <v>92</v>
      </c>
      <c r="M279" s="6" t="s">
        <v>90</v>
      </c>
      <c r="N279" s="6" t="s">
        <v>103</v>
      </c>
      <c r="O279" s="6" t="s">
        <v>94</v>
      </c>
      <c r="P279" s="6" t="s">
        <v>93</v>
      </c>
      <c r="Q279" s="6" t="s">
        <v>122</v>
      </c>
      <c r="R279" s="6" t="s">
        <v>1643</v>
      </c>
      <c r="S279" s="6" t="s">
        <v>94</v>
      </c>
      <c r="T279" s="6" t="s">
        <v>94</v>
      </c>
      <c r="U279" s="6" t="s">
        <v>94</v>
      </c>
      <c r="V279" s="6" t="s">
        <v>94</v>
      </c>
      <c r="W279" s="6" t="s">
        <v>399</v>
      </c>
      <c r="X279" s="6" t="s">
        <v>1643</v>
      </c>
      <c r="Y279" s="6" t="s">
        <v>1643</v>
      </c>
      <c r="Z279" s="6" t="s">
        <v>1643</v>
      </c>
      <c r="AA279" s="8">
        <v>1</v>
      </c>
      <c r="AB279" s="8">
        <v>1</v>
      </c>
      <c r="AC279" s="8">
        <v>1</v>
      </c>
      <c r="AD279" s="8">
        <v>1</v>
      </c>
      <c r="AE279" s="8">
        <v>100</v>
      </c>
      <c r="AF279" s="6" t="s">
        <v>282</v>
      </c>
      <c r="AG279" s="6" t="s">
        <v>283</v>
      </c>
      <c r="AH279" s="6" t="s">
        <v>284</v>
      </c>
      <c r="AI279" s="6" t="s">
        <v>286</v>
      </c>
      <c r="AJ279" s="9">
        <v>40</v>
      </c>
      <c r="AK279" s="8">
        <v>40</v>
      </c>
      <c r="AL279" s="8">
        <v>40</v>
      </c>
      <c r="AM279" s="8">
        <v>40</v>
      </c>
      <c r="AN279" s="8">
        <v>40</v>
      </c>
      <c r="AO279" s="13">
        <v>40</v>
      </c>
      <c r="AP279" s="5"/>
    </row>
    <row r="280" spans="1:42">
      <c r="A280" s="12">
        <v>279</v>
      </c>
      <c r="B280" s="6" t="s">
        <v>1155</v>
      </c>
      <c r="C280" s="6" t="s">
        <v>1985</v>
      </c>
      <c r="D280" s="6" t="s">
        <v>648</v>
      </c>
      <c r="E280" s="6" t="s">
        <v>86</v>
      </c>
      <c r="F280" s="7">
        <v>46158</v>
      </c>
      <c r="G280" s="6" t="s">
        <v>337</v>
      </c>
      <c r="H280" s="6" t="s">
        <v>94</v>
      </c>
      <c r="I280" s="6" t="s">
        <v>94</v>
      </c>
      <c r="J280" s="6" t="s">
        <v>90</v>
      </c>
      <c r="K280" s="6" t="s">
        <v>91</v>
      </c>
      <c r="L280" s="6" t="s">
        <v>92</v>
      </c>
      <c r="M280" s="6" t="s">
        <v>90</v>
      </c>
      <c r="N280" s="6" t="s">
        <v>94</v>
      </c>
      <c r="O280" s="6" t="s">
        <v>94</v>
      </c>
      <c r="P280" s="6" t="s">
        <v>131</v>
      </c>
      <c r="Q280" s="6" t="s">
        <v>104</v>
      </c>
      <c r="R280" s="6" t="s">
        <v>1643</v>
      </c>
      <c r="S280" s="6" t="s">
        <v>1847</v>
      </c>
      <c r="T280" s="6" t="s">
        <v>1848</v>
      </c>
      <c r="U280" s="7">
        <v>46372.291666666664</v>
      </c>
      <c r="V280" s="6" t="s">
        <v>94</v>
      </c>
      <c r="W280" s="6" t="s">
        <v>338</v>
      </c>
      <c r="X280" s="6" t="s">
        <v>1652</v>
      </c>
      <c r="Y280" s="6" t="s">
        <v>1652</v>
      </c>
      <c r="Z280" s="6" t="s">
        <v>1652</v>
      </c>
      <c r="AA280" s="8">
        <v>0.48</v>
      </c>
      <c r="AB280" s="8">
        <v>0</v>
      </c>
      <c r="AC280" s="8">
        <v>0</v>
      </c>
      <c r="AD280" s="8">
        <v>0</v>
      </c>
      <c r="AE280" s="8">
        <v>47.619047619999996</v>
      </c>
      <c r="AF280" s="6" t="s">
        <v>282</v>
      </c>
      <c r="AG280" s="6" t="s">
        <v>283</v>
      </c>
      <c r="AH280" s="6" t="s">
        <v>301</v>
      </c>
      <c r="AI280" s="6" t="s">
        <v>286</v>
      </c>
      <c r="AJ280" s="9">
        <v>0</v>
      </c>
      <c r="AK280" s="8">
        <v>0</v>
      </c>
      <c r="AL280" s="8">
        <v>0</v>
      </c>
      <c r="AM280" s="8">
        <v>0</v>
      </c>
      <c r="AN280" s="8">
        <v>0</v>
      </c>
      <c r="AO280" s="13">
        <v>0</v>
      </c>
      <c r="AP280" s="5"/>
    </row>
    <row r="281" spans="1:42">
      <c r="A281" s="12">
        <v>280</v>
      </c>
      <c r="B281" s="6" t="s">
        <v>1157</v>
      </c>
      <c r="C281" s="6" t="s">
        <v>1986</v>
      </c>
      <c r="D281" s="6" t="s">
        <v>339</v>
      </c>
      <c r="E281" s="6" t="s">
        <v>86</v>
      </c>
      <c r="F281" s="7">
        <v>43335</v>
      </c>
      <c r="G281" s="6" t="s">
        <v>111</v>
      </c>
      <c r="H281" s="6" t="s">
        <v>107</v>
      </c>
      <c r="I281" s="6" t="s">
        <v>1159</v>
      </c>
      <c r="J281" s="6" t="s">
        <v>90</v>
      </c>
      <c r="K281" s="6" t="s">
        <v>91</v>
      </c>
      <c r="L281" s="6" t="s">
        <v>92</v>
      </c>
      <c r="M281" s="6" t="s">
        <v>90</v>
      </c>
      <c r="N281" s="6" t="s">
        <v>103</v>
      </c>
      <c r="O281" s="6" t="s">
        <v>122</v>
      </c>
      <c r="P281" s="6" t="s">
        <v>103</v>
      </c>
      <c r="Q281" s="6" t="s">
        <v>95</v>
      </c>
      <c r="R281" s="6" t="s">
        <v>1643</v>
      </c>
      <c r="S281" s="6" t="s">
        <v>1882</v>
      </c>
      <c r="T281" s="6" t="s">
        <v>94</v>
      </c>
      <c r="U281" s="6" t="s">
        <v>94</v>
      </c>
      <c r="V281" s="6" t="s">
        <v>94</v>
      </c>
      <c r="W281" s="6" t="s">
        <v>418</v>
      </c>
      <c r="X281" s="6" t="s">
        <v>1643</v>
      </c>
      <c r="Y281" s="6" t="s">
        <v>1643</v>
      </c>
      <c r="Z281" s="6" t="s">
        <v>1643</v>
      </c>
      <c r="AA281" s="8">
        <v>1</v>
      </c>
      <c r="AB281" s="8">
        <v>1</v>
      </c>
      <c r="AC281" s="8">
        <v>1</v>
      </c>
      <c r="AD281" s="8">
        <v>1</v>
      </c>
      <c r="AE281" s="8">
        <v>100</v>
      </c>
      <c r="AF281" s="6" t="s">
        <v>652</v>
      </c>
      <c r="AG281" s="6" t="s">
        <v>283</v>
      </c>
      <c r="AH281" s="6" t="s">
        <v>648</v>
      </c>
      <c r="AI281" s="6" t="s">
        <v>286</v>
      </c>
      <c r="AJ281" s="9">
        <v>40</v>
      </c>
      <c r="AK281" s="8">
        <v>40</v>
      </c>
      <c r="AL281" s="8">
        <v>40</v>
      </c>
      <c r="AM281" s="8">
        <v>40</v>
      </c>
      <c r="AN281" s="8">
        <v>40</v>
      </c>
      <c r="AO281" s="13">
        <v>40</v>
      </c>
      <c r="AP281" s="5"/>
    </row>
    <row r="282" spans="1:42">
      <c r="A282" s="12">
        <v>281</v>
      </c>
      <c r="B282" s="6" t="s">
        <v>1160</v>
      </c>
      <c r="C282" s="6" t="s">
        <v>1987</v>
      </c>
      <c r="D282" s="6" t="s">
        <v>301</v>
      </c>
      <c r="E282" s="6" t="s">
        <v>86</v>
      </c>
      <c r="F282" s="7">
        <v>42963</v>
      </c>
      <c r="G282" s="6" t="s">
        <v>111</v>
      </c>
      <c r="H282" s="6" t="s">
        <v>146</v>
      </c>
      <c r="I282" s="6" t="s">
        <v>1162</v>
      </c>
      <c r="J282" s="6" t="s">
        <v>90</v>
      </c>
      <c r="K282" s="6" t="s">
        <v>91</v>
      </c>
      <c r="L282" s="6" t="s">
        <v>92</v>
      </c>
      <c r="M282" s="6" t="s">
        <v>90</v>
      </c>
      <c r="N282" s="6" t="s">
        <v>103</v>
      </c>
      <c r="O282" s="6" t="s">
        <v>122</v>
      </c>
      <c r="P282" s="6" t="s">
        <v>184</v>
      </c>
      <c r="Q282" s="6" t="s">
        <v>104</v>
      </c>
      <c r="R282" s="6" t="s">
        <v>1643</v>
      </c>
      <c r="S282" s="6" t="s">
        <v>94</v>
      </c>
      <c r="T282" s="6" t="s">
        <v>94</v>
      </c>
      <c r="U282" s="6" t="s">
        <v>94</v>
      </c>
      <c r="V282" s="6" t="s">
        <v>94</v>
      </c>
      <c r="W282" s="6" t="s">
        <v>418</v>
      </c>
      <c r="X282" s="6" t="s">
        <v>1643</v>
      </c>
      <c r="Y282" s="6" t="s">
        <v>1643</v>
      </c>
      <c r="Z282" s="6" t="s">
        <v>1643</v>
      </c>
      <c r="AA282" s="8">
        <v>1</v>
      </c>
      <c r="AB282" s="8">
        <v>1</v>
      </c>
      <c r="AC282" s="8">
        <v>1</v>
      </c>
      <c r="AD282" s="8">
        <v>1</v>
      </c>
      <c r="AE282" s="8">
        <v>100</v>
      </c>
      <c r="AF282" s="6" t="s">
        <v>334</v>
      </c>
      <c r="AG282" s="6" t="s">
        <v>335</v>
      </c>
      <c r="AH282" s="6" t="s">
        <v>339</v>
      </c>
      <c r="AI282" s="6" t="s">
        <v>286</v>
      </c>
      <c r="AJ282" s="9">
        <v>40</v>
      </c>
      <c r="AK282" s="8">
        <v>40</v>
      </c>
      <c r="AL282" s="8">
        <v>40</v>
      </c>
      <c r="AM282" s="8">
        <v>40</v>
      </c>
      <c r="AN282" s="8">
        <v>40</v>
      </c>
      <c r="AO282" s="13">
        <v>40</v>
      </c>
      <c r="AP282" s="5"/>
    </row>
    <row r="283" spans="1:42">
      <c r="A283" s="12">
        <v>282</v>
      </c>
      <c r="B283" s="6" t="s">
        <v>1163</v>
      </c>
      <c r="C283" s="6" t="s">
        <v>1988</v>
      </c>
      <c r="D283" s="6" t="s">
        <v>348</v>
      </c>
      <c r="E283" s="6" t="s">
        <v>86</v>
      </c>
      <c r="F283" s="7">
        <v>46158</v>
      </c>
      <c r="G283" s="6" t="s">
        <v>337</v>
      </c>
      <c r="H283" s="6" t="s">
        <v>94</v>
      </c>
      <c r="I283" s="6" t="s">
        <v>94</v>
      </c>
      <c r="J283" s="6" t="s">
        <v>90</v>
      </c>
      <c r="K283" s="6" t="s">
        <v>91</v>
      </c>
      <c r="L283" s="6" t="s">
        <v>92</v>
      </c>
      <c r="M283" s="6" t="s">
        <v>90</v>
      </c>
      <c r="N283" s="6" t="s">
        <v>94</v>
      </c>
      <c r="O283" s="6" t="s">
        <v>94</v>
      </c>
      <c r="P283" s="6" t="s">
        <v>131</v>
      </c>
      <c r="Q283" s="6" t="s">
        <v>104</v>
      </c>
      <c r="R283" s="6" t="s">
        <v>1643</v>
      </c>
      <c r="S283" s="6" t="s">
        <v>1989</v>
      </c>
      <c r="T283" s="6" t="s">
        <v>94</v>
      </c>
      <c r="U283" s="6" t="s">
        <v>94</v>
      </c>
      <c r="V283" s="6" t="s">
        <v>94</v>
      </c>
      <c r="W283" s="6" t="s">
        <v>338</v>
      </c>
      <c r="X283" s="6" t="s">
        <v>1643</v>
      </c>
      <c r="Y283" s="6" t="s">
        <v>1643</v>
      </c>
      <c r="Z283" s="6" t="s">
        <v>1643</v>
      </c>
      <c r="AA283" s="8">
        <v>1</v>
      </c>
      <c r="AB283" s="8">
        <v>1</v>
      </c>
      <c r="AC283" s="8">
        <v>1</v>
      </c>
      <c r="AD283" s="8">
        <v>1</v>
      </c>
      <c r="AE283" s="8">
        <v>100</v>
      </c>
      <c r="AF283" s="6" t="s">
        <v>282</v>
      </c>
      <c r="AG283" s="6" t="s">
        <v>283</v>
      </c>
      <c r="AH283" s="6" t="s">
        <v>301</v>
      </c>
      <c r="AI283" s="6" t="s">
        <v>286</v>
      </c>
      <c r="AJ283" s="9">
        <v>40</v>
      </c>
      <c r="AK283" s="8">
        <v>40</v>
      </c>
      <c r="AL283" s="8">
        <v>40</v>
      </c>
      <c r="AM283" s="8">
        <v>40</v>
      </c>
      <c r="AN283" s="8">
        <v>40</v>
      </c>
      <c r="AO283" s="13">
        <v>40</v>
      </c>
      <c r="AP283" s="5"/>
    </row>
    <row r="284" spans="1:42">
      <c r="A284" s="12">
        <v>283</v>
      </c>
      <c r="B284" s="6" t="s">
        <v>1165</v>
      </c>
      <c r="C284" s="6" t="s">
        <v>1990</v>
      </c>
      <c r="D284" s="6" t="s">
        <v>348</v>
      </c>
      <c r="E284" s="6" t="s">
        <v>86</v>
      </c>
      <c r="F284" s="7">
        <v>43359</v>
      </c>
      <c r="G284" s="6" t="s">
        <v>14</v>
      </c>
      <c r="H284" s="6" t="s">
        <v>120</v>
      </c>
      <c r="I284" s="6" t="s">
        <v>1167</v>
      </c>
      <c r="J284" s="6" t="s">
        <v>90</v>
      </c>
      <c r="K284" s="6" t="s">
        <v>91</v>
      </c>
      <c r="L284" s="6" t="s">
        <v>92</v>
      </c>
      <c r="M284" s="6" t="s">
        <v>90</v>
      </c>
      <c r="N284" s="6" t="s">
        <v>117</v>
      </c>
      <c r="O284" s="6" t="s">
        <v>94</v>
      </c>
      <c r="P284" s="6" t="s">
        <v>184</v>
      </c>
      <c r="Q284" s="6" t="s">
        <v>104</v>
      </c>
      <c r="R284" s="6" t="s">
        <v>1643</v>
      </c>
      <c r="S284" s="6" t="s">
        <v>94</v>
      </c>
      <c r="T284" s="6" t="s">
        <v>94</v>
      </c>
      <c r="U284" s="6" t="s">
        <v>94</v>
      </c>
      <c r="V284" s="6" t="s">
        <v>94</v>
      </c>
      <c r="W284" s="6" t="s">
        <v>422</v>
      </c>
      <c r="X284" s="6" t="s">
        <v>1643</v>
      </c>
      <c r="Y284" s="6" t="s">
        <v>1643</v>
      </c>
      <c r="Z284" s="6" t="s">
        <v>1643</v>
      </c>
      <c r="AA284" s="8">
        <v>1</v>
      </c>
      <c r="AB284" s="8">
        <v>1</v>
      </c>
      <c r="AC284" s="8">
        <v>1</v>
      </c>
      <c r="AD284" s="8">
        <v>1</v>
      </c>
      <c r="AE284" s="8">
        <v>100</v>
      </c>
      <c r="AF284" s="6" t="s">
        <v>351</v>
      </c>
      <c r="AG284" s="6" t="s">
        <v>283</v>
      </c>
      <c r="AH284" s="6" t="s">
        <v>348</v>
      </c>
      <c r="AI284" s="6" t="s">
        <v>286</v>
      </c>
      <c r="AJ284" s="9">
        <v>40</v>
      </c>
      <c r="AK284" s="8">
        <v>40</v>
      </c>
      <c r="AL284" s="8">
        <v>40</v>
      </c>
      <c r="AM284" s="8">
        <v>40</v>
      </c>
      <c r="AN284" s="8">
        <v>40</v>
      </c>
      <c r="AO284" s="13">
        <v>40</v>
      </c>
      <c r="AP284" s="5"/>
    </row>
    <row r="285" spans="1:42">
      <c r="A285" s="12">
        <v>284</v>
      </c>
      <c r="B285" s="6" t="s">
        <v>1168</v>
      </c>
      <c r="C285" s="6" t="s">
        <v>1991</v>
      </c>
      <c r="D285" s="6" t="s">
        <v>1171</v>
      </c>
      <c r="E285" s="6" t="s">
        <v>86</v>
      </c>
      <c r="F285" s="7">
        <v>45558</v>
      </c>
      <c r="G285" s="6" t="s">
        <v>288</v>
      </c>
      <c r="H285" s="6" t="s">
        <v>94</v>
      </c>
      <c r="I285" s="6" t="s">
        <v>1170</v>
      </c>
      <c r="J285" s="6" t="s">
        <v>90</v>
      </c>
      <c r="K285" s="6" t="s">
        <v>91</v>
      </c>
      <c r="L285" s="6" t="s">
        <v>92</v>
      </c>
      <c r="M285" s="6" t="s">
        <v>90</v>
      </c>
      <c r="N285" s="6" t="s">
        <v>94</v>
      </c>
      <c r="O285" s="6" t="s">
        <v>94</v>
      </c>
      <c r="P285" s="6" t="s">
        <v>550</v>
      </c>
      <c r="Q285" s="6" t="s">
        <v>95</v>
      </c>
      <c r="R285" s="6" t="s">
        <v>1643</v>
      </c>
      <c r="S285" s="6" t="s">
        <v>1786</v>
      </c>
      <c r="T285" s="6" t="s">
        <v>94</v>
      </c>
      <c r="U285" s="6" t="s">
        <v>94</v>
      </c>
      <c r="V285" s="6" t="s">
        <v>94</v>
      </c>
      <c r="W285" s="6" t="s">
        <v>291</v>
      </c>
      <c r="X285" s="6" t="s">
        <v>1643</v>
      </c>
      <c r="Y285" s="6" t="s">
        <v>1643</v>
      </c>
      <c r="Z285" s="6" t="s">
        <v>1643</v>
      </c>
      <c r="AA285" s="8">
        <v>1</v>
      </c>
      <c r="AB285" s="8">
        <v>1</v>
      </c>
      <c r="AC285" s="8">
        <v>1</v>
      </c>
      <c r="AD285" s="8">
        <v>1</v>
      </c>
      <c r="AE285" s="8">
        <v>100</v>
      </c>
      <c r="AF285" s="6" t="s">
        <v>351</v>
      </c>
      <c r="AG285" s="6" t="s">
        <v>283</v>
      </c>
      <c r="AH285" s="6" t="s">
        <v>348</v>
      </c>
      <c r="AI285" s="6" t="s">
        <v>286</v>
      </c>
      <c r="AJ285" s="9">
        <v>40</v>
      </c>
      <c r="AK285" s="8">
        <v>40</v>
      </c>
      <c r="AL285" s="8">
        <v>40</v>
      </c>
      <c r="AM285" s="8">
        <v>40</v>
      </c>
      <c r="AN285" s="8">
        <v>40</v>
      </c>
      <c r="AO285" s="13">
        <v>40</v>
      </c>
      <c r="AP285" s="5"/>
    </row>
    <row r="286" spans="1:42">
      <c r="A286" s="12">
        <v>285</v>
      </c>
      <c r="B286" s="6" t="s">
        <v>1172</v>
      </c>
      <c r="C286" s="6" t="s">
        <v>1992</v>
      </c>
      <c r="D286" s="6" t="s">
        <v>1177</v>
      </c>
      <c r="E286" s="6" t="s">
        <v>86</v>
      </c>
      <c r="F286" s="7">
        <v>41919</v>
      </c>
      <c r="G286" s="6" t="s">
        <v>1174</v>
      </c>
      <c r="H286" s="6" t="s">
        <v>182</v>
      </c>
      <c r="I286" s="6" t="s">
        <v>1175</v>
      </c>
      <c r="J286" s="6" t="s">
        <v>90</v>
      </c>
      <c r="K286" s="6" t="s">
        <v>91</v>
      </c>
      <c r="L286" s="6" t="s">
        <v>92</v>
      </c>
      <c r="M286" s="6" t="s">
        <v>90</v>
      </c>
      <c r="N286" s="6" t="s">
        <v>93</v>
      </c>
      <c r="O286" s="6" t="s">
        <v>122</v>
      </c>
      <c r="P286" s="6" t="s">
        <v>93</v>
      </c>
      <c r="Q286" s="6" t="s">
        <v>122</v>
      </c>
      <c r="R286" s="6" t="s">
        <v>1643</v>
      </c>
      <c r="S286" s="6" t="s">
        <v>94</v>
      </c>
      <c r="T286" s="6" t="s">
        <v>94</v>
      </c>
      <c r="U286" s="6" t="s">
        <v>94</v>
      </c>
      <c r="V286" s="6" t="s">
        <v>94</v>
      </c>
      <c r="W286" s="6" t="s">
        <v>1176</v>
      </c>
      <c r="X286" s="6" t="s">
        <v>1643</v>
      </c>
      <c r="Y286" s="6" t="s">
        <v>1643</v>
      </c>
      <c r="Z286" s="6" t="s">
        <v>1643</v>
      </c>
      <c r="AA286" s="8">
        <v>1</v>
      </c>
      <c r="AB286" s="8">
        <v>1</v>
      </c>
      <c r="AC286" s="8">
        <v>1</v>
      </c>
      <c r="AD286" s="8">
        <v>1</v>
      </c>
      <c r="AE286" s="8">
        <v>100</v>
      </c>
      <c r="AF286" s="6" t="s">
        <v>446</v>
      </c>
      <c r="AG286" s="6" t="s">
        <v>774</v>
      </c>
      <c r="AH286" s="6" t="s">
        <v>1171</v>
      </c>
      <c r="AI286" s="6" t="s">
        <v>448</v>
      </c>
      <c r="AJ286" s="9">
        <v>40</v>
      </c>
      <c r="AK286" s="8">
        <v>40</v>
      </c>
      <c r="AL286" s="8">
        <v>40</v>
      </c>
      <c r="AM286" s="8">
        <v>40</v>
      </c>
      <c r="AN286" s="8">
        <v>40</v>
      </c>
      <c r="AO286" s="13">
        <v>40</v>
      </c>
      <c r="AP286" s="5"/>
    </row>
    <row r="287" spans="1:42">
      <c r="A287" s="12">
        <v>286</v>
      </c>
      <c r="B287" s="6" t="s">
        <v>1178</v>
      </c>
      <c r="C287" s="6" t="s">
        <v>1993</v>
      </c>
      <c r="D287" s="6" t="s">
        <v>305</v>
      </c>
      <c r="E287" s="6" t="s">
        <v>86</v>
      </c>
      <c r="F287" s="7">
        <v>43497</v>
      </c>
      <c r="G287" s="6" t="s">
        <v>406</v>
      </c>
      <c r="H287" s="6" t="s">
        <v>420</v>
      </c>
      <c r="I287" s="6" t="s">
        <v>1180</v>
      </c>
      <c r="J287" s="6" t="s">
        <v>213</v>
      </c>
      <c r="K287" s="6" t="s">
        <v>91</v>
      </c>
      <c r="L287" s="6" t="s">
        <v>92</v>
      </c>
      <c r="M287" s="6" t="s">
        <v>213</v>
      </c>
      <c r="N287" s="6" t="s">
        <v>346</v>
      </c>
      <c r="O287" s="6" t="s">
        <v>94</v>
      </c>
      <c r="P287" s="6" t="s">
        <v>346</v>
      </c>
      <c r="Q287" s="6" t="s">
        <v>417</v>
      </c>
      <c r="R287" s="6" t="s">
        <v>1689</v>
      </c>
      <c r="S287" s="6" t="s">
        <v>94</v>
      </c>
      <c r="T287" s="6" t="s">
        <v>94</v>
      </c>
      <c r="U287" s="6" t="s">
        <v>94</v>
      </c>
      <c r="V287" s="6" t="s">
        <v>94</v>
      </c>
      <c r="W287" s="6" t="s">
        <v>409</v>
      </c>
      <c r="X287" s="6" t="s">
        <v>1689</v>
      </c>
      <c r="Y287" s="6" t="s">
        <v>1689</v>
      </c>
      <c r="Z287" s="6" t="s">
        <v>1689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6" t="s">
        <v>446</v>
      </c>
      <c r="AG287" s="6" t="s">
        <v>1181</v>
      </c>
      <c r="AH287" s="6" t="s">
        <v>1177</v>
      </c>
      <c r="AI287" s="6" t="s">
        <v>448</v>
      </c>
      <c r="AJ287" s="9">
        <v>0</v>
      </c>
      <c r="AK287" s="8">
        <v>0</v>
      </c>
      <c r="AL287" s="8">
        <v>0</v>
      </c>
      <c r="AM287" s="8">
        <v>0</v>
      </c>
      <c r="AN287" s="8">
        <v>0</v>
      </c>
      <c r="AO287" s="13">
        <v>0</v>
      </c>
      <c r="AP287" s="5"/>
    </row>
    <row r="288" spans="1:42">
      <c r="A288" s="12">
        <v>287</v>
      </c>
      <c r="B288" s="6" t="s">
        <v>1182</v>
      </c>
      <c r="C288" s="6" t="s">
        <v>1994</v>
      </c>
      <c r="D288" s="6" t="s">
        <v>387</v>
      </c>
      <c r="E288" s="6" t="s">
        <v>86</v>
      </c>
      <c r="F288" s="7">
        <v>45246</v>
      </c>
      <c r="G288" s="6" t="s">
        <v>204</v>
      </c>
      <c r="H288" s="6" t="s">
        <v>134</v>
      </c>
      <c r="I288" s="6" t="s">
        <v>1184</v>
      </c>
      <c r="J288" s="6" t="s">
        <v>90</v>
      </c>
      <c r="K288" s="6" t="s">
        <v>91</v>
      </c>
      <c r="L288" s="6" t="s">
        <v>92</v>
      </c>
      <c r="M288" s="6" t="s">
        <v>90</v>
      </c>
      <c r="N288" s="6" t="s">
        <v>94</v>
      </c>
      <c r="O288" s="6" t="s">
        <v>94</v>
      </c>
      <c r="P288" s="6" t="s">
        <v>43</v>
      </c>
      <c r="Q288" s="6" t="s">
        <v>104</v>
      </c>
      <c r="R288" s="6" t="s">
        <v>1643</v>
      </c>
      <c r="S288" s="6" t="s">
        <v>1920</v>
      </c>
      <c r="T288" s="6" t="s">
        <v>94</v>
      </c>
      <c r="U288" s="6" t="s">
        <v>94</v>
      </c>
      <c r="V288" s="6" t="s">
        <v>94</v>
      </c>
      <c r="W288" s="6" t="s">
        <v>403</v>
      </c>
      <c r="X288" s="6" t="s">
        <v>1643</v>
      </c>
      <c r="Y288" s="6" t="s">
        <v>1643</v>
      </c>
      <c r="Z288" s="6" t="s">
        <v>1643</v>
      </c>
      <c r="AA288" s="8">
        <v>1</v>
      </c>
      <c r="AB288" s="8">
        <v>1</v>
      </c>
      <c r="AC288" s="8">
        <v>1</v>
      </c>
      <c r="AD288" s="8">
        <v>1</v>
      </c>
      <c r="AE288" s="8">
        <v>100</v>
      </c>
      <c r="AF288" s="6" t="s">
        <v>308</v>
      </c>
      <c r="AG288" s="6" t="s">
        <v>283</v>
      </c>
      <c r="AH288" s="6" t="s">
        <v>305</v>
      </c>
      <c r="AI288" s="6" t="s">
        <v>286</v>
      </c>
      <c r="AJ288" s="9">
        <v>40</v>
      </c>
      <c r="AK288" s="8">
        <v>40</v>
      </c>
      <c r="AL288" s="8">
        <v>40</v>
      </c>
      <c r="AM288" s="8">
        <v>40</v>
      </c>
      <c r="AN288" s="8">
        <v>40</v>
      </c>
      <c r="AO288" s="13">
        <v>40</v>
      </c>
      <c r="AP288" s="5"/>
    </row>
    <row r="289" spans="1:42">
      <c r="A289" s="12">
        <v>288</v>
      </c>
      <c r="B289" s="6" t="s">
        <v>1185</v>
      </c>
      <c r="C289" s="6" t="s">
        <v>1995</v>
      </c>
      <c r="D289" s="6" t="s">
        <v>285</v>
      </c>
      <c r="E289" s="6" t="s">
        <v>86</v>
      </c>
      <c r="F289" s="7">
        <v>44271</v>
      </c>
      <c r="G289" s="6" t="s">
        <v>732</v>
      </c>
      <c r="H289" s="6" t="s">
        <v>120</v>
      </c>
      <c r="I289" s="6" t="s">
        <v>1187</v>
      </c>
      <c r="J289" s="6" t="s">
        <v>90</v>
      </c>
      <c r="K289" s="6" t="s">
        <v>91</v>
      </c>
      <c r="L289" s="6" t="s">
        <v>92</v>
      </c>
      <c r="M289" s="6" t="s">
        <v>90</v>
      </c>
      <c r="N289" s="6" t="s">
        <v>43</v>
      </c>
      <c r="O289" s="6" t="s">
        <v>104</v>
      </c>
      <c r="P289" s="6" t="s">
        <v>43</v>
      </c>
      <c r="Q289" s="6" t="s">
        <v>104</v>
      </c>
      <c r="R289" s="6" t="s">
        <v>1643</v>
      </c>
      <c r="S289" s="6" t="s">
        <v>1996</v>
      </c>
      <c r="T289" s="6" t="s">
        <v>94</v>
      </c>
      <c r="U289" s="6" t="s">
        <v>94</v>
      </c>
      <c r="V289" s="6" t="s">
        <v>94</v>
      </c>
      <c r="W289" s="6" t="s">
        <v>734</v>
      </c>
      <c r="X289" s="6" t="s">
        <v>1643</v>
      </c>
      <c r="Y289" s="6" t="s">
        <v>1643</v>
      </c>
      <c r="Z289" s="6" t="s">
        <v>1643</v>
      </c>
      <c r="AA289" s="8">
        <v>1</v>
      </c>
      <c r="AB289" s="8">
        <v>1</v>
      </c>
      <c r="AC289" s="8">
        <v>1</v>
      </c>
      <c r="AD289" s="8">
        <v>1</v>
      </c>
      <c r="AE289" s="8">
        <v>100</v>
      </c>
      <c r="AF289" s="6" t="s">
        <v>391</v>
      </c>
      <c r="AG289" s="6" t="s">
        <v>386</v>
      </c>
      <c r="AH289" s="6" t="s">
        <v>387</v>
      </c>
      <c r="AI289" s="6" t="s">
        <v>286</v>
      </c>
      <c r="AJ289" s="9">
        <v>40</v>
      </c>
      <c r="AK289" s="8">
        <v>40</v>
      </c>
      <c r="AL289" s="8">
        <v>40</v>
      </c>
      <c r="AM289" s="8">
        <v>40</v>
      </c>
      <c r="AN289" s="8">
        <v>40</v>
      </c>
      <c r="AO289" s="13">
        <v>40</v>
      </c>
      <c r="AP289" s="5"/>
    </row>
    <row r="290" spans="1:42">
      <c r="A290" s="12">
        <v>289</v>
      </c>
      <c r="B290" s="6" t="s">
        <v>1188</v>
      </c>
      <c r="C290" s="6" t="s">
        <v>1997</v>
      </c>
      <c r="D290" s="6" t="s">
        <v>387</v>
      </c>
      <c r="E290" s="6" t="s">
        <v>86</v>
      </c>
      <c r="F290" s="7">
        <v>45711</v>
      </c>
      <c r="G290" s="6" t="s">
        <v>4</v>
      </c>
      <c r="H290" s="6" t="s">
        <v>182</v>
      </c>
      <c r="I290" s="6" t="s">
        <v>1190</v>
      </c>
      <c r="J290" s="6" t="s">
        <v>90</v>
      </c>
      <c r="K290" s="6" t="s">
        <v>91</v>
      </c>
      <c r="L290" s="6" t="s">
        <v>92</v>
      </c>
      <c r="M290" s="6" t="s">
        <v>90</v>
      </c>
      <c r="N290" s="6" t="s">
        <v>93</v>
      </c>
      <c r="O290" s="6" t="s">
        <v>94</v>
      </c>
      <c r="P290" s="6" t="s">
        <v>93</v>
      </c>
      <c r="Q290" s="6" t="s">
        <v>122</v>
      </c>
      <c r="R290" s="6" t="s">
        <v>1643</v>
      </c>
      <c r="S290" s="6" t="s">
        <v>94</v>
      </c>
      <c r="T290" s="6" t="s">
        <v>94</v>
      </c>
      <c r="U290" s="6" t="s">
        <v>94</v>
      </c>
      <c r="V290" s="6" t="s">
        <v>94</v>
      </c>
      <c r="W290" s="6" t="s">
        <v>399</v>
      </c>
      <c r="X290" s="6" t="s">
        <v>1643</v>
      </c>
      <c r="Y290" s="6" t="s">
        <v>1643</v>
      </c>
      <c r="Z290" s="6" t="s">
        <v>1643</v>
      </c>
      <c r="AA290" s="8">
        <v>1</v>
      </c>
      <c r="AB290" s="8">
        <v>1</v>
      </c>
      <c r="AC290" s="8">
        <v>1</v>
      </c>
      <c r="AD290" s="8">
        <v>1</v>
      </c>
      <c r="AE290" s="8">
        <v>100</v>
      </c>
      <c r="AF290" s="6" t="s">
        <v>282</v>
      </c>
      <c r="AG290" s="6" t="s">
        <v>283</v>
      </c>
      <c r="AH290" s="6" t="s">
        <v>285</v>
      </c>
      <c r="AI290" s="6" t="s">
        <v>286</v>
      </c>
      <c r="AJ290" s="9">
        <v>40</v>
      </c>
      <c r="AK290" s="8">
        <v>40</v>
      </c>
      <c r="AL290" s="8">
        <v>40</v>
      </c>
      <c r="AM290" s="8">
        <v>40</v>
      </c>
      <c r="AN290" s="8">
        <v>40</v>
      </c>
      <c r="AO290" s="13">
        <v>40</v>
      </c>
      <c r="AP290" s="5"/>
    </row>
    <row r="291" spans="1:42">
      <c r="A291" s="12">
        <v>290</v>
      </c>
      <c r="B291" s="6" t="s">
        <v>1191</v>
      </c>
      <c r="C291" s="6" t="s">
        <v>1998</v>
      </c>
      <c r="D291" s="6" t="s">
        <v>348</v>
      </c>
      <c r="E291" s="6" t="s">
        <v>86</v>
      </c>
      <c r="F291" s="7">
        <v>45123</v>
      </c>
      <c r="G291" s="6" t="s">
        <v>111</v>
      </c>
      <c r="H291" s="6" t="s">
        <v>389</v>
      </c>
      <c r="I291" s="6" t="s">
        <v>1193</v>
      </c>
      <c r="J291" s="6" t="s">
        <v>90</v>
      </c>
      <c r="K291" s="6" t="s">
        <v>91</v>
      </c>
      <c r="L291" s="6" t="s">
        <v>92</v>
      </c>
      <c r="M291" s="6" t="s">
        <v>90</v>
      </c>
      <c r="N291" s="6" t="s">
        <v>131</v>
      </c>
      <c r="O291" s="6" t="s">
        <v>95</v>
      </c>
      <c r="P291" s="6" t="s">
        <v>131</v>
      </c>
      <c r="Q291" s="6" t="s">
        <v>95</v>
      </c>
      <c r="R291" s="6" t="s">
        <v>1643</v>
      </c>
      <c r="S291" s="6" t="s">
        <v>94</v>
      </c>
      <c r="T291" s="6" t="s">
        <v>94</v>
      </c>
      <c r="U291" s="6" t="s">
        <v>94</v>
      </c>
      <c r="V291" s="6" t="s">
        <v>94</v>
      </c>
      <c r="W291" s="6" t="s">
        <v>281</v>
      </c>
      <c r="X291" s="6" t="s">
        <v>1643</v>
      </c>
      <c r="Y291" s="6" t="s">
        <v>1643</v>
      </c>
      <c r="Z291" s="6" t="s">
        <v>1643</v>
      </c>
      <c r="AA291" s="8">
        <v>1</v>
      </c>
      <c r="AB291" s="8">
        <v>1</v>
      </c>
      <c r="AC291" s="8">
        <v>1</v>
      </c>
      <c r="AD291" s="8">
        <v>1</v>
      </c>
      <c r="AE291" s="8">
        <v>100</v>
      </c>
      <c r="AF291" s="6" t="s">
        <v>391</v>
      </c>
      <c r="AG291" s="6" t="s">
        <v>386</v>
      </c>
      <c r="AH291" s="6" t="s">
        <v>387</v>
      </c>
      <c r="AI291" s="6" t="s">
        <v>286</v>
      </c>
      <c r="AJ291" s="9">
        <v>40</v>
      </c>
      <c r="AK291" s="8">
        <v>40</v>
      </c>
      <c r="AL291" s="8">
        <v>40</v>
      </c>
      <c r="AM291" s="8">
        <v>40</v>
      </c>
      <c r="AN291" s="8">
        <v>40</v>
      </c>
      <c r="AO291" s="13">
        <v>40</v>
      </c>
      <c r="AP291" s="5"/>
    </row>
    <row r="292" spans="1:42">
      <c r="A292" s="12">
        <v>291</v>
      </c>
      <c r="B292" s="6" t="s">
        <v>1194</v>
      </c>
      <c r="C292" s="6" t="s">
        <v>1999</v>
      </c>
      <c r="D292" s="6" t="s">
        <v>305</v>
      </c>
      <c r="E292" s="6" t="s">
        <v>86</v>
      </c>
      <c r="F292" s="7">
        <v>44332</v>
      </c>
      <c r="G292" s="6" t="s">
        <v>204</v>
      </c>
      <c r="H292" s="6" t="s">
        <v>252</v>
      </c>
      <c r="I292" s="6" t="s">
        <v>1196</v>
      </c>
      <c r="J292" s="6" t="s">
        <v>90</v>
      </c>
      <c r="K292" s="6" t="s">
        <v>91</v>
      </c>
      <c r="L292" s="6" t="s">
        <v>92</v>
      </c>
      <c r="M292" s="6" t="s">
        <v>90</v>
      </c>
      <c r="N292" s="6" t="s">
        <v>43</v>
      </c>
      <c r="O292" s="6" t="s">
        <v>122</v>
      </c>
      <c r="P292" s="6" t="s">
        <v>43</v>
      </c>
      <c r="Q292" s="6" t="s">
        <v>104</v>
      </c>
      <c r="R292" s="6" t="s">
        <v>1643</v>
      </c>
      <c r="S292" s="6" t="s">
        <v>94</v>
      </c>
      <c r="T292" s="6" t="s">
        <v>94</v>
      </c>
      <c r="U292" s="6" t="s">
        <v>94</v>
      </c>
      <c r="V292" s="6" t="s">
        <v>94</v>
      </c>
      <c r="W292" s="6" t="s">
        <v>403</v>
      </c>
      <c r="X292" s="6" t="s">
        <v>1643</v>
      </c>
      <c r="Y292" s="6" t="s">
        <v>1643</v>
      </c>
      <c r="Z292" s="6" t="s">
        <v>1643</v>
      </c>
      <c r="AA292" s="8">
        <v>1</v>
      </c>
      <c r="AB292" s="8">
        <v>1</v>
      </c>
      <c r="AC292" s="8">
        <v>1</v>
      </c>
      <c r="AD292" s="8">
        <v>1</v>
      </c>
      <c r="AE292" s="8">
        <v>100</v>
      </c>
      <c r="AF292" s="6" t="s">
        <v>351</v>
      </c>
      <c r="AG292" s="6" t="s">
        <v>283</v>
      </c>
      <c r="AH292" s="6" t="s">
        <v>348</v>
      </c>
      <c r="AI292" s="6" t="s">
        <v>286</v>
      </c>
      <c r="AJ292" s="9">
        <v>40</v>
      </c>
      <c r="AK292" s="8">
        <v>40</v>
      </c>
      <c r="AL292" s="8">
        <v>40</v>
      </c>
      <c r="AM292" s="8">
        <v>40</v>
      </c>
      <c r="AN292" s="8">
        <v>40</v>
      </c>
      <c r="AO292" s="13">
        <v>40</v>
      </c>
      <c r="AP292" s="5"/>
    </row>
    <row r="293" spans="1:42">
      <c r="A293" s="12">
        <v>292</v>
      </c>
      <c r="B293" s="6" t="s">
        <v>1197</v>
      </c>
      <c r="C293" s="6" t="s">
        <v>2000</v>
      </c>
      <c r="D293" s="6" t="s">
        <v>348</v>
      </c>
      <c r="E293" s="6" t="s">
        <v>86</v>
      </c>
      <c r="F293" s="7">
        <v>43297</v>
      </c>
      <c r="G293" s="6" t="s">
        <v>889</v>
      </c>
      <c r="H293" s="6" t="s">
        <v>151</v>
      </c>
      <c r="I293" s="6" t="s">
        <v>1199</v>
      </c>
      <c r="J293" s="6" t="s">
        <v>90</v>
      </c>
      <c r="K293" s="6" t="s">
        <v>91</v>
      </c>
      <c r="L293" s="6" t="s">
        <v>92</v>
      </c>
      <c r="M293" s="6" t="s">
        <v>90</v>
      </c>
      <c r="N293" s="6" t="s">
        <v>131</v>
      </c>
      <c r="O293" s="6" t="s">
        <v>94</v>
      </c>
      <c r="P293" s="6" t="s">
        <v>313</v>
      </c>
      <c r="Q293" s="6" t="s">
        <v>122</v>
      </c>
      <c r="R293" s="6" t="s">
        <v>1643</v>
      </c>
      <c r="S293" s="6" t="s">
        <v>94</v>
      </c>
      <c r="T293" s="6" t="s">
        <v>94</v>
      </c>
      <c r="U293" s="6" t="s">
        <v>94</v>
      </c>
      <c r="V293" s="6" t="s">
        <v>94</v>
      </c>
      <c r="W293" s="6" t="s">
        <v>891</v>
      </c>
      <c r="X293" s="6" t="s">
        <v>1643</v>
      </c>
      <c r="Y293" s="6" t="s">
        <v>1643</v>
      </c>
      <c r="Z293" s="6" t="s">
        <v>1643</v>
      </c>
      <c r="AA293" s="8">
        <v>0.94</v>
      </c>
      <c r="AB293" s="8">
        <v>0.94</v>
      </c>
      <c r="AC293" s="8">
        <v>0.94</v>
      </c>
      <c r="AD293" s="8">
        <v>0.94</v>
      </c>
      <c r="AE293" s="8">
        <v>93.75</v>
      </c>
      <c r="AF293" s="6" t="s">
        <v>308</v>
      </c>
      <c r="AG293" s="6" t="s">
        <v>283</v>
      </c>
      <c r="AH293" s="6" t="s">
        <v>305</v>
      </c>
      <c r="AI293" s="6" t="s">
        <v>286</v>
      </c>
      <c r="AJ293" s="9">
        <v>37.5</v>
      </c>
      <c r="AK293" s="8">
        <v>37.5</v>
      </c>
      <c r="AL293" s="8">
        <v>37.5</v>
      </c>
      <c r="AM293" s="8">
        <v>37.5</v>
      </c>
      <c r="AN293" s="8">
        <v>37.5</v>
      </c>
      <c r="AO293" s="13">
        <v>37.5</v>
      </c>
      <c r="AP293" s="5"/>
    </row>
    <row r="294" spans="1:42">
      <c r="A294" s="12">
        <v>293</v>
      </c>
      <c r="B294" s="6" t="s">
        <v>1200</v>
      </c>
      <c r="C294" s="6" t="s">
        <v>2001</v>
      </c>
      <c r="D294" s="6" t="s">
        <v>298</v>
      </c>
      <c r="E294" s="6" t="s">
        <v>86</v>
      </c>
      <c r="F294" s="7">
        <v>46014</v>
      </c>
      <c r="G294" s="6" t="s">
        <v>100</v>
      </c>
      <c r="H294" s="6" t="s">
        <v>94</v>
      </c>
      <c r="I294" s="6" t="s">
        <v>94</v>
      </c>
      <c r="J294" s="6" t="s">
        <v>90</v>
      </c>
      <c r="K294" s="6" t="s">
        <v>91</v>
      </c>
      <c r="L294" s="6" t="s">
        <v>92</v>
      </c>
      <c r="M294" s="6" t="s">
        <v>90</v>
      </c>
      <c r="N294" s="6" t="s">
        <v>94</v>
      </c>
      <c r="O294" s="6" t="s">
        <v>94</v>
      </c>
      <c r="P294" s="6" t="s">
        <v>93</v>
      </c>
      <c r="Q294" s="6" t="s">
        <v>95</v>
      </c>
      <c r="R294" s="6" t="s">
        <v>1643</v>
      </c>
      <c r="S294" s="6" t="s">
        <v>94</v>
      </c>
      <c r="T294" s="6" t="s">
        <v>94</v>
      </c>
      <c r="U294" s="6" t="s">
        <v>94</v>
      </c>
      <c r="V294" s="6" t="s">
        <v>94</v>
      </c>
      <c r="W294" s="6" t="s">
        <v>304</v>
      </c>
      <c r="X294" s="6" t="s">
        <v>1643</v>
      </c>
      <c r="Y294" s="6" t="s">
        <v>1643</v>
      </c>
      <c r="Z294" s="6" t="s">
        <v>1643</v>
      </c>
      <c r="AA294" s="8">
        <v>1</v>
      </c>
      <c r="AB294" s="8">
        <v>1</v>
      </c>
      <c r="AC294" s="8">
        <v>1</v>
      </c>
      <c r="AD294" s="8">
        <v>1</v>
      </c>
      <c r="AE294" s="8">
        <v>100</v>
      </c>
      <c r="AF294" s="6" t="s">
        <v>351</v>
      </c>
      <c r="AG294" s="6" t="s">
        <v>283</v>
      </c>
      <c r="AH294" s="6" t="s">
        <v>348</v>
      </c>
      <c r="AI294" s="6" t="s">
        <v>286</v>
      </c>
      <c r="AJ294" s="9">
        <v>40</v>
      </c>
      <c r="AK294" s="8">
        <v>40</v>
      </c>
      <c r="AL294" s="8">
        <v>40</v>
      </c>
      <c r="AM294" s="8">
        <v>40</v>
      </c>
      <c r="AN294" s="8">
        <v>40</v>
      </c>
      <c r="AO294" s="13">
        <v>40</v>
      </c>
      <c r="AP294" s="5"/>
    </row>
    <row r="295" spans="1:42">
      <c r="A295" s="12">
        <v>294</v>
      </c>
      <c r="B295" s="6" t="s">
        <v>1202</v>
      </c>
      <c r="C295" s="6" t="s">
        <v>3</v>
      </c>
      <c r="D295" s="6" t="s">
        <v>653</v>
      </c>
      <c r="E295" s="6" t="s">
        <v>86</v>
      </c>
      <c r="F295" s="7">
        <v>44958</v>
      </c>
      <c r="G295" s="6" t="s">
        <v>87</v>
      </c>
      <c r="H295" s="6" t="s">
        <v>88</v>
      </c>
      <c r="I295" s="6" t="s">
        <v>89</v>
      </c>
      <c r="J295" s="6" t="s">
        <v>90</v>
      </c>
      <c r="K295" s="6" t="s">
        <v>91</v>
      </c>
      <c r="L295" s="6" t="s">
        <v>92</v>
      </c>
      <c r="M295" s="6" t="s">
        <v>90</v>
      </c>
      <c r="N295" s="6" t="s">
        <v>93</v>
      </c>
      <c r="O295" s="6" t="s">
        <v>94</v>
      </c>
      <c r="P295" s="6" t="s">
        <v>93</v>
      </c>
      <c r="Q295" s="6" t="s">
        <v>95</v>
      </c>
      <c r="R295" s="6" t="s">
        <v>1643</v>
      </c>
      <c r="S295" s="6" t="s">
        <v>94</v>
      </c>
      <c r="T295" s="6" t="s">
        <v>94</v>
      </c>
      <c r="U295" s="6" t="s">
        <v>94</v>
      </c>
      <c r="V295" s="6" t="s">
        <v>94</v>
      </c>
      <c r="W295" s="6" t="s">
        <v>490</v>
      </c>
      <c r="X295" s="6" t="s">
        <v>1643</v>
      </c>
      <c r="Y295" s="6" t="s">
        <v>1643</v>
      </c>
      <c r="Z295" s="6" t="s">
        <v>1643</v>
      </c>
      <c r="AA295" s="8">
        <v>1</v>
      </c>
      <c r="AB295" s="8">
        <v>1</v>
      </c>
      <c r="AC295" s="8">
        <v>1</v>
      </c>
      <c r="AD295" s="8">
        <v>1</v>
      </c>
      <c r="AE295" s="8">
        <v>100</v>
      </c>
      <c r="AF295" s="6" t="s">
        <v>300</v>
      </c>
      <c r="AG295" s="6" t="s">
        <v>283</v>
      </c>
      <c r="AH295" s="6" t="s">
        <v>298</v>
      </c>
      <c r="AI295" s="6" t="s">
        <v>286</v>
      </c>
      <c r="AJ295" s="9">
        <v>40</v>
      </c>
      <c r="AK295" s="8">
        <v>40</v>
      </c>
      <c r="AL295" s="8">
        <v>40</v>
      </c>
      <c r="AM295" s="8">
        <v>40</v>
      </c>
      <c r="AN295" s="8">
        <v>40</v>
      </c>
      <c r="AO295" s="13">
        <v>40</v>
      </c>
      <c r="AP295" s="5"/>
    </row>
    <row r="296" spans="1:42">
      <c r="A296" s="12">
        <v>295</v>
      </c>
      <c r="B296" s="6" t="s">
        <v>1204</v>
      </c>
      <c r="C296" s="6" t="s">
        <v>2002</v>
      </c>
      <c r="D296" s="6" t="s">
        <v>94</v>
      </c>
      <c r="E296" s="6" t="s">
        <v>86</v>
      </c>
      <c r="F296" s="7">
        <v>45001</v>
      </c>
      <c r="G296" s="6" t="s">
        <v>4</v>
      </c>
      <c r="H296" s="6" t="s">
        <v>311</v>
      </c>
      <c r="I296" s="6" t="s">
        <v>1206</v>
      </c>
      <c r="J296" s="6" t="s">
        <v>90</v>
      </c>
      <c r="K296" s="6" t="s">
        <v>91</v>
      </c>
      <c r="L296" s="6" t="s">
        <v>92</v>
      </c>
      <c r="M296" s="6" t="s">
        <v>90</v>
      </c>
      <c r="N296" s="6" t="s">
        <v>93</v>
      </c>
      <c r="O296" s="6" t="s">
        <v>94</v>
      </c>
      <c r="P296" s="6" t="s">
        <v>93</v>
      </c>
      <c r="Q296" s="6" t="s">
        <v>122</v>
      </c>
      <c r="R296" s="6" t="s">
        <v>1643</v>
      </c>
      <c r="S296" s="6" t="s">
        <v>94</v>
      </c>
      <c r="T296" s="6" t="s">
        <v>94</v>
      </c>
      <c r="U296" s="6" t="s">
        <v>94</v>
      </c>
      <c r="V296" s="6" t="s">
        <v>94</v>
      </c>
      <c r="W296" s="6" t="s">
        <v>399</v>
      </c>
      <c r="X296" s="6" t="s">
        <v>1643</v>
      </c>
      <c r="Y296" s="6" t="s">
        <v>1643</v>
      </c>
      <c r="Z296" s="6" t="s">
        <v>1643</v>
      </c>
      <c r="AA296" s="8">
        <v>1</v>
      </c>
      <c r="AB296" s="8">
        <v>1</v>
      </c>
      <c r="AC296" s="8">
        <v>1</v>
      </c>
      <c r="AD296" s="8">
        <v>1</v>
      </c>
      <c r="AE296" s="8">
        <v>100</v>
      </c>
      <c r="AF296" s="6" t="s">
        <v>334</v>
      </c>
      <c r="AG296" s="6" t="s">
        <v>335</v>
      </c>
      <c r="AH296" s="6" t="s">
        <v>653</v>
      </c>
      <c r="AI296" s="6" t="s">
        <v>286</v>
      </c>
      <c r="AJ296" s="9">
        <v>40</v>
      </c>
      <c r="AK296" s="8">
        <v>40</v>
      </c>
      <c r="AL296" s="8">
        <v>40</v>
      </c>
      <c r="AM296" s="8">
        <v>40</v>
      </c>
      <c r="AN296" s="8">
        <v>40</v>
      </c>
      <c r="AO296" s="13">
        <v>40</v>
      </c>
      <c r="AP296" s="5"/>
    </row>
    <row r="297" spans="1:42">
      <c r="A297" s="12">
        <v>296</v>
      </c>
      <c r="B297" s="6" t="s">
        <v>1207</v>
      </c>
      <c r="C297" s="6" t="s">
        <v>2003</v>
      </c>
      <c r="D297" s="6" t="s">
        <v>387</v>
      </c>
      <c r="E297" s="6" t="s">
        <v>86</v>
      </c>
      <c r="F297" s="7">
        <v>40288</v>
      </c>
      <c r="G297" s="6" t="s">
        <v>87</v>
      </c>
      <c r="H297" s="6" t="s">
        <v>182</v>
      </c>
      <c r="I297" s="6" t="s">
        <v>1209</v>
      </c>
      <c r="J297" s="6" t="s">
        <v>90</v>
      </c>
      <c r="K297" s="6" t="s">
        <v>91</v>
      </c>
      <c r="L297" s="6" t="s">
        <v>92</v>
      </c>
      <c r="M297" s="6" t="s">
        <v>90</v>
      </c>
      <c r="N297" s="6" t="s">
        <v>93</v>
      </c>
      <c r="O297" s="6" t="s">
        <v>94</v>
      </c>
      <c r="P297" s="6" t="s">
        <v>93</v>
      </c>
      <c r="Q297" s="6" t="s">
        <v>104</v>
      </c>
      <c r="R297" s="11" t="s">
        <v>1838</v>
      </c>
      <c r="S297" s="6" t="s">
        <v>94</v>
      </c>
      <c r="T297" s="6" t="s">
        <v>94</v>
      </c>
      <c r="U297" s="6" t="s">
        <v>94</v>
      </c>
      <c r="V297" s="6" t="s">
        <v>94</v>
      </c>
      <c r="W297" s="6" t="s">
        <v>490</v>
      </c>
      <c r="X297" s="6" t="s">
        <v>1652</v>
      </c>
      <c r="Y297" s="6" t="s">
        <v>1652</v>
      </c>
      <c r="Z297" s="6" t="s">
        <v>1652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6" t="s">
        <v>94</v>
      </c>
      <c r="AG297" s="6" t="s">
        <v>94</v>
      </c>
      <c r="AH297" s="6" t="s">
        <v>94</v>
      </c>
      <c r="AI297" s="6" t="s">
        <v>94</v>
      </c>
      <c r="AJ297" s="9">
        <v>0</v>
      </c>
      <c r="AK297" s="8">
        <v>0</v>
      </c>
      <c r="AL297" s="8">
        <v>0</v>
      </c>
      <c r="AM297" s="8">
        <v>0</v>
      </c>
      <c r="AN297" s="8">
        <v>0</v>
      </c>
      <c r="AO297" s="13">
        <v>0</v>
      </c>
      <c r="AP297" s="5"/>
    </row>
    <row r="298" spans="1:42">
      <c r="A298" s="12">
        <v>297</v>
      </c>
      <c r="B298" s="6" t="s">
        <v>1210</v>
      </c>
      <c r="C298" s="6" t="s">
        <v>2004</v>
      </c>
      <c r="D298" s="6" t="s">
        <v>387</v>
      </c>
      <c r="E298" s="6" t="s">
        <v>86</v>
      </c>
      <c r="F298" s="7">
        <v>45307</v>
      </c>
      <c r="G298" s="6" t="s">
        <v>1212</v>
      </c>
      <c r="H298" s="6" t="s">
        <v>622</v>
      </c>
      <c r="I298" s="6" t="s">
        <v>1213</v>
      </c>
      <c r="J298" s="6" t="s">
        <v>90</v>
      </c>
      <c r="K298" s="6" t="s">
        <v>91</v>
      </c>
      <c r="L298" s="6" t="s">
        <v>92</v>
      </c>
      <c r="M298" s="6" t="s">
        <v>90</v>
      </c>
      <c r="N298" s="6" t="s">
        <v>94</v>
      </c>
      <c r="O298" s="6" t="s">
        <v>94</v>
      </c>
      <c r="P298" s="6" t="s">
        <v>43</v>
      </c>
      <c r="Q298" s="6" t="s">
        <v>104</v>
      </c>
      <c r="R298" s="6" t="s">
        <v>1643</v>
      </c>
      <c r="S298" s="6" t="s">
        <v>1669</v>
      </c>
      <c r="T298" s="6" t="s">
        <v>94</v>
      </c>
      <c r="U298" s="6" t="s">
        <v>94</v>
      </c>
      <c r="V298" s="6" t="s">
        <v>94</v>
      </c>
      <c r="W298" s="6" t="s">
        <v>1214</v>
      </c>
      <c r="X298" s="6" t="s">
        <v>1652</v>
      </c>
      <c r="Y298" s="6" t="s">
        <v>1652</v>
      </c>
      <c r="Z298" s="6" t="s">
        <v>1652</v>
      </c>
      <c r="AA298" s="8">
        <v>0.81</v>
      </c>
      <c r="AB298" s="8">
        <v>0</v>
      </c>
      <c r="AC298" s="8">
        <v>0</v>
      </c>
      <c r="AD298" s="8">
        <v>0</v>
      </c>
      <c r="AE298" s="8">
        <v>85.714285709999999</v>
      </c>
      <c r="AF298" s="6" t="s">
        <v>391</v>
      </c>
      <c r="AG298" s="6" t="s">
        <v>386</v>
      </c>
      <c r="AH298" s="6" t="s">
        <v>387</v>
      </c>
      <c r="AI298" s="6" t="s">
        <v>286</v>
      </c>
      <c r="AJ298" s="9">
        <v>40</v>
      </c>
      <c r="AK298" s="8">
        <v>16</v>
      </c>
      <c r="AL298" s="8">
        <v>0</v>
      </c>
      <c r="AM298" s="8">
        <v>0</v>
      </c>
      <c r="AN298" s="8">
        <v>0</v>
      </c>
      <c r="AO298" s="13">
        <v>0</v>
      </c>
      <c r="AP298" s="5"/>
    </row>
    <row r="299" spans="1:42">
      <c r="A299" s="12">
        <v>298</v>
      </c>
      <c r="B299" s="6" t="s">
        <v>1215</v>
      </c>
      <c r="C299" s="6" t="s">
        <v>2005</v>
      </c>
      <c r="D299" s="6" t="s">
        <v>341</v>
      </c>
      <c r="E299" s="6" t="s">
        <v>86</v>
      </c>
      <c r="F299" s="7">
        <v>45093</v>
      </c>
      <c r="G299" s="6" t="s">
        <v>26</v>
      </c>
      <c r="H299" s="6" t="s">
        <v>344</v>
      </c>
      <c r="I299" s="6" t="s">
        <v>1217</v>
      </c>
      <c r="J299" s="6" t="s">
        <v>90</v>
      </c>
      <c r="K299" s="6" t="s">
        <v>91</v>
      </c>
      <c r="L299" s="6" t="s">
        <v>92</v>
      </c>
      <c r="M299" s="6" t="s">
        <v>90</v>
      </c>
      <c r="N299" s="6" t="s">
        <v>27</v>
      </c>
      <c r="O299" s="6" t="s">
        <v>104</v>
      </c>
      <c r="P299" s="6" t="s">
        <v>27</v>
      </c>
      <c r="Q299" s="6" t="s">
        <v>95</v>
      </c>
      <c r="R299" s="6" t="s">
        <v>1643</v>
      </c>
      <c r="S299" s="6" t="s">
        <v>94</v>
      </c>
      <c r="T299" s="6" t="s">
        <v>94</v>
      </c>
      <c r="U299" s="6" t="s">
        <v>94</v>
      </c>
      <c r="V299" s="6" t="s">
        <v>94</v>
      </c>
      <c r="W299" s="6" t="s">
        <v>296</v>
      </c>
      <c r="X299" s="6" t="s">
        <v>1643</v>
      </c>
      <c r="Y299" s="6" t="s">
        <v>1643</v>
      </c>
      <c r="Z299" s="6" t="s">
        <v>1643</v>
      </c>
      <c r="AA299" s="8">
        <v>1</v>
      </c>
      <c r="AB299" s="8">
        <v>1</v>
      </c>
      <c r="AC299" s="8">
        <v>1</v>
      </c>
      <c r="AD299" s="8">
        <v>1</v>
      </c>
      <c r="AE299" s="8">
        <v>100</v>
      </c>
      <c r="AF299" s="6" t="s">
        <v>391</v>
      </c>
      <c r="AG299" s="6" t="s">
        <v>386</v>
      </c>
      <c r="AH299" s="6" t="s">
        <v>387</v>
      </c>
      <c r="AI299" s="6" t="s">
        <v>286</v>
      </c>
      <c r="AJ299" s="9">
        <v>40</v>
      </c>
      <c r="AK299" s="8">
        <v>40</v>
      </c>
      <c r="AL299" s="8">
        <v>40</v>
      </c>
      <c r="AM299" s="8">
        <v>40</v>
      </c>
      <c r="AN299" s="8">
        <v>40</v>
      </c>
      <c r="AO299" s="13">
        <v>40</v>
      </c>
      <c r="AP299" s="5"/>
    </row>
    <row r="300" spans="1:42">
      <c r="A300" s="12">
        <v>299</v>
      </c>
      <c r="B300" s="6" t="s">
        <v>1218</v>
      </c>
      <c r="C300" s="6" t="s">
        <v>2006</v>
      </c>
      <c r="D300" s="6" t="s">
        <v>679</v>
      </c>
      <c r="E300" s="6" t="s">
        <v>86</v>
      </c>
      <c r="F300" s="7">
        <v>45876</v>
      </c>
      <c r="G300" s="6" t="s">
        <v>337</v>
      </c>
      <c r="H300" s="6" t="s">
        <v>94</v>
      </c>
      <c r="I300" s="6" t="s">
        <v>1220</v>
      </c>
      <c r="J300" s="6" t="s">
        <v>90</v>
      </c>
      <c r="K300" s="6" t="s">
        <v>91</v>
      </c>
      <c r="L300" s="6" t="s">
        <v>92</v>
      </c>
      <c r="M300" s="6" t="s">
        <v>90</v>
      </c>
      <c r="N300" s="6" t="s">
        <v>94</v>
      </c>
      <c r="O300" s="6" t="s">
        <v>94</v>
      </c>
      <c r="P300" s="6" t="s">
        <v>131</v>
      </c>
      <c r="Q300" s="6" t="s">
        <v>104</v>
      </c>
      <c r="R300" s="6" t="s">
        <v>1643</v>
      </c>
      <c r="S300" s="6" t="s">
        <v>94</v>
      </c>
      <c r="T300" s="6" t="s">
        <v>94</v>
      </c>
      <c r="U300" s="6" t="s">
        <v>94</v>
      </c>
      <c r="V300" s="6" t="s">
        <v>94</v>
      </c>
      <c r="W300" s="6" t="s">
        <v>338</v>
      </c>
      <c r="X300" s="6" t="s">
        <v>1643</v>
      </c>
      <c r="Y300" s="6" t="s">
        <v>1643</v>
      </c>
      <c r="Z300" s="6" t="s">
        <v>1652</v>
      </c>
      <c r="AA300" s="8">
        <v>1</v>
      </c>
      <c r="AB300" s="8">
        <v>1</v>
      </c>
      <c r="AC300" s="8">
        <v>1</v>
      </c>
      <c r="AD300" s="8">
        <v>0</v>
      </c>
      <c r="AE300" s="8">
        <v>100</v>
      </c>
      <c r="AF300" s="6" t="s">
        <v>282</v>
      </c>
      <c r="AG300" s="6" t="s">
        <v>283</v>
      </c>
      <c r="AH300" s="6" t="s">
        <v>341</v>
      </c>
      <c r="AI300" s="6" t="s">
        <v>286</v>
      </c>
      <c r="AJ300" s="9">
        <v>40</v>
      </c>
      <c r="AK300" s="8">
        <v>40</v>
      </c>
      <c r="AL300" s="8">
        <v>40</v>
      </c>
      <c r="AM300" s="8">
        <v>40</v>
      </c>
      <c r="AN300" s="8">
        <v>40</v>
      </c>
      <c r="AO300" s="13">
        <v>40</v>
      </c>
      <c r="AP300" s="5"/>
    </row>
    <row r="301" spans="1:42">
      <c r="A301" s="12">
        <v>300</v>
      </c>
      <c r="B301" s="6" t="s">
        <v>1221</v>
      </c>
      <c r="C301" s="6" t="s">
        <v>2007</v>
      </c>
      <c r="D301" s="6" t="s">
        <v>348</v>
      </c>
      <c r="E301" s="6" t="s">
        <v>86</v>
      </c>
      <c r="F301" s="7">
        <v>44568</v>
      </c>
      <c r="G301" s="6" t="s">
        <v>111</v>
      </c>
      <c r="H301" s="6" t="s">
        <v>1223</v>
      </c>
      <c r="I301" s="6" t="s">
        <v>1224</v>
      </c>
      <c r="J301" s="6" t="s">
        <v>90</v>
      </c>
      <c r="K301" s="6" t="s">
        <v>91</v>
      </c>
      <c r="L301" s="6" t="s">
        <v>92</v>
      </c>
      <c r="M301" s="6" t="s">
        <v>90</v>
      </c>
      <c r="N301" s="6" t="s">
        <v>103</v>
      </c>
      <c r="O301" s="6" t="s">
        <v>94</v>
      </c>
      <c r="P301" s="6" t="s">
        <v>584</v>
      </c>
      <c r="Q301" s="6" t="s">
        <v>95</v>
      </c>
      <c r="R301" s="6" t="s">
        <v>1643</v>
      </c>
      <c r="S301" s="6" t="s">
        <v>94</v>
      </c>
      <c r="T301" s="6" t="s">
        <v>94</v>
      </c>
      <c r="U301" s="6" t="s">
        <v>94</v>
      </c>
      <c r="V301" s="6" t="s">
        <v>94</v>
      </c>
      <c r="W301" s="6" t="s">
        <v>281</v>
      </c>
      <c r="X301" s="6" t="s">
        <v>1643</v>
      </c>
      <c r="Y301" s="6" t="s">
        <v>1643</v>
      </c>
      <c r="Z301" s="6" t="s">
        <v>1643</v>
      </c>
      <c r="AA301" s="8">
        <v>1</v>
      </c>
      <c r="AB301" s="8">
        <v>1</v>
      </c>
      <c r="AC301" s="8">
        <v>1</v>
      </c>
      <c r="AD301" s="8">
        <v>1</v>
      </c>
      <c r="AE301" s="8">
        <v>100</v>
      </c>
      <c r="AF301" s="6" t="s">
        <v>282</v>
      </c>
      <c r="AG301" s="6" t="s">
        <v>283</v>
      </c>
      <c r="AH301" s="6" t="s">
        <v>679</v>
      </c>
      <c r="AI301" s="6" t="s">
        <v>286</v>
      </c>
      <c r="AJ301" s="9">
        <v>40</v>
      </c>
      <c r="AK301" s="8">
        <v>40</v>
      </c>
      <c r="AL301" s="8">
        <v>40</v>
      </c>
      <c r="AM301" s="8">
        <v>40</v>
      </c>
      <c r="AN301" s="8">
        <v>40</v>
      </c>
      <c r="AO301" s="13">
        <v>40</v>
      </c>
      <c r="AP301" s="5"/>
    </row>
    <row r="302" spans="1:42">
      <c r="A302" s="12">
        <v>301</v>
      </c>
      <c r="B302" s="6" t="s">
        <v>1225</v>
      </c>
      <c r="C302" s="6" t="s">
        <v>2008</v>
      </c>
      <c r="D302" s="6" t="s">
        <v>771</v>
      </c>
      <c r="E302" s="6" t="s">
        <v>86</v>
      </c>
      <c r="F302" s="7">
        <v>42589</v>
      </c>
      <c r="G302" s="6" t="s">
        <v>204</v>
      </c>
      <c r="H302" s="6" t="s">
        <v>1227</v>
      </c>
      <c r="I302" s="6" t="s">
        <v>1228</v>
      </c>
      <c r="J302" s="6" t="s">
        <v>90</v>
      </c>
      <c r="K302" s="6" t="s">
        <v>91</v>
      </c>
      <c r="L302" s="6" t="s">
        <v>92</v>
      </c>
      <c r="M302" s="6" t="s">
        <v>90</v>
      </c>
      <c r="N302" s="6" t="s">
        <v>43</v>
      </c>
      <c r="O302" s="6" t="s">
        <v>122</v>
      </c>
      <c r="P302" s="6" t="s">
        <v>43</v>
      </c>
      <c r="Q302" s="6" t="s">
        <v>104</v>
      </c>
      <c r="R302" s="6" t="s">
        <v>1643</v>
      </c>
      <c r="S302" s="6" t="s">
        <v>94</v>
      </c>
      <c r="T302" s="6" t="s">
        <v>94</v>
      </c>
      <c r="U302" s="6" t="s">
        <v>94</v>
      </c>
      <c r="V302" s="6" t="s">
        <v>94</v>
      </c>
      <c r="W302" s="6" t="s">
        <v>321</v>
      </c>
      <c r="X302" s="6" t="s">
        <v>1643</v>
      </c>
      <c r="Y302" s="6" t="s">
        <v>1643</v>
      </c>
      <c r="Z302" s="6" t="s">
        <v>1643</v>
      </c>
      <c r="AA302" s="8">
        <v>1</v>
      </c>
      <c r="AB302" s="8">
        <v>1</v>
      </c>
      <c r="AC302" s="8">
        <v>1</v>
      </c>
      <c r="AD302" s="8">
        <v>1</v>
      </c>
      <c r="AE302" s="8">
        <v>100</v>
      </c>
      <c r="AF302" s="6" t="s">
        <v>351</v>
      </c>
      <c r="AG302" s="6" t="s">
        <v>283</v>
      </c>
      <c r="AH302" s="6" t="s">
        <v>348</v>
      </c>
      <c r="AI302" s="6" t="s">
        <v>286</v>
      </c>
      <c r="AJ302" s="9">
        <v>40</v>
      </c>
      <c r="AK302" s="8">
        <v>40</v>
      </c>
      <c r="AL302" s="8">
        <v>40</v>
      </c>
      <c r="AM302" s="8">
        <v>40</v>
      </c>
      <c r="AN302" s="8">
        <v>40</v>
      </c>
      <c r="AO302" s="13">
        <v>40</v>
      </c>
      <c r="AP302" s="5"/>
    </row>
    <row r="303" spans="1:42">
      <c r="A303" s="12">
        <v>302</v>
      </c>
      <c r="B303" s="6" t="s">
        <v>1229</v>
      </c>
      <c r="C303" s="6" t="s">
        <v>53</v>
      </c>
      <c r="D303" s="6" t="s">
        <v>284</v>
      </c>
      <c r="E303" s="6" t="s">
        <v>86</v>
      </c>
      <c r="F303" s="7">
        <v>46029</v>
      </c>
      <c r="G303" s="6" t="s">
        <v>155</v>
      </c>
      <c r="H303" s="6" t="s">
        <v>94</v>
      </c>
      <c r="I303" s="6" t="s">
        <v>1231</v>
      </c>
      <c r="J303" s="6" t="s">
        <v>213</v>
      </c>
      <c r="K303" s="6" t="s">
        <v>91</v>
      </c>
      <c r="L303" s="6" t="s">
        <v>92</v>
      </c>
      <c r="M303" s="6" t="s">
        <v>213</v>
      </c>
      <c r="N303" s="6" t="s">
        <v>94</v>
      </c>
      <c r="O303" s="6" t="s">
        <v>94</v>
      </c>
      <c r="P303" s="6" t="s">
        <v>27</v>
      </c>
      <c r="Q303" s="6" t="s">
        <v>104</v>
      </c>
      <c r="R303" s="6" t="s">
        <v>1643</v>
      </c>
      <c r="S303" s="6" t="s">
        <v>94</v>
      </c>
      <c r="T303" s="6" t="s">
        <v>94</v>
      </c>
      <c r="U303" s="6" t="s">
        <v>94</v>
      </c>
      <c r="V303" s="6" t="s">
        <v>94</v>
      </c>
      <c r="W303" s="6" t="s">
        <v>369</v>
      </c>
      <c r="X303" s="6" t="s">
        <v>1652</v>
      </c>
      <c r="Y303" s="6" t="s">
        <v>1652</v>
      </c>
      <c r="Z303" s="6" t="s">
        <v>1652</v>
      </c>
      <c r="AA303" s="8">
        <v>0.9</v>
      </c>
      <c r="AB303" s="8">
        <v>0</v>
      </c>
      <c r="AC303" s="8">
        <v>0</v>
      </c>
      <c r="AD303" s="8">
        <v>0</v>
      </c>
      <c r="AE303" s="8">
        <v>90.47619048</v>
      </c>
      <c r="AF303" s="6" t="s">
        <v>446</v>
      </c>
      <c r="AG303" s="6" t="s">
        <v>774</v>
      </c>
      <c r="AH303" s="6" t="s">
        <v>771</v>
      </c>
      <c r="AI303" s="6" t="s">
        <v>448</v>
      </c>
      <c r="AJ303" s="9">
        <v>40</v>
      </c>
      <c r="AK303" s="8">
        <v>40</v>
      </c>
      <c r="AL303" s="8">
        <v>8</v>
      </c>
      <c r="AM303" s="8">
        <v>0</v>
      </c>
      <c r="AN303" s="8">
        <v>0</v>
      </c>
      <c r="AO303" s="13">
        <v>0</v>
      </c>
      <c r="AP303" s="5"/>
    </row>
    <row r="304" spans="1:42">
      <c r="A304" s="12">
        <v>303</v>
      </c>
      <c r="B304" s="6" t="s">
        <v>1232</v>
      </c>
      <c r="C304" s="6" t="s">
        <v>2009</v>
      </c>
      <c r="D304" s="6" t="s">
        <v>501</v>
      </c>
      <c r="E304" s="6" t="s">
        <v>86</v>
      </c>
      <c r="F304" s="7">
        <v>46069</v>
      </c>
      <c r="G304" s="6" t="s">
        <v>337</v>
      </c>
      <c r="H304" s="6" t="s">
        <v>94</v>
      </c>
      <c r="I304" s="6" t="s">
        <v>1234</v>
      </c>
      <c r="J304" s="6" t="s">
        <v>90</v>
      </c>
      <c r="K304" s="6" t="s">
        <v>91</v>
      </c>
      <c r="L304" s="6" t="s">
        <v>92</v>
      </c>
      <c r="M304" s="6" t="s">
        <v>90</v>
      </c>
      <c r="N304" s="6" t="s">
        <v>94</v>
      </c>
      <c r="O304" s="6" t="s">
        <v>94</v>
      </c>
      <c r="P304" s="6" t="s">
        <v>131</v>
      </c>
      <c r="Q304" s="6" t="s">
        <v>104</v>
      </c>
      <c r="R304" s="6" t="s">
        <v>1643</v>
      </c>
      <c r="S304" s="6" t="s">
        <v>94</v>
      </c>
      <c r="T304" s="6" t="s">
        <v>94</v>
      </c>
      <c r="U304" s="6" t="s">
        <v>94</v>
      </c>
      <c r="V304" s="6" t="s">
        <v>94</v>
      </c>
      <c r="W304" s="6" t="s">
        <v>338</v>
      </c>
      <c r="X304" s="6" t="s">
        <v>1643</v>
      </c>
      <c r="Y304" s="6" t="s">
        <v>1652</v>
      </c>
      <c r="Z304" s="6" t="s">
        <v>1652</v>
      </c>
      <c r="AA304" s="8">
        <v>1</v>
      </c>
      <c r="AB304" s="8">
        <v>1</v>
      </c>
      <c r="AC304" s="8">
        <v>0</v>
      </c>
      <c r="AD304" s="8">
        <v>0</v>
      </c>
      <c r="AE304" s="8">
        <v>100</v>
      </c>
      <c r="AF304" s="6" t="s">
        <v>282</v>
      </c>
      <c r="AG304" s="6" t="s">
        <v>283</v>
      </c>
      <c r="AH304" s="6" t="s">
        <v>284</v>
      </c>
      <c r="AI304" s="6" t="s">
        <v>286</v>
      </c>
      <c r="AJ304" s="9">
        <v>40</v>
      </c>
      <c r="AK304" s="8">
        <v>40</v>
      </c>
      <c r="AL304" s="8">
        <v>40</v>
      </c>
      <c r="AM304" s="8">
        <v>40</v>
      </c>
      <c r="AN304" s="8">
        <v>40</v>
      </c>
      <c r="AO304" s="13">
        <v>40</v>
      </c>
      <c r="AP304" s="5"/>
    </row>
    <row r="305" spans="1:42">
      <c r="A305" s="12">
        <v>304</v>
      </c>
      <c r="B305" s="6" t="s">
        <v>1235</v>
      </c>
      <c r="C305" s="6" t="s">
        <v>2010</v>
      </c>
      <c r="D305" s="6" t="s">
        <v>392</v>
      </c>
      <c r="E305" s="6" t="s">
        <v>86</v>
      </c>
      <c r="F305" s="7">
        <v>45489</v>
      </c>
      <c r="G305" s="6" t="s">
        <v>288</v>
      </c>
      <c r="H305" s="6" t="s">
        <v>94</v>
      </c>
      <c r="I305" s="6" t="s">
        <v>1237</v>
      </c>
      <c r="J305" s="6" t="s">
        <v>90</v>
      </c>
      <c r="K305" s="6" t="s">
        <v>91</v>
      </c>
      <c r="L305" s="6" t="s">
        <v>92</v>
      </c>
      <c r="M305" s="6" t="s">
        <v>90</v>
      </c>
      <c r="N305" s="6" t="s">
        <v>94</v>
      </c>
      <c r="O305" s="6" t="s">
        <v>94</v>
      </c>
      <c r="P305" s="6" t="s">
        <v>136</v>
      </c>
      <c r="Q305" s="6" t="s">
        <v>104</v>
      </c>
      <c r="R305" s="6" t="s">
        <v>1643</v>
      </c>
      <c r="S305" s="6" t="s">
        <v>94</v>
      </c>
      <c r="T305" s="6" t="s">
        <v>94</v>
      </c>
      <c r="U305" s="6" t="s">
        <v>94</v>
      </c>
      <c r="V305" s="6" t="s">
        <v>94</v>
      </c>
      <c r="W305" s="6" t="s">
        <v>291</v>
      </c>
      <c r="X305" s="6" t="s">
        <v>1643</v>
      </c>
      <c r="Y305" s="6" t="s">
        <v>1643</v>
      </c>
      <c r="Z305" s="6" t="s">
        <v>1643</v>
      </c>
      <c r="AA305" s="8">
        <v>1</v>
      </c>
      <c r="AB305" s="8">
        <v>1</v>
      </c>
      <c r="AC305" s="8">
        <v>1</v>
      </c>
      <c r="AD305" s="8">
        <v>1</v>
      </c>
      <c r="AE305" s="8">
        <v>100</v>
      </c>
      <c r="AF305" s="6" t="s">
        <v>334</v>
      </c>
      <c r="AG305" s="6" t="s">
        <v>335</v>
      </c>
      <c r="AH305" s="6" t="s">
        <v>501</v>
      </c>
      <c r="AI305" s="6" t="s">
        <v>286</v>
      </c>
      <c r="AJ305" s="9">
        <v>40</v>
      </c>
      <c r="AK305" s="8">
        <v>40</v>
      </c>
      <c r="AL305" s="8">
        <v>40</v>
      </c>
      <c r="AM305" s="8">
        <v>40</v>
      </c>
      <c r="AN305" s="8">
        <v>40</v>
      </c>
      <c r="AO305" s="13">
        <v>40</v>
      </c>
      <c r="AP305" s="5"/>
    </row>
    <row r="306" spans="1:42">
      <c r="A306" s="12">
        <v>305</v>
      </c>
      <c r="B306" s="6" t="s">
        <v>1238</v>
      </c>
      <c r="C306" s="6" t="s">
        <v>2011</v>
      </c>
      <c r="D306" s="6" t="s">
        <v>373</v>
      </c>
      <c r="E306" s="6" t="s">
        <v>86</v>
      </c>
      <c r="F306" s="7">
        <v>45267</v>
      </c>
      <c r="G306" s="6" t="s">
        <v>204</v>
      </c>
      <c r="H306" s="6" t="s">
        <v>134</v>
      </c>
      <c r="I306" s="6" t="s">
        <v>135</v>
      </c>
      <c r="J306" s="6" t="s">
        <v>90</v>
      </c>
      <c r="K306" s="6" t="s">
        <v>91</v>
      </c>
      <c r="L306" s="6" t="s">
        <v>92</v>
      </c>
      <c r="M306" s="6" t="s">
        <v>90</v>
      </c>
      <c r="N306" s="6" t="s">
        <v>94</v>
      </c>
      <c r="O306" s="6" t="s">
        <v>94</v>
      </c>
      <c r="P306" s="6" t="s">
        <v>43</v>
      </c>
      <c r="Q306" s="6" t="s">
        <v>95</v>
      </c>
      <c r="R306" s="6" t="s">
        <v>1643</v>
      </c>
      <c r="S306" s="6" t="s">
        <v>2012</v>
      </c>
      <c r="T306" s="6" t="s">
        <v>94</v>
      </c>
      <c r="U306" s="6" t="s">
        <v>94</v>
      </c>
      <c r="V306" s="6" t="s">
        <v>94</v>
      </c>
      <c r="W306" s="6" t="s">
        <v>403</v>
      </c>
      <c r="X306" s="6" t="s">
        <v>1643</v>
      </c>
      <c r="Y306" s="6" t="s">
        <v>1643</v>
      </c>
      <c r="Z306" s="6" t="s">
        <v>1652</v>
      </c>
      <c r="AA306" s="8">
        <v>1</v>
      </c>
      <c r="AB306" s="8">
        <v>1</v>
      </c>
      <c r="AC306" s="8">
        <v>1</v>
      </c>
      <c r="AD306" s="8">
        <v>0</v>
      </c>
      <c r="AE306" s="8">
        <v>100</v>
      </c>
      <c r="AF306" s="6" t="s">
        <v>282</v>
      </c>
      <c r="AG306" s="6" t="s">
        <v>283</v>
      </c>
      <c r="AH306" s="6" t="s">
        <v>392</v>
      </c>
      <c r="AI306" s="6" t="s">
        <v>286</v>
      </c>
      <c r="AJ306" s="9">
        <v>40</v>
      </c>
      <c r="AK306" s="8">
        <v>40</v>
      </c>
      <c r="AL306" s="8">
        <v>40</v>
      </c>
      <c r="AM306" s="8">
        <v>40</v>
      </c>
      <c r="AN306" s="8">
        <v>40</v>
      </c>
      <c r="AO306" s="13">
        <v>40</v>
      </c>
      <c r="AP306" s="5"/>
    </row>
    <row r="307" spans="1:42">
      <c r="A307" s="12">
        <v>306</v>
      </c>
      <c r="B307" s="6" t="s">
        <v>1240</v>
      </c>
      <c r="C307" s="6" t="s">
        <v>2013</v>
      </c>
      <c r="D307" s="6" t="s">
        <v>373</v>
      </c>
      <c r="E307" s="6" t="s">
        <v>86</v>
      </c>
      <c r="F307" s="7">
        <v>45222</v>
      </c>
      <c r="G307" s="6" t="s">
        <v>111</v>
      </c>
      <c r="H307" s="6" t="s">
        <v>175</v>
      </c>
      <c r="I307" s="6" t="s">
        <v>1242</v>
      </c>
      <c r="J307" s="6" t="s">
        <v>90</v>
      </c>
      <c r="K307" s="6" t="s">
        <v>91</v>
      </c>
      <c r="L307" s="6" t="s">
        <v>92</v>
      </c>
      <c r="M307" s="6" t="s">
        <v>90</v>
      </c>
      <c r="N307" s="6" t="s">
        <v>131</v>
      </c>
      <c r="O307" s="6" t="s">
        <v>95</v>
      </c>
      <c r="P307" s="6" t="s">
        <v>131</v>
      </c>
      <c r="Q307" s="6" t="s">
        <v>122</v>
      </c>
      <c r="R307" s="6" t="s">
        <v>1643</v>
      </c>
      <c r="S307" s="6" t="s">
        <v>2014</v>
      </c>
      <c r="T307" s="6" t="s">
        <v>94</v>
      </c>
      <c r="U307" s="6" t="s">
        <v>94</v>
      </c>
      <c r="V307" s="6" t="s">
        <v>94</v>
      </c>
      <c r="W307" s="6" t="s">
        <v>281</v>
      </c>
      <c r="X307" s="6" t="s">
        <v>1643</v>
      </c>
      <c r="Y307" s="6" t="s">
        <v>1643</v>
      </c>
      <c r="Z307" s="6" t="s">
        <v>1643</v>
      </c>
      <c r="AA307" s="8">
        <v>1</v>
      </c>
      <c r="AB307" s="8">
        <v>1</v>
      </c>
      <c r="AC307" s="8">
        <v>1</v>
      </c>
      <c r="AD307" s="8">
        <v>1</v>
      </c>
      <c r="AE307" s="8">
        <v>100</v>
      </c>
      <c r="AF307" s="6" t="s">
        <v>334</v>
      </c>
      <c r="AG307" s="6" t="s">
        <v>335</v>
      </c>
      <c r="AH307" s="6" t="s">
        <v>373</v>
      </c>
      <c r="AI307" s="6" t="s">
        <v>286</v>
      </c>
      <c r="AJ307" s="9">
        <v>40</v>
      </c>
      <c r="AK307" s="8">
        <v>40</v>
      </c>
      <c r="AL307" s="8">
        <v>40</v>
      </c>
      <c r="AM307" s="8">
        <v>40</v>
      </c>
      <c r="AN307" s="8">
        <v>40</v>
      </c>
      <c r="AO307" s="13">
        <v>40</v>
      </c>
      <c r="AP307" s="5"/>
    </row>
    <row r="308" spans="1:42">
      <c r="A308" s="12">
        <v>307</v>
      </c>
      <c r="B308" s="6" t="s">
        <v>1243</v>
      </c>
      <c r="C308" s="6" t="s">
        <v>2015</v>
      </c>
      <c r="D308" s="6" t="s">
        <v>468</v>
      </c>
      <c r="E308" s="6" t="s">
        <v>86</v>
      </c>
      <c r="F308" s="7">
        <v>45084</v>
      </c>
      <c r="G308" s="6" t="s">
        <v>111</v>
      </c>
      <c r="H308" s="6" t="s">
        <v>107</v>
      </c>
      <c r="I308" s="6" t="s">
        <v>1245</v>
      </c>
      <c r="J308" s="6" t="s">
        <v>90</v>
      </c>
      <c r="K308" s="6" t="s">
        <v>91</v>
      </c>
      <c r="L308" s="6" t="s">
        <v>92</v>
      </c>
      <c r="M308" s="6" t="s">
        <v>90</v>
      </c>
      <c r="N308" s="6" t="s">
        <v>136</v>
      </c>
      <c r="O308" s="6" t="s">
        <v>95</v>
      </c>
      <c r="P308" s="6" t="s">
        <v>131</v>
      </c>
      <c r="Q308" s="6" t="s">
        <v>122</v>
      </c>
      <c r="R308" s="6" t="s">
        <v>1643</v>
      </c>
      <c r="S308" s="6" t="s">
        <v>94</v>
      </c>
      <c r="T308" s="6" t="s">
        <v>94</v>
      </c>
      <c r="U308" s="6" t="s">
        <v>94</v>
      </c>
      <c r="V308" s="6" t="s">
        <v>94</v>
      </c>
      <c r="W308" s="6" t="s">
        <v>281</v>
      </c>
      <c r="X308" s="6" t="s">
        <v>1643</v>
      </c>
      <c r="Y308" s="6" t="s">
        <v>1643</v>
      </c>
      <c r="Z308" s="6" t="s">
        <v>1643</v>
      </c>
      <c r="AA308" s="8">
        <v>1</v>
      </c>
      <c r="AB308" s="8">
        <v>1</v>
      </c>
      <c r="AC308" s="8">
        <v>1</v>
      </c>
      <c r="AD308" s="8">
        <v>1</v>
      </c>
      <c r="AE308" s="8">
        <v>100</v>
      </c>
      <c r="AF308" s="6" t="s">
        <v>334</v>
      </c>
      <c r="AG308" s="6" t="s">
        <v>335</v>
      </c>
      <c r="AH308" s="6" t="s">
        <v>373</v>
      </c>
      <c r="AI308" s="6" t="s">
        <v>286</v>
      </c>
      <c r="AJ308" s="9">
        <v>40</v>
      </c>
      <c r="AK308" s="8">
        <v>40</v>
      </c>
      <c r="AL308" s="8">
        <v>40</v>
      </c>
      <c r="AM308" s="8">
        <v>40</v>
      </c>
      <c r="AN308" s="8">
        <v>40</v>
      </c>
      <c r="AO308" s="13">
        <v>40</v>
      </c>
      <c r="AP308" s="5"/>
    </row>
    <row r="309" spans="1:42">
      <c r="A309" s="12">
        <v>308</v>
      </c>
      <c r="B309" s="6" t="s">
        <v>1246</v>
      </c>
      <c r="C309" s="6" t="s">
        <v>2016</v>
      </c>
      <c r="D309" s="6" t="s">
        <v>387</v>
      </c>
      <c r="E309" s="6" t="s">
        <v>86</v>
      </c>
      <c r="F309" s="7">
        <v>45861</v>
      </c>
      <c r="G309" s="6" t="s">
        <v>111</v>
      </c>
      <c r="H309" s="6" t="s">
        <v>94</v>
      </c>
      <c r="I309" s="6" t="s">
        <v>94</v>
      </c>
      <c r="J309" s="6" t="s">
        <v>90</v>
      </c>
      <c r="K309" s="6" t="s">
        <v>91</v>
      </c>
      <c r="L309" s="6" t="s">
        <v>92</v>
      </c>
      <c r="M309" s="6" t="s">
        <v>90</v>
      </c>
      <c r="N309" s="6" t="s">
        <v>94</v>
      </c>
      <c r="O309" s="6" t="s">
        <v>94</v>
      </c>
      <c r="P309" s="6" t="s">
        <v>131</v>
      </c>
      <c r="Q309" s="6" t="s">
        <v>104</v>
      </c>
      <c r="R309" s="6" t="s">
        <v>1643</v>
      </c>
      <c r="S309" s="6" t="s">
        <v>2017</v>
      </c>
      <c r="T309" s="6" t="s">
        <v>94</v>
      </c>
      <c r="U309" s="6" t="s">
        <v>94</v>
      </c>
      <c r="V309" s="6" t="s">
        <v>94</v>
      </c>
      <c r="W309" s="6" t="s">
        <v>281</v>
      </c>
      <c r="X309" s="6" t="s">
        <v>1929</v>
      </c>
      <c r="Y309" s="6" t="s">
        <v>1929</v>
      </c>
      <c r="Z309" s="6" t="s">
        <v>1929</v>
      </c>
      <c r="AA309" s="8">
        <v>1</v>
      </c>
      <c r="AB309" s="8">
        <v>0.18</v>
      </c>
      <c r="AC309" s="8">
        <v>0</v>
      </c>
      <c r="AD309" s="8">
        <v>0</v>
      </c>
      <c r="AE309" s="8">
        <v>100</v>
      </c>
      <c r="AF309" s="6" t="s">
        <v>282</v>
      </c>
      <c r="AG309" s="6" t="s">
        <v>283</v>
      </c>
      <c r="AH309" s="6" t="s">
        <v>468</v>
      </c>
      <c r="AI309" s="6" t="s">
        <v>286</v>
      </c>
      <c r="AJ309" s="9">
        <v>40</v>
      </c>
      <c r="AK309" s="8">
        <v>40</v>
      </c>
      <c r="AL309" s="8">
        <v>40</v>
      </c>
      <c r="AM309" s="8">
        <v>0</v>
      </c>
      <c r="AN309" s="8">
        <v>0</v>
      </c>
      <c r="AO309" s="13">
        <v>0</v>
      </c>
      <c r="AP309" s="5"/>
    </row>
    <row r="310" spans="1:42">
      <c r="A310" s="12">
        <v>309</v>
      </c>
      <c r="B310" s="6" t="s">
        <v>1248</v>
      </c>
      <c r="C310" s="6" t="s">
        <v>2018</v>
      </c>
      <c r="D310" s="6" t="s">
        <v>323</v>
      </c>
      <c r="E310" s="6" t="s">
        <v>86</v>
      </c>
      <c r="F310" s="7">
        <v>41898</v>
      </c>
      <c r="G310" s="6" t="s">
        <v>4</v>
      </c>
      <c r="H310" s="6" t="s">
        <v>107</v>
      </c>
      <c r="I310" s="6" t="s">
        <v>1250</v>
      </c>
      <c r="J310" s="6" t="s">
        <v>90</v>
      </c>
      <c r="K310" s="6" t="s">
        <v>91</v>
      </c>
      <c r="L310" s="6" t="s">
        <v>92</v>
      </c>
      <c r="M310" s="6" t="s">
        <v>90</v>
      </c>
      <c r="N310" s="6" t="s">
        <v>131</v>
      </c>
      <c r="O310" s="6" t="s">
        <v>94</v>
      </c>
      <c r="P310" s="6" t="s">
        <v>93</v>
      </c>
      <c r="Q310" s="6" t="s">
        <v>95</v>
      </c>
      <c r="R310" s="6" t="s">
        <v>1643</v>
      </c>
      <c r="S310" s="6" t="s">
        <v>94</v>
      </c>
      <c r="T310" s="6" t="s">
        <v>94</v>
      </c>
      <c r="U310" s="6" t="s">
        <v>94</v>
      </c>
      <c r="V310" s="6" t="s">
        <v>94</v>
      </c>
      <c r="W310" s="6" t="s">
        <v>399</v>
      </c>
      <c r="X310" s="6" t="s">
        <v>1643</v>
      </c>
      <c r="Y310" s="6" t="s">
        <v>1643</v>
      </c>
      <c r="Z310" s="6" t="s">
        <v>1643</v>
      </c>
      <c r="AA310" s="8">
        <v>1</v>
      </c>
      <c r="AB310" s="8">
        <v>1</v>
      </c>
      <c r="AC310" s="8">
        <v>1</v>
      </c>
      <c r="AD310" s="8">
        <v>1</v>
      </c>
      <c r="AE310" s="8">
        <v>100</v>
      </c>
      <c r="AF310" s="6" t="s">
        <v>391</v>
      </c>
      <c r="AG310" s="6" t="s">
        <v>386</v>
      </c>
      <c r="AH310" s="6" t="s">
        <v>387</v>
      </c>
      <c r="AI310" s="6" t="s">
        <v>286</v>
      </c>
      <c r="AJ310" s="9">
        <v>40</v>
      </c>
      <c r="AK310" s="8">
        <v>40</v>
      </c>
      <c r="AL310" s="8">
        <v>40</v>
      </c>
      <c r="AM310" s="8">
        <v>40</v>
      </c>
      <c r="AN310" s="8">
        <v>40</v>
      </c>
      <c r="AO310" s="13">
        <v>40</v>
      </c>
      <c r="AP310" s="5"/>
    </row>
    <row r="311" spans="1:42">
      <c r="A311" s="12">
        <v>310</v>
      </c>
      <c r="B311" s="6" t="s">
        <v>1251</v>
      </c>
      <c r="C311" s="6" t="s">
        <v>2019</v>
      </c>
      <c r="D311" s="6" t="s">
        <v>763</v>
      </c>
      <c r="E311" s="6" t="s">
        <v>86</v>
      </c>
      <c r="F311" s="7">
        <v>44287</v>
      </c>
      <c r="G311" s="6" t="s">
        <v>204</v>
      </c>
      <c r="H311" s="6" t="s">
        <v>120</v>
      </c>
      <c r="I311" s="6" t="s">
        <v>1253</v>
      </c>
      <c r="J311" s="6" t="s">
        <v>90</v>
      </c>
      <c r="K311" s="6" t="s">
        <v>91</v>
      </c>
      <c r="L311" s="6" t="s">
        <v>92</v>
      </c>
      <c r="M311" s="6" t="s">
        <v>90</v>
      </c>
      <c r="N311" s="6" t="s">
        <v>43</v>
      </c>
      <c r="O311" s="6" t="s">
        <v>122</v>
      </c>
      <c r="P311" s="6" t="s">
        <v>43</v>
      </c>
      <c r="Q311" s="6" t="s">
        <v>95</v>
      </c>
      <c r="R311" s="6" t="s">
        <v>1643</v>
      </c>
      <c r="S311" s="6" t="s">
        <v>94</v>
      </c>
      <c r="T311" s="6" t="s">
        <v>94</v>
      </c>
      <c r="U311" s="6" t="s">
        <v>94</v>
      </c>
      <c r="V311" s="6" t="s">
        <v>94</v>
      </c>
      <c r="W311" s="6" t="s">
        <v>321</v>
      </c>
      <c r="X311" s="6" t="s">
        <v>1643</v>
      </c>
      <c r="Y311" s="6" t="s">
        <v>1643</v>
      </c>
      <c r="Z311" s="6" t="s">
        <v>1643</v>
      </c>
      <c r="AA311" s="8">
        <v>1</v>
      </c>
      <c r="AB311" s="8">
        <v>1</v>
      </c>
      <c r="AC311" s="8">
        <v>1</v>
      </c>
      <c r="AD311" s="8">
        <v>1</v>
      </c>
      <c r="AE311" s="8">
        <v>100</v>
      </c>
      <c r="AF311" s="6" t="s">
        <v>326</v>
      </c>
      <c r="AG311" s="6" t="s">
        <v>283</v>
      </c>
      <c r="AH311" s="6" t="s">
        <v>323</v>
      </c>
      <c r="AI311" s="6" t="s">
        <v>286</v>
      </c>
      <c r="AJ311" s="9">
        <v>40</v>
      </c>
      <c r="AK311" s="8">
        <v>40</v>
      </c>
      <c r="AL311" s="8">
        <v>40</v>
      </c>
      <c r="AM311" s="8">
        <v>40</v>
      </c>
      <c r="AN311" s="8">
        <v>40</v>
      </c>
      <c r="AO311" s="13">
        <v>40</v>
      </c>
      <c r="AP311" s="5"/>
    </row>
    <row r="312" spans="1:42">
      <c r="A312" s="12">
        <v>311</v>
      </c>
      <c r="B312" s="6" t="s">
        <v>1254</v>
      </c>
      <c r="C312" s="6" t="s">
        <v>2020</v>
      </c>
      <c r="D312" s="6" t="s">
        <v>575</v>
      </c>
      <c r="E312" s="6" t="s">
        <v>86</v>
      </c>
      <c r="F312" s="7">
        <v>44523</v>
      </c>
      <c r="G312" s="6" t="s">
        <v>425</v>
      </c>
      <c r="H312" s="6" t="s">
        <v>420</v>
      </c>
      <c r="I312" s="6" t="s">
        <v>1256</v>
      </c>
      <c r="J312" s="6" t="s">
        <v>90</v>
      </c>
      <c r="K312" s="6" t="s">
        <v>91</v>
      </c>
      <c r="L312" s="6" t="s">
        <v>92</v>
      </c>
      <c r="M312" s="6" t="s">
        <v>90</v>
      </c>
      <c r="N312" s="6" t="s">
        <v>43</v>
      </c>
      <c r="O312" s="6" t="s">
        <v>94</v>
      </c>
      <c r="P312" s="6" t="s">
        <v>438</v>
      </c>
      <c r="Q312" s="6" t="s">
        <v>95</v>
      </c>
      <c r="R312" s="6" t="s">
        <v>1643</v>
      </c>
      <c r="S312" s="6" t="s">
        <v>94</v>
      </c>
      <c r="T312" s="6" t="s">
        <v>94</v>
      </c>
      <c r="U312" s="6" t="s">
        <v>94</v>
      </c>
      <c r="V312" s="6" t="s">
        <v>94</v>
      </c>
      <c r="W312" s="6" t="s">
        <v>426</v>
      </c>
      <c r="X312" s="6" t="s">
        <v>1643</v>
      </c>
      <c r="Y312" s="6" t="s">
        <v>1643</v>
      </c>
      <c r="Z312" s="6" t="s">
        <v>1643</v>
      </c>
      <c r="AA312" s="8">
        <v>1</v>
      </c>
      <c r="AB312" s="8">
        <v>1</v>
      </c>
      <c r="AC312" s="8">
        <v>1</v>
      </c>
      <c r="AD312" s="8">
        <v>1</v>
      </c>
      <c r="AE312" s="8">
        <v>100</v>
      </c>
      <c r="AF312" s="6" t="s">
        <v>334</v>
      </c>
      <c r="AG312" s="6" t="s">
        <v>335</v>
      </c>
      <c r="AH312" s="6" t="s">
        <v>763</v>
      </c>
      <c r="AI312" s="6" t="s">
        <v>286</v>
      </c>
      <c r="AJ312" s="9">
        <v>40</v>
      </c>
      <c r="AK312" s="8">
        <v>40</v>
      </c>
      <c r="AL312" s="8">
        <v>40</v>
      </c>
      <c r="AM312" s="8">
        <v>40</v>
      </c>
      <c r="AN312" s="8">
        <v>40</v>
      </c>
      <c r="AO312" s="13">
        <v>40</v>
      </c>
      <c r="AP312" s="5"/>
    </row>
    <row r="313" spans="1:42">
      <c r="A313" s="12">
        <v>312</v>
      </c>
      <c r="B313" s="6" t="s">
        <v>1257</v>
      </c>
      <c r="C313" s="6" t="s">
        <v>2021</v>
      </c>
      <c r="D313" s="6" t="s">
        <v>387</v>
      </c>
      <c r="E313" s="6" t="s">
        <v>86</v>
      </c>
      <c r="F313" s="7">
        <v>45108</v>
      </c>
      <c r="G313" s="6" t="s">
        <v>111</v>
      </c>
      <c r="H313" s="6" t="s">
        <v>420</v>
      </c>
      <c r="I313" s="6" t="s">
        <v>1259</v>
      </c>
      <c r="J313" s="6" t="s">
        <v>90</v>
      </c>
      <c r="K313" s="6" t="s">
        <v>91</v>
      </c>
      <c r="L313" s="6" t="s">
        <v>92</v>
      </c>
      <c r="M313" s="6" t="s">
        <v>90</v>
      </c>
      <c r="N313" s="6" t="s">
        <v>136</v>
      </c>
      <c r="O313" s="6" t="s">
        <v>95</v>
      </c>
      <c r="P313" s="6" t="s">
        <v>136</v>
      </c>
      <c r="Q313" s="6" t="s">
        <v>122</v>
      </c>
      <c r="R313" s="6" t="s">
        <v>1643</v>
      </c>
      <c r="S313" s="6" t="s">
        <v>94</v>
      </c>
      <c r="T313" s="6" t="s">
        <v>94</v>
      </c>
      <c r="U313" s="6" t="s">
        <v>94</v>
      </c>
      <c r="V313" s="6" t="s">
        <v>94</v>
      </c>
      <c r="W313" s="6" t="s">
        <v>281</v>
      </c>
      <c r="X313" s="6" t="s">
        <v>1643</v>
      </c>
      <c r="Y313" s="6" t="s">
        <v>1643</v>
      </c>
      <c r="Z313" s="6" t="s">
        <v>1643</v>
      </c>
      <c r="AA313" s="8">
        <v>1</v>
      </c>
      <c r="AB313" s="8">
        <v>1</v>
      </c>
      <c r="AC313" s="8">
        <v>1</v>
      </c>
      <c r="AD313" s="8">
        <v>1</v>
      </c>
      <c r="AE313" s="8">
        <v>100</v>
      </c>
      <c r="AF313" s="6" t="s">
        <v>282</v>
      </c>
      <c r="AG313" s="6" t="s">
        <v>283</v>
      </c>
      <c r="AH313" s="6" t="s">
        <v>575</v>
      </c>
      <c r="AI313" s="6" t="s">
        <v>286</v>
      </c>
      <c r="AJ313" s="9">
        <v>40</v>
      </c>
      <c r="AK313" s="8">
        <v>40</v>
      </c>
      <c r="AL313" s="8">
        <v>40</v>
      </c>
      <c r="AM313" s="8">
        <v>40</v>
      </c>
      <c r="AN313" s="8">
        <v>40</v>
      </c>
      <c r="AO313" s="13">
        <v>40</v>
      </c>
      <c r="AP313" s="5"/>
    </row>
    <row r="314" spans="1:42">
      <c r="A314" s="12">
        <v>313</v>
      </c>
      <c r="B314" s="6" t="s">
        <v>1260</v>
      </c>
      <c r="C314" s="6" t="s">
        <v>2022</v>
      </c>
      <c r="D314" s="6" t="s">
        <v>315</v>
      </c>
      <c r="E314" s="6" t="s">
        <v>86</v>
      </c>
      <c r="F314" s="7">
        <v>46113</v>
      </c>
      <c r="G314" s="6" t="s">
        <v>288</v>
      </c>
      <c r="H314" s="6" t="s">
        <v>94</v>
      </c>
      <c r="I314" s="6" t="s">
        <v>536</v>
      </c>
      <c r="J314" s="6" t="s">
        <v>90</v>
      </c>
      <c r="K314" s="6" t="s">
        <v>91</v>
      </c>
      <c r="L314" s="6" t="s">
        <v>92</v>
      </c>
      <c r="M314" s="6" t="s">
        <v>90</v>
      </c>
      <c r="N314" s="6" t="s">
        <v>94</v>
      </c>
      <c r="O314" s="6" t="s">
        <v>94</v>
      </c>
      <c r="P314" s="6" t="s">
        <v>131</v>
      </c>
      <c r="Q314" s="6" t="s">
        <v>95</v>
      </c>
      <c r="R314" s="6" t="s">
        <v>1643</v>
      </c>
      <c r="S314" s="6" t="s">
        <v>1649</v>
      </c>
      <c r="T314" s="6" t="s">
        <v>94</v>
      </c>
      <c r="U314" s="6" t="s">
        <v>94</v>
      </c>
      <c r="V314" s="6" t="s">
        <v>94</v>
      </c>
      <c r="W314" s="6" t="s">
        <v>291</v>
      </c>
      <c r="X314" s="6" t="s">
        <v>1643</v>
      </c>
      <c r="Y314" s="6" t="s">
        <v>1643</v>
      </c>
      <c r="Z314" s="6" t="s">
        <v>1643</v>
      </c>
      <c r="AA314" s="8">
        <v>1</v>
      </c>
      <c r="AB314" s="8">
        <v>1</v>
      </c>
      <c r="AC314" s="8">
        <v>1</v>
      </c>
      <c r="AD314" s="8">
        <v>1</v>
      </c>
      <c r="AE314" s="8">
        <v>100</v>
      </c>
      <c r="AF314" s="6" t="s">
        <v>391</v>
      </c>
      <c r="AG314" s="6" t="s">
        <v>386</v>
      </c>
      <c r="AH314" s="6" t="s">
        <v>387</v>
      </c>
      <c r="AI314" s="6" t="s">
        <v>286</v>
      </c>
      <c r="AJ314" s="9">
        <v>40</v>
      </c>
      <c r="AK314" s="8">
        <v>40</v>
      </c>
      <c r="AL314" s="8">
        <v>40</v>
      </c>
      <c r="AM314" s="8">
        <v>40</v>
      </c>
      <c r="AN314" s="8">
        <v>40</v>
      </c>
      <c r="AO314" s="13">
        <v>40</v>
      </c>
      <c r="AP314" s="5"/>
    </row>
    <row r="315" spans="1:42">
      <c r="A315" s="12">
        <v>314</v>
      </c>
      <c r="B315" s="6" t="s">
        <v>1262</v>
      </c>
      <c r="C315" s="6" t="s">
        <v>2023</v>
      </c>
      <c r="D315" s="6" t="s">
        <v>486</v>
      </c>
      <c r="E315" s="6" t="s">
        <v>86</v>
      </c>
      <c r="F315" s="7">
        <v>43678</v>
      </c>
      <c r="G315" s="6" t="s">
        <v>26</v>
      </c>
      <c r="H315" s="6" t="s">
        <v>151</v>
      </c>
      <c r="I315" s="6" t="s">
        <v>1264</v>
      </c>
      <c r="J315" s="6" t="s">
        <v>90</v>
      </c>
      <c r="K315" s="6" t="s">
        <v>91</v>
      </c>
      <c r="L315" s="6" t="s">
        <v>92</v>
      </c>
      <c r="M315" s="6" t="s">
        <v>90</v>
      </c>
      <c r="N315" s="6" t="s">
        <v>1139</v>
      </c>
      <c r="O315" s="6" t="s">
        <v>95</v>
      </c>
      <c r="P315" s="6" t="s">
        <v>27</v>
      </c>
      <c r="Q315" s="6" t="s">
        <v>104</v>
      </c>
      <c r="R315" s="6" t="s">
        <v>1643</v>
      </c>
      <c r="S315" s="6" t="s">
        <v>94</v>
      </c>
      <c r="T315" s="6" t="s">
        <v>94</v>
      </c>
      <c r="U315" s="6" t="s">
        <v>94</v>
      </c>
      <c r="V315" s="6" t="s">
        <v>94</v>
      </c>
      <c r="W315" s="6" t="s">
        <v>296</v>
      </c>
      <c r="X315" s="6" t="s">
        <v>1643</v>
      </c>
      <c r="Y315" s="6" t="s">
        <v>1652</v>
      </c>
      <c r="Z315" s="6" t="s">
        <v>1652</v>
      </c>
      <c r="AA315" s="8">
        <v>1</v>
      </c>
      <c r="AB315" s="8">
        <v>1</v>
      </c>
      <c r="AC315" s="8">
        <v>0</v>
      </c>
      <c r="AD315" s="8">
        <v>0</v>
      </c>
      <c r="AE315" s="8">
        <v>100</v>
      </c>
      <c r="AF315" s="6" t="s">
        <v>317</v>
      </c>
      <c r="AG315" s="6" t="s">
        <v>283</v>
      </c>
      <c r="AH315" s="6" t="s">
        <v>315</v>
      </c>
      <c r="AI315" s="6" t="s">
        <v>286</v>
      </c>
      <c r="AJ315" s="9">
        <v>40</v>
      </c>
      <c r="AK315" s="8">
        <v>40</v>
      </c>
      <c r="AL315" s="8">
        <v>40</v>
      </c>
      <c r="AM315" s="8">
        <v>40</v>
      </c>
      <c r="AN315" s="8">
        <v>40</v>
      </c>
      <c r="AO315" s="13">
        <v>40</v>
      </c>
      <c r="AP315" s="5"/>
    </row>
    <row r="316" spans="1:42">
      <c r="A316" s="12">
        <v>315</v>
      </c>
      <c r="B316" s="6" t="s">
        <v>1265</v>
      </c>
      <c r="C316" s="6" t="s">
        <v>2024</v>
      </c>
      <c r="D316" s="6" t="s">
        <v>387</v>
      </c>
      <c r="E316" s="6" t="s">
        <v>86</v>
      </c>
      <c r="F316" s="7">
        <v>45176</v>
      </c>
      <c r="G316" s="6" t="s">
        <v>288</v>
      </c>
      <c r="H316" s="6" t="s">
        <v>389</v>
      </c>
      <c r="I316" s="6" t="s">
        <v>1267</v>
      </c>
      <c r="J316" s="6" t="s">
        <v>90</v>
      </c>
      <c r="K316" s="6" t="s">
        <v>91</v>
      </c>
      <c r="L316" s="6" t="s">
        <v>92</v>
      </c>
      <c r="M316" s="6" t="s">
        <v>90</v>
      </c>
      <c r="N316" s="6" t="s">
        <v>103</v>
      </c>
      <c r="O316" s="6" t="s">
        <v>94</v>
      </c>
      <c r="P316" s="6" t="s">
        <v>103</v>
      </c>
      <c r="Q316" s="6" t="s">
        <v>104</v>
      </c>
      <c r="R316" s="6" t="s">
        <v>1643</v>
      </c>
      <c r="S316" s="6" t="s">
        <v>94</v>
      </c>
      <c r="T316" s="6" t="s">
        <v>94</v>
      </c>
      <c r="U316" s="6" t="s">
        <v>94</v>
      </c>
      <c r="V316" s="6" t="s">
        <v>94</v>
      </c>
      <c r="W316" s="6" t="s">
        <v>291</v>
      </c>
      <c r="X316" s="6" t="s">
        <v>1643</v>
      </c>
      <c r="Y316" s="6" t="s">
        <v>1643</v>
      </c>
      <c r="Z316" s="6" t="s">
        <v>1643</v>
      </c>
      <c r="AA316" s="8">
        <v>1</v>
      </c>
      <c r="AB316" s="8">
        <v>1</v>
      </c>
      <c r="AC316" s="8">
        <v>1</v>
      </c>
      <c r="AD316" s="8">
        <v>1</v>
      </c>
      <c r="AE316" s="8">
        <v>100</v>
      </c>
      <c r="AF316" s="6" t="s">
        <v>491</v>
      </c>
      <c r="AG316" s="6" t="s">
        <v>492</v>
      </c>
      <c r="AH316" s="6" t="s">
        <v>486</v>
      </c>
      <c r="AI316" s="6" t="s">
        <v>286</v>
      </c>
      <c r="AJ316" s="9">
        <v>40</v>
      </c>
      <c r="AK316" s="8">
        <v>40</v>
      </c>
      <c r="AL316" s="8">
        <v>40</v>
      </c>
      <c r="AM316" s="8">
        <v>40</v>
      </c>
      <c r="AN316" s="8">
        <v>40</v>
      </c>
      <c r="AO316" s="13">
        <v>40</v>
      </c>
      <c r="AP316" s="5"/>
    </row>
    <row r="317" spans="1:42">
      <c r="A317" s="12">
        <v>316</v>
      </c>
      <c r="B317" s="6" t="s">
        <v>1268</v>
      </c>
      <c r="C317" s="6" t="s">
        <v>2025</v>
      </c>
      <c r="D317" s="6" t="s">
        <v>318</v>
      </c>
      <c r="E317" s="6" t="s">
        <v>86</v>
      </c>
      <c r="F317" s="7">
        <v>42445</v>
      </c>
      <c r="G317" s="6" t="s">
        <v>4</v>
      </c>
      <c r="H317" s="6" t="s">
        <v>134</v>
      </c>
      <c r="I317" s="6" t="s">
        <v>1270</v>
      </c>
      <c r="J317" s="6" t="s">
        <v>90</v>
      </c>
      <c r="K317" s="6" t="s">
        <v>91</v>
      </c>
      <c r="L317" s="6" t="s">
        <v>92</v>
      </c>
      <c r="M317" s="6" t="s">
        <v>90</v>
      </c>
      <c r="N317" s="6" t="s">
        <v>93</v>
      </c>
      <c r="O317" s="6" t="s">
        <v>104</v>
      </c>
      <c r="P317" s="6" t="s">
        <v>93</v>
      </c>
      <c r="Q317" s="6" t="s">
        <v>95</v>
      </c>
      <c r="R317" s="6" t="s">
        <v>1643</v>
      </c>
      <c r="S317" s="6" t="s">
        <v>1669</v>
      </c>
      <c r="T317" s="6" t="s">
        <v>94</v>
      </c>
      <c r="U317" s="6" t="s">
        <v>94</v>
      </c>
      <c r="V317" s="6" t="s">
        <v>94</v>
      </c>
      <c r="W317" s="6" t="s">
        <v>399</v>
      </c>
      <c r="X317" s="6" t="s">
        <v>1652</v>
      </c>
      <c r="Y317" s="6" t="s">
        <v>1652</v>
      </c>
      <c r="Z317" s="6" t="s">
        <v>1652</v>
      </c>
      <c r="AA317" s="8">
        <v>0.81</v>
      </c>
      <c r="AB317" s="8">
        <v>0</v>
      </c>
      <c r="AC317" s="8">
        <v>0</v>
      </c>
      <c r="AD317" s="8">
        <v>0</v>
      </c>
      <c r="AE317" s="8">
        <v>85.714285709999999</v>
      </c>
      <c r="AF317" s="6" t="s">
        <v>391</v>
      </c>
      <c r="AG317" s="6" t="s">
        <v>386</v>
      </c>
      <c r="AH317" s="6" t="s">
        <v>387</v>
      </c>
      <c r="AI317" s="6" t="s">
        <v>286</v>
      </c>
      <c r="AJ317" s="9">
        <v>40</v>
      </c>
      <c r="AK317" s="8">
        <v>16</v>
      </c>
      <c r="AL317" s="8">
        <v>0</v>
      </c>
      <c r="AM317" s="8">
        <v>0</v>
      </c>
      <c r="AN317" s="8">
        <v>0</v>
      </c>
      <c r="AO317" s="13">
        <v>0</v>
      </c>
      <c r="AP317" s="5"/>
    </row>
    <row r="318" spans="1:42">
      <c r="A318" s="12">
        <v>317</v>
      </c>
      <c r="B318" s="6" t="s">
        <v>1271</v>
      </c>
      <c r="C318" s="6" t="s">
        <v>2026</v>
      </c>
      <c r="D318" s="6" t="s">
        <v>94</v>
      </c>
      <c r="E318" s="6" t="s">
        <v>86</v>
      </c>
      <c r="F318" s="7">
        <v>43359</v>
      </c>
      <c r="G318" s="6" t="s">
        <v>204</v>
      </c>
      <c r="H318" s="6" t="s">
        <v>182</v>
      </c>
      <c r="I318" s="6" t="s">
        <v>1273</v>
      </c>
      <c r="J318" s="6" t="s">
        <v>90</v>
      </c>
      <c r="K318" s="6" t="s">
        <v>91</v>
      </c>
      <c r="L318" s="6" t="s">
        <v>92</v>
      </c>
      <c r="M318" s="6" t="s">
        <v>90</v>
      </c>
      <c r="N318" s="6" t="s">
        <v>43</v>
      </c>
      <c r="O318" s="6" t="s">
        <v>122</v>
      </c>
      <c r="P318" s="6" t="s">
        <v>43</v>
      </c>
      <c r="Q318" s="6" t="s">
        <v>104</v>
      </c>
      <c r="R318" s="6" t="s">
        <v>1643</v>
      </c>
      <c r="S318" s="6" t="s">
        <v>94</v>
      </c>
      <c r="T318" s="6" t="s">
        <v>94</v>
      </c>
      <c r="U318" s="6" t="s">
        <v>94</v>
      </c>
      <c r="V318" s="6" t="s">
        <v>94</v>
      </c>
      <c r="W318" s="6" t="s">
        <v>403</v>
      </c>
      <c r="X318" s="6" t="s">
        <v>1643</v>
      </c>
      <c r="Y318" s="6" t="s">
        <v>1643</v>
      </c>
      <c r="Z318" s="6" t="s">
        <v>1643</v>
      </c>
      <c r="AA318" s="8">
        <v>1</v>
      </c>
      <c r="AB318" s="8">
        <v>1</v>
      </c>
      <c r="AC318" s="8">
        <v>1</v>
      </c>
      <c r="AD318" s="8">
        <v>1</v>
      </c>
      <c r="AE318" s="8">
        <v>100</v>
      </c>
      <c r="AF318" s="6" t="s">
        <v>308</v>
      </c>
      <c r="AG318" s="6" t="s">
        <v>283</v>
      </c>
      <c r="AH318" s="6" t="s">
        <v>318</v>
      </c>
      <c r="AI318" s="6" t="s">
        <v>286</v>
      </c>
      <c r="AJ318" s="9">
        <v>40</v>
      </c>
      <c r="AK318" s="8">
        <v>40</v>
      </c>
      <c r="AL318" s="8">
        <v>40</v>
      </c>
      <c r="AM318" s="8">
        <v>40</v>
      </c>
      <c r="AN318" s="8">
        <v>40</v>
      </c>
      <c r="AO318" s="13">
        <v>40</v>
      </c>
      <c r="AP318" s="5"/>
    </row>
    <row r="319" spans="1:42">
      <c r="A319" s="12">
        <v>318</v>
      </c>
      <c r="B319" s="6" t="s">
        <v>1274</v>
      </c>
      <c r="C319" s="6" t="s">
        <v>2027</v>
      </c>
      <c r="D319" s="6" t="s">
        <v>387</v>
      </c>
      <c r="E319" s="6" t="s">
        <v>86</v>
      </c>
      <c r="F319" s="7">
        <v>44621</v>
      </c>
      <c r="G319" s="6" t="s">
        <v>204</v>
      </c>
      <c r="H319" s="6" t="s">
        <v>101</v>
      </c>
      <c r="I319" s="6" t="s">
        <v>1276</v>
      </c>
      <c r="J319" s="6" t="s">
        <v>90</v>
      </c>
      <c r="K319" s="6" t="s">
        <v>91</v>
      </c>
      <c r="L319" s="6" t="s">
        <v>92</v>
      </c>
      <c r="M319" s="6" t="s">
        <v>90</v>
      </c>
      <c r="N319" s="6" t="s">
        <v>43</v>
      </c>
      <c r="O319" s="6" t="s">
        <v>122</v>
      </c>
      <c r="P319" s="6" t="s">
        <v>43</v>
      </c>
      <c r="Q319" s="6" t="s">
        <v>122</v>
      </c>
      <c r="R319" s="10" t="s">
        <v>1773</v>
      </c>
      <c r="S319" s="6" t="s">
        <v>2028</v>
      </c>
      <c r="T319" s="6" t="s">
        <v>94</v>
      </c>
      <c r="U319" s="6" t="s">
        <v>94</v>
      </c>
      <c r="V319" s="6" t="s">
        <v>94</v>
      </c>
      <c r="W319" s="6" t="s">
        <v>403</v>
      </c>
      <c r="X319" s="6" t="s">
        <v>1773</v>
      </c>
      <c r="Y319" s="6" t="s">
        <v>1773</v>
      </c>
      <c r="Z319" s="6" t="s">
        <v>1773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6" t="s">
        <v>94</v>
      </c>
      <c r="AG319" s="6" t="s">
        <v>94</v>
      </c>
      <c r="AH319" s="6" t="s">
        <v>94</v>
      </c>
      <c r="AI319" s="6" t="s">
        <v>94</v>
      </c>
      <c r="AJ319" s="9">
        <v>0</v>
      </c>
      <c r="AK319" s="8">
        <v>0</v>
      </c>
      <c r="AL319" s="8">
        <v>0</v>
      </c>
      <c r="AM319" s="8">
        <v>0</v>
      </c>
      <c r="AN319" s="8">
        <v>0</v>
      </c>
      <c r="AO319" s="13">
        <v>0</v>
      </c>
      <c r="AP319" s="5"/>
    </row>
    <row r="320" spans="1:42">
      <c r="A320" s="12">
        <v>319</v>
      </c>
      <c r="B320" s="6" t="s">
        <v>1277</v>
      </c>
      <c r="C320" s="6" t="s">
        <v>2029</v>
      </c>
      <c r="D320" s="6" t="s">
        <v>327</v>
      </c>
      <c r="E320" s="6" t="s">
        <v>86</v>
      </c>
      <c r="F320" s="7">
        <v>43366</v>
      </c>
      <c r="G320" s="6" t="s">
        <v>204</v>
      </c>
      <c r="H320" s="6" t="s">
        <v>126</v>
      </c>
      <c r="I320" s="6" t="s">
        <v>1279</v>
      </c>
      <c r="J320" s="6" t="s">
        <v>90</v>
      </c>
      <c r="K320" s="6" t="s">
        <v>91</v>
      </c>
      <c r="L320" s="6" t="s">
        <v>92</v>
      </c>
      <c r="M320" s="6" t="s">
        <v>90</v>
      </c>
      <c r="N320" s="6" t="s">
        <v>43</v>
      </c>
      <c r="O320" s="6" t="s">
        <v>122</v>
      </c>
      <c r="P320" s="6" t="s">
        <v>43</v>
      </c>
      <c r="Q320" s="6" t="s">
        <v>95</v>
      </c>
      <c r="R320" s="6" t="s">
        <v>1643</v>
      </c>
      <c r="S320" s="6" t="s">
        <v>2030</v>
      </c>
      <c r="T320" s="6" t="s">
        <v>94</v>
      </c>
      <c r="U320" s="6" t="s">
        <v>94</v>
      </c>
      <c r="V320" s="6" t="s">
        <v>94</v>
      </c>
      <c r="W320" s="6" t="s">
        <v>403</v>
      </c>
      <c r="X320" s="6" t="s">
        <v>1643</v>
      </c>
      <c r="Y320" s="6" t="s">
        <v>1643</v>
      </c>
      <c r="Z320" s="6" t="s">
        <v>1643</v>
      </c>
      <c r="AA320" s="8">
        <v>1</v>
      </c>
      <c r="AB320" s="8">
        <v>1</v>
      </c>
      <c r="AC320" s="8">
        <v>1</v>
      </c>
      <c r="AD320" s="8">
        <v>1</v>
      </c>
      <c r="AE320" s="8">
        <v>100</v>
      </c>
      <c r="AF320" s="6" t="s">
        <v>391</v>
      </c>
      <c r="AG320" s="6" t="s">
        <v>386</v>
      </c>
      <c r="AH320" s="6" t="s">
        <v>387</v>
      </c>
      <c r="AI320" s="6" t="s">
        <v>286</v>
      </c>
      <c r="AJ320" s="9">
        <v>40</v>
      </c>
      <c r="AK320" s="8">
        <v>40</v>
      </c>
      <c r="AL320" s="8">
        <v>40</v>
      </c>
      <c r="AM320" s="8">
        <v>40</v>
      </c>
      <c r="AN320" s="8">
        <v>40</v>
      </c>
      <c r="AO320" s="13">
        <v>40</v>
      </c>
      <c r="AP320" s="5"/>
    </row>
    <row r="321" spans="1:42">
      <c r="A321" s="12">
        <v>320</v>
      </c>
      <c r="B321" s="6" t="s">
        <v>1280</v>
      </c>
      <c r="C321" s="6" t="s">
        <v>2031</v>
      </c>
      <c r="D321" s="6" t="s">
        <v>318</v>
      </c>
      <c r="E321" s="6" t="s">
        <v>86</v>
      </c>
      <c r="F321" s="7">
        <v>44363</v>
      </c>
      <c r="G321" s="6" t="s">
        <v>111</v>
      </c>
      <c r="H321" s="6" t="s">
        <v>182</v>
      </c>
      <c r="I321" s="6" t="s">
        <v>1282</v>
      </c>
      <c r="J321" s="6" t="s">
        <v>90</v>
      </c>
      <c r="K321" s="6" t="s">
        <v>91</v>
      </c>
      <c r="L321" s="6" t="s">
        <v>92</v>
      </c>
      <c r="M321" s="6" t="s">
        <v>90</v>
      </c>
      <c r="N321" s="6" t="s">
        <v>313</v>
      </c>
      <c r="O321" s="6" t="s">
        <v>94</v>
      </c>
      <c r="P321" s="6" t="s">
        <v>117</v>
      </c>
      <c r="Q321" s="6" t="s">
        <v>122</v>
      </c>
      <c r="R321" s="6" t="s">
        <v>1643</v>
      </c>
      <c r="S321" s="6" t="s">
        <v>94</v>
      </c>
      <c r="T321" s="6" t="s">
        <v>94</v>
      </c>
      <c r="U321" s="6" t="s">
        <v>94</v>
      </c>
      <c r="V321" s="6" t="s">
        <v>94</v>
      </c>
      <c r="W321" s="6" t="s">
        <v>281</v>
      </c>
      <c r="X321" s="6" t="s">
        <v>1643</v>
      </c>
      <c r="Y321" s="6" t="s">
        <v>1643</v>
      </c>
      <c r="Z321" s="6" t="s">
        <v>1643</v>
      </c>
      <c r="AA321" s="8">
        <v>1</v>
      </c>
      <c r="AB321" s="8">
        <v>1</v>
      </c>
      <c r="AC321" s="8">
        <v>1</v>
      </c>
      <c r="AD321" s="8">
        <v>0.94</v>
      </c>
      <c r="AE321" s="8">
        <v>100</v>
      </c>
      <c r="AF321" s="6" t="s">
        <v>330</v>
      </c>
      <c r="AG321" s="6" t="s">
        <v>283</v>
      </c>
      <c r="AH321" s="6" t="s">
        <v>327</v>
      </c>
      <c r="AI321" s="6" t="s">
        <v>286</v>
      </c>
      <c r="AJ321" s="9">
        <v>40</v>
      </c>
      <c r="AK321" s="8">
        <v>40</v>
      </c>
      <c r="AL321" s="8">
        <v>40</v>
      </c>
      <c r="AM321" s="8">
        <v>40</v>
      </c>
      <c r="AN321" s="8">
        <v>40</v>
      </c>
      <c r="AO321" s="13">
        <v>40</v>
      </c>
      <c r="AP321" s="5"/>
    </row>
    <row r="322" spans="1:42">
      <c r="A322" s="12">
        <v>321</v>
      </c>
      <c r="B322" s="6" t="s">
        <v>1283</v>
      </c>
      <c r="C322" s="6" t="s">
        <v>2032</v>
      </c>
      <c r="D322" s="6" t="s">
        <v>373</v>
      </c>
      <c r="E322" s="6" t="s">
        <v>86</v>
      </c>
      <c r="F322" s="7">
        <v>43319</v>
      </c>
      <c r="G322" s="6" t="s">
        <v>784</v>
      </c>
      <c r="H322" s="6" t="s">
        <v>311</v>
      </c>
      <c r="I322" s="6" t="s">
        <v>1285</v>
      </c>
      <c r="J322" s="6" t="s">
        <v>90</v>
      </c>
      <c r="K322" s="6" t="s">
        <v>91</v>
      </c>
      <c r="L322" s="6" t="s">
        <v>92</v>
      </c>
      <c r="M322" s="6" t="s">
        <v>90</v>
      </c>
      <c r="N322" s="6" t="s">
        <v>784</v>
      </c>
      <c r="O322" s="6" t="s">
        <v>95</v>
      </c>
      <c r="P322" s="6" t="s">
        <v>93</v>
      </c>
      <c r="Q322" s="6" t="s">
        <v>104</v>
      </c>
      <c r="R322" s="6" t="s">
        <v>1643</v>
      </c>
      <c r="S322" s="6" t="s">
        <v>1747</v>
      </c>
      <c r="T322" s="6" t="s">
        <v>94</v>
      </c>
      <c r="U322" s="6" t="s">
        <v>94</v>
      </c>
      <c r="V322" s="6" t="s">
        <v>94</v>
      </c>
      <c r="W322" s="6" t="s">
        <v>1286</v>
      </c>
      <c r="X322" s="6" t="s">
        <v>1643</v>
      </c>
      <c r="Y322" s="6" t="s">
        <v>1643</v>
      </c>
      <c r="Z322" s="6" t="s">
        <v>1643</v>
      </c>
      <c r="AA322" s="8">
        <v>1</v>
      </c>
      <c r="AB322" s="8">
        <v>1</v>
      </c>
      <c r="AC322" s="8">
        <v>1</v>
      </c>
      <c r="AD322" s="8">
        <v>1</v>
      </c>
      <c r="AE322" s="8">
        <v>100</v>
      </c>
      <c r="AF322" s="6" t="s">
        <v>308</v>
      </c>
      <c r="AG322" s="6" t="s">
        <v>283</v>
      </c>
      <c r="AH322" s="6" t="s">
        <v>318</v>
      </c>
      <c r="AI322" s="6" t="s">
        <v>286</v>
      </c>
      <c r="AJ322" s="9">
        <v>40</v>
      </c>
      <c r="AK322" s="8">
        <v>40</v>
      </c>
      <c r="AL322" s="8">
        <v>40</v>
      </c>
      <c r="AM322" s="8">
        <v>40</v>
      </c>
      <c r="AN322" s="8">
        <v>40</v>
      </c>
      <c r="AO322" s="13">
        <v>40</v>
      </c>
      <c r="AP322" s="5"/>
    </row>
    <row r="323" spans="1:42">
      <c r="A323" s="12">
        <v>322</v>
      </c>
      <c r="B323" s="6" t="s">
        <v>1287</v>
      </c>
      <c r="C323" s="6" t="s">
        <v>2033</v>
      </c>
      <c r="D323" s="6" t="s">
        <v>305</v>
      </c>
      <c r="E323" s="6" t="s">
        <v>86</v>
      </c>
      <c r="F323" s="7">
        <v>45800</v>
      </c>
      <c r="G323" s="6" t="s">
        <v>337</v>
      </c>
      <c r="H323" s="6" t="s">
        <v>94</v>
      </c>
      <c r="I323" s="6" t="s">
        <v>1289</v>
      </c>
      <c r="J323" s="6" t="s">
        <v>90</v>
      </c>
      <c r="K323" s="6" t="s">
        <v>91</v>
      </c>
      <c r="L323" s="6" t="s">
        <v>92</v>
      </c>
      <c r="M323" s="6" t="s">
        <v>90</v>
      </c>
      <c r="N323" s="6" t="s">
        <v>94</v>
      </c>
      <c r="O323" s="6" t="s">
        <v>94</v>
      </c>
      <c r="P323" s="6" t="s">
        <v>131</v>
      </c>
      <c r="Q323" s="6" t="s">
        <v>104</v>
      </c>
      <c r="R323" s="6" t="s">
        <v>1643</v>
      </c>
      <c r="S323" s="6" t="s">
        <v>94</v>
      </c>
      <c r="T323" s="6" t="s">
        <v>94</v>
      </c>
      <c r="U323" s="6" t="s">
        <v>94</v>
      </c>
      <c r="V323" s="6" t="s">
        <v>94</v>
      </c>
      <c r="W323" s="6" t="s">
        <v>338</v>
      </c>
      <c r="X323" s="6" t="s">
        <v>1643</v>
      </c>
      <c r="Y323" s="6" t="s">
        <v>1643</v>
      </c>
      <c r="Z323" s="6" t="s">
        <v>1643</v>
      </c>
      <c r="AA323" s="8">
        <v>1</v>
      </c>
      <c r="AB323" s="8">
        <v>1</v>
      </c>
      <c r="AC323" s="8">
        <v>1</v>
      </c>
      <c r="AD323" s="8">
        <v>1</v>
      </c>
      <c r="AE323" s="8">
        <v>100</v>
      </c>
      <c r="AF323" s="6" t="s">
        <v>334</v>
      </c>
      <c r="AG323" s="6" t="s">
        <v>335</v>
      </c>
      <c r="AH323" s="6" t="s">
        <v>373</v>
      </c>
      <c r="AI323" s="6" t="s">
        <v>286</v>
      </c>
      <c r="AJ323" s="9">
        <v>40</v>
      </c>
      <c r="AK323" s="8">
        <v>40</v>
      </c>
      <c r="AL323" s="8">
        <v>40</v>
      </c>
      <c r="AM323" s="8">
        <v>40</v>
      </c>
      <c r="AN323" s="8">
        <v>40</v>
      </c>
      <c r="AO323" s="13">
        <v>40</v>
      </c>
      <c r="AP323" s="5"/>
    </row>
    <row r="324" spans="1:42">
      <c r="A324" s="12">
        <v>323</v>
      </c>
      <c r="B324" s="6" t="s">
        <v>1290</v>
      </c>
      <c r="C324" s="6" t="s">
        <v>2034</v>
      </c>
      <c r="D324" s="6" t="s">
        <v>339</v>
      </c>
      <c r="E324" s="6" t="s">
        <v>86</v>
      </c>
      <c r="F324" s="7">
        <v>44516</v>
      </c>
      <c r="G324" s="6" t="s">
        <v>111</v>
      </c>
      <c r="H324" s="6" t="s">
        <v>603</v>
      </c>
      <c r="I324" s="6" t="s">
        <v>1292</v>
      </c>
      <c r="J324" s="6" t="s">
        <v>90</v>
      </c>
      <c r="K324" s="6" t="s">
        <v>91</v>
      </c>
      <c r="L324" s="6" t="s">
        <v>92</v>
      </c>
      <c r="M324" s="6" t="s">
        <v>90</v>
      </c>
      <c r="N324" s="6" t="s">
        <v>519</v>
      </c>
      <c r="O324" s="6" t="s">
        <v>94</v>
      </c>
      <c r="P324" s="6" t="s">
        <v>438</v>
      </c>
      <c r="Q324" s="6" t="s">
        <v>95</v>
      </c>
      <c r="R324" s="6" t="s">
        <v>1643</v>
      </c>
      <c r="S324" s="6" t="s">
        <v>94</v>
      </c>
      <c r="T324" s="6" t="s">
        <v>94</v>
      </c>
      <c r="U324" s="6" t="s">
        <v>94</v>
      </c>
      <c r="V324" s="6" t="s">
        <v>94</v>
      </c>
      <c r="W324" s="6" t="s">
        <v>281</v>
      </c>
      <c r="X324" s="6" t="s">
        <v>1643</v>
      </c>
      <c r="Y324" s="6" t="s">
        <v>1643</v>
      </c>
      <c r="Z324" s="6" t="s">
        <v>1652</v>
      </c>
      <c r="AA324" s="8">
        <v>1</v>
      </c>
      <c r="AB324" s="8">
        <v>1</v>
      </c>
      <c r="AC324" s="8">
        <v>1</v>
      </c>
      <c r="AD324" s="8">
        <v>0</v>
      </c>
      <c r="AE324" s="8">
        <v>100</v>
      </c>
      <c r="AF324" s="6" t="s">
        <v>308</v>
      </c>
      <c r="AG324" s="6" t="s">
        <v>283</v>
      </c>
      <c r="AH324" s="6" t="s">
        <v>305</v>
      </c>
      <c r="AI324" s="6" t="s">
        <v>286</v>
      </c>
      <c r="AJ324" s="9">
        <v>40</v>
      </c>
      <c r="AK324" s="8">
        <v>40</v>
      </c>
      <c r="AL324" s="8">
        <v>40</v>
      </c>
      <c r="AM324" s="8">
        <v>40</v>
      </c>
      <c r="AN324" s="8">
        <v>40</v>
      </c>
      <c r="AO324" s="13">
        <v>40</v>
      </c>
      <c r="AP324" s="5"/>
    </row>
    <row r="325" spans="1:42">
      <c r="A325" s="12">
        <v>324</v>
      </c>
      <c r="B325" s="6" t="s">
        <v>1293</v>
      </c>
      <c r="C325" s="6" t="s">
        <v>2035</v>
      </c>
      <c r="D325" s="6" t="s">
        <v>298</v>
      </c>
      <c r="E325" s="6" t="s">
        <v>86</v>
      </c>
      <c r="F325" s="7">
        <v>41836</v>
      </c>
      <c r="G325" s="6" t="s">
        <v>87</v>
      </c>
      <c r="H325" s="6" t="s">
        <v>371</v>
      </c>
      <c r="I325" s="6" t="s">
        <v>1295</v>
      </c>
      <c r="J325" s="6" t="s">
        <v>90</v>
      </c>
      <c r="K325" s="6" t="s">
        <v>91</v>
      </c>
      <c r="L325" s="6" t="s">
        <v>92</v>
      </c>
      <c r="M325" s="6" t="s">
        <v>90</v>
      </c>
      <c r="N325" s="6" t="s">
        <v>93</v>
      </c>
      <c r="O325" s="6" t="s">
        <v>122</v>
      </c>
      <c r="P325" s="6" t="s">
        <v>93</v>
      </c>
      <c r="Q325" s="6" t="s">
        <v>122</v>
      </c>
      <c r="R325" s="6" t="s">
        <v>1643</v>
      </c>
      <c r="S325" s="6" t="s">
        <v>94</v>
      </c>
      <c r="T325" s="6" t="s">
        <v>94</v>
      </c>
      <c r="U325" s="6" t="s">
        <v>94</v>
      </c>
      <c r="V325" s="6" t="s">
        <v>94</v>
      </c>
      <c r="W325" s="6" t="s">
        <v>490</v>
      </c>
      <c r="X325" s="6" t="s">
        <v>1643</v>
      </c>
      <c r="Y325" s="6" t="s">
        <v>1643</v>
      </c>
      <c r="Z325" s="6" t="s">
        <v>1643</v>
      </c>
      <c r="AA325" s="8">
        <v>1</v>
      </c>
      <c r="AB325" s="8">
        <v>1</v>
      </c>
      <c r="AC325" s="8">
        <v>1</v>
      </c>
      <c r="AD325" s="8">
        <v>1</v>
      </c>
      <c r="AE325" s="8">
        <v>100</v>
      </c>
      <c r="AF325" s="6" t="s">
        <v>334</v>
      </c>
      <c r="AG325" s="6" t="s">
        <v>335</v>
      </c>
      <c r="AH325" s="6" t="s">
        <v>339</v>
      </c>
      <c r="AI325" s="6" t="s">
        <v>286</v>
      </c>
      <c r="AJ325" s="9">
        <v>40</v>
      </c>
      <c r="AK325" s="8">
        <v>40</v>
      </c>
      <c r="AL325" s="8">
        <v>40</v>
      </c>
      <c r="AM325" s="8">
        <v>40</v>
      </c>
      <c r="AN325" s="8">
        <v>40</v>
      </c>
      <c r="AO325" s="13">
        <v>40</v>
      </c>
      <c r="AP325" s="5"/>
    </row>
    <row r="326" spans="1:42">
      <c r="A326" s="12">
        <v>325</v>
      </c>
      <c r="B326" s="6" t="s">
        <v>1296</v>
      </c>
      <c r="C326" s="6" t="s">
        <v>37</v>
      </c>
      <c r="D326" s="6" t="s">
        <v>298</v>
      </c>
      <c r="E326" s="6" t="s">
        <v>86</v>
      </c>
      <c r="F326" s="7">
        <v>40929</v>
      </c>
      <c r="G326" s="6" t="s">
        <v>150</v>
      </c>
      <c r="H326" s="6" t="s">
        <v>182</v>
      </c>
      <c r="I326" s="6" t="s">
        <v>183</v>
      </c>
      <c r="J326" s="6" t="s">
        <v>90</v>
      </c>
      <c r="K326" s="6" t="s">
        <v>91</v>
      </c>
      <c r="L326" s="6" t="s">
        <v>92</v>
      </c>
      <c r="M326" s="6" t="s">
        <v>90</v>
      </c>
      <c r="N326" s="6" t="s">
        <v>27</v>
      </c>
      <c r="O326" s="6" t="s">
        <v>122</v>
      </c>
      <c r="P326" s="6" t="s">
        <v>184</v>
      </c>
      <c r="Q326" s="6" t="s">
        <v>104</v>
      </c>
      <c r="R326" s="6" t="s">
        <v>1643</v>
      </c>
      <c r="S326" s="6" t="s">
        <v>1813</v>
      </c>
      <c r="T326" s="6" t="s">
        <v>94</v>
      </c>
      <c r="U326" s="6" t="s">
        <v>94</v>
      </c>
      <c r="V326" s="6" t="s">
        <v>94</v>
      </c>
      <c r="W326" s="6" t="s">
        <v>445</v>
      </c>
      <c r="X326" s="6" t="s">
        <v>1643</v>
      </c>
      <c r="Y326" s="6" t="s">
        <v>1643</v>
      </c>
      <c r="Z326" s="6" t="s">
        <v>1643</v>
      </c>
      <c r="AA326" s="8">
        <v>1</v>
      </c>
      <c r="AB326" s="8">
        <v>1</v>
      </c>
      <c r="AC326" s="8">
        <v>1</v>
      </c>
      <c r="AD326" s="8">
        <v>1</v>
      </c>
      <c r="AE326" s="8">
        <v>100</v>
      </c>
      <c r="AF326" s="6" t="s">
        <v>300</v>
      </c>
      <c r="AG326" s="6" t="s">
        <v>283</v>
      </c>
      <c r="AH326" s="6" t="s">
        <v>298</v>
      </c>
      <c r="AI326" s="6" t="s">
        <v>286</v>
      </c>
      <c r="AJ326" s="9">
        <v>40</v>
      </c>
      <c r="AK326" s="8">
        <v>40</v>
      </c>
      <c r="AL326" s="8">
        <v>40</v>
      </c>
      <c r="AM326" s="8">
        <v>40</v>
      </c>
      <c r="AN326" s="8">
        <v>40</v>
      </c>
      <c r="AO326" s="13">
        <v>40</v>
      </c>
      <c r="AP326" s="5"/>
    </row>
    <row r="327" spans="1:42">
      <c r="A327" s="12">
        <v>326</v>
      </c>
      <c r="B327" s="6" t="s">
        <v>1298</v>
      </c>
      <c r="C327" s="6" t="s">
        <v>32</v>
      </c>
      <c r="D327" s="6" t="s">
        <v>341</v>
      </c>
      <c r="E327" s="6" t="s">
        <v>86</v>
      </c>
      <c r="F327" s="7">
        <v>45283</v>
      </c>
      <c r="G327" s="6" t="s">
        <v>26</v>
      </c>
      <c r="H327" s="6" t="s">
        <v>94</v>
      </c>
      <c r="I327" s="6" t="s">
        <v>168</v>
      </c>
      <c r="J327" s="6" t="s">
        <v>90</v>
      </c>
      <c r="K327" s="6" t="s">
        <v>91</v>
      </c>
      <c r="L327" s="6" t="s">
        <v>92</v>
      </c>
      <c r="M327" s="6" t="s">
        <v>90</v>
      </c>
      <c r="N327" s="6" t="s">
        <v>27</v>
      </c>
      <c r="O327" s="6" t="s">
        <v>104</v>
      </c>
      <c r="P327" s="6" t="s">
        <v>27</v>
      </c>
      <c r="Q327" s="6" t="s">
        <v>104</v>
      </c>
      <c r="R327" s="6" t="s">
        <v>1643</v>
      </c>
      <c r="S327" s="6" t="s">
        <v>2036</v>
      </c>
      <c r="T327" s="6" t="s">
        <v>94</v>
      </c>
      <c r="U327" s="6" t="s">
        <v>94</v>
      </c>
      <c r="V327" s="6" t="s">
        <v>94</v>
      </c>
      <c r="W327" s="6" t="s">
        <v>296</v>
      </c>
      <c r="X327" s="6" t="s">
        <v>1643</v>
      </c>
      <c r="Y327" s="6" t="s">
        <v>1643</v>
      </c>
      <c r="Z327" s="6" t="s">
        <v>1643</v>
      </c>
      <c r="AA327" s="8">
        <v>1</v>
      </c>
      <c r="AB327" s="8">
        <v>1</v>
      </c>
      <c r="AC327" s="8">
        <v>1</v>
      </c>
      <c r="AD327" s="8">
        <v>1</v>
      </c>
      <c r="AE327" s="8">
        <v>100</v>
      </c>
      <c r="AF327" s="6" t="s">
        <v>300</v>
      </c>
      <c r="AG327" s="6" t="s">
        <v>283</v>
      </c>
      <c r="AH327" s="6" t="s">
        <v>298</v>
      </c>
      <c r="AI327" s="6" t="s">
        <v>286</v>
      </c>
      <c r="AJ327" s="9">
        <v>40</v>
      </c>
      <c r="AK327" s="8">
        <v>40</v>
      </c>
      <c r="AL327" s="8">
        <v>40</v>
      </c>
      <c r="AM327" s="8">
        <v>40</v>
      </c>
      <c r="AN327" s="8">
        <v>40</v>
      </c>
      <c r="AO327" s="13">
        <v>40</v>
      </c>
      <c r="AP327" s="5"/>
    </row>
    <row r="328" spans="1:42">
      <c r="A328" s="12">
        <v>327</v>
      </c>
      <c r="B328" s="6" t="s">
        <v>1300</v>
      </c>
      <c r="C328" s="6" t="s">
        <v>2037</v>
      </c>
      <c r="D328" s="6" t="s">
        <v>301</v>
      </c>
      <c r="E328" s="6" t="s">
        <v>86</v>
      </c>
      <c r="F328" s="7">
        <v>44568</v>
      </c>
      <c r="G328" s="6" t="s">
        <v>111</v>
      </c>
      <c r="H328" s="6" t="s">
        <v>344</v>
      </c>
      <c r="I328" s="6" t="s">
        <v>1302</v>
      </c>
      <c r="J328" s="6" t="s">
        <v>90</v>
      </c>
      <c r="K328" s="6" t="s">
        <v>91</v>
      </c>
      <c r="L328" s="6" t="s">
        <v>92</v>
      </c>
      <c r="M328" s="6" t="s">
        <v>90</v>
      </c>
      <c r="N328" s="6" t="s">
        <v>103</v>
      </c>
      <c r="O328" s="6" t="s">
        <v>95</v>
      </c>
      <c r="P328" s="6" t="s">
        <v>131</v>
      </c>
      <c r="Q328" s="6" t="s">
        <v>122</v>
      </c>
      <c r="R328" s="6" t="s">
        <v>1643</v>
      </c>
      <c r="S328" s="6" t="s">
        <v>2038</v>
      </c>
      <c r="T328" s="6" t="s">
        <v>94</v>
      </c>
      <c r="U328" s="6" t="s">
        <v>94</v>
      </c>
      <c r="V328" s="6" t="s">
        <v>94</v>
      </c>
      <c r="W328" s="6" t="s">
        <v>418</v>
      </c>
      <c r="X328" s="6" t="s">
        <v>1643</v>
      </c>
      <c r="Y328" s="6" t="s">
        <v>1643</v>
      </c>
      <c r="Z328" s="6" t="s">
        <v>1652</v>
      </c>
      <c r="AA328" s="8">
        <v>1</v>
      </c>
      <c r="AB328" s="8">
        <v>1</v>
      </c>
      <c r="AC328" s="8">
        <v>1</v>
      </c>
      <c r="AD328" s="8">
        <v>0</v>
      </c>
      <c r="AE328" s="8">
        <v>100</v>
      </c>
      <c r="AF328" s="6" t="s">
        <v>282</v>
      </c>
      <c r="AG328" s="6" t="s">
        <v>283</v>
      </c>
      <c r="AH328" s="6" t="s">
        <v>341</v>
      </c>
      <c r="AI328" s="6" t="s">
        <v>286</v>
      </c>
      <c r="AJ328" s="9">
        <v>40</v>
      </c>
      <c r="AK328" s="8">
        <v>40</v>
      </c>
      <c r="AL328" s="8">
        <v>40</v>
      </c>
      <c r="AM328" s="8">
        <v>40</v>
      </c>
      <c r="AN328" s="8">
        <v>40</v>
      </c>
      <c r="AO328" s="13">
        <v>40</v>
      </c>
      <c r="AP328" s="5"/>
    </row>
    <row r="329" spans="1:42">
      <c r="A329" s="12">
        <v>328</v>
      </c>
      <c r="B329" s="6" t="s">
        <v>1303</v>
      </c>
      <c r="C329" s="6" t="s">
        <v>2039</v>
      </c>
      <c r="D329" s="6" t="s">
        <v>323</v>
      </c>
      <c r="E329" s="6" t="s">
        <v>86</v>
      </c>
      <c r="F329" s="7">
        <v>45916</v>
      </c>
      <c r="G329" s="6" t="s">
        <v>337</v>
      </c>
      <c r="H329" s="6" t="s">
        <v>94</v>
      </c>
      <c r="I329" s="6" t="s">
        <v>94</v>
      </c>
      <c r="J329" s="6" t="s">
        <v>90</v>
      </c>
      <c r="K329" s="6" t="s">
        <v>91</v>
      </c>
      <c r="L329" s="6" t="s">
        <v>92</v>
      </c>
      <c r="M329" s="6" t="s">
        <v>90</v>
      </c>
      <c r="N329" s="6" t="s">
        <v>94</v>
      </c>
      <c r="O329" s="6" t="s">
        <v>94</v>
      </c>
      <c r="P329" s="6" t="s">
        <v>131</v>
      </c>
      <c r="Q329" s="6" t="s">
        <v>95</v>
      </c>
      <c r="R329" s="6" t="s">
        <v>1643</v>
      </c>
      <c r="S329" s="6" t="s">
        <v>94</v>
      </c>
      <c r="T329" s="6" t="s">
        <v>94</v>
      </c>
      <c r="U329" s="6" t="s">
        <v>94</v>
      </c>
      <c r="V329" s="6" t="s">
        <v>94</v>
      </c>
      <c r="W329" s="6" t="s">
        <v>338</v>
      </c>
      <c r="X329" s="6" t="s">
        <v>1652</v>
      </c>
      <c r="Y329" s="6" t="s">
        <v>1652</v>
      </c>
      <c r="Z329" s="6" t="s">
        <v>1652</v>
      </c>
      <c r="AA329" s="8">
        <v>1</v>
      </c>
      <c r="AB329" s="8">
        <v>0</v>
      </c>
      <c r="AC329" s="8">
        <v>0</v>
      </c>
      <c r="AD329" s="8">
        <v>0</v>
      </c>
      <c r="AE329" s="8">
        <v>100</v>
      </c>
      <c r="AF329" s="6" t="s">
        <v>282</v>
      </c>
      <c r="AG329" s="6" t="s">
        <v>283</v>
      </c>
      <c r="AH329" s="6" t="s">
        <v>301</v>
      </c>
      <c r="AI329" s="6" t="s">
        <v>286</v>
      </c>
      <c r="AJ329" s="9">
        <v>40</v>
      </c>
      <c r="AK329" s="8">
        <v>40</v>
      </c>
      <c r="AL329" s="8">
        <v>8</v>
      </c>
      <c r="AM329" s="8">
        <v>0</v>
      </c>
      <c r="AN329" s="8">
        <v>0</v>
      </c>
      <c r="AO329" s="13">
        <v>0</v>
      </c>
      <c r="AP329" s="5"/>
    </row>
    <row r="330" spans="1:42">
      <c r="A330" s="12">
        <v>329</v>
      </c>
      <c r="B330" s="6" t="s">
        <v>1305</v>
      </c>
      <c r="C330" s="6" t="s">
        <v>2040</v>
      </c>
      <c r="D330" s="6" t="s">
        <v>348</v>
      </c>
      <c r="E330" s="6" t="s">
        <v>86</v>
      </c>
      <c r="F330" s="7">
        <v>45283</v>
      </c>
      <c r="G330" s="6" t="s">
        <v>100</v>
      </c>
      <c r="H330" s="6" t="s">
        <v>94</v>
      </c>
      <c r="I330" s="6" t="s">
        <v>1307</v>
      </c>
      <c r="J330" s="6" t="s">
        <v>90</v>
      </c>
      <c r="K330" s="6" t="s">
        <v>91</v>
      </c>
      <c r="L330" s="6" t="s">
        <v>92</v>
      </c>
      <c r="M330" s="6" t="s">
        <v>90</v>
      </c>
      <c r="N330" s="6" t="s">
        <v>94</v>
      </c>
      <c r="O330" s="6" t="s">
        <v>94</v>
      </c>
      <c r="P330" s="6" t="s">
        <v>93</v>
      </c>
      <c r="Q330" s="6" t="s">
        <v>104</v>
      </c>
      <c r="R330" s="6" t="s">
        <v>1643</v>
      </c>
      <c r="S330" s="6" t="s">
        <v>94</v>
      </c>
      <c r="T330" s="6" t="s">
        <v>94</v>
      </c>
      <c r="U330" s="6" t="s">
        <v>94</v>
      </c>
      <c r="V330" s="6" t="s">
        <v>94</v>
      </c>
      <c r="W330" s="6" t="s">
        <v>304</v>
      </c>
      <c r="X330" s="6" t="s">
        <v>1643</v>
      </c>
      <c r="Y330" s="6" t="s">
        <v>1643</v>
      </c>
      <c r="Z330" s="6" t="s">
        <v>1643</v>
      </c>
      <c r="AA330" s="8">
        <v>1</v>
      </c>
      <c r="AB330" s="8">
        <v>1</v>
      </c>
      <c r="AC330" s="8">
        <v>1</v>
      </c>
      <c r="AD330" s="8">
        <v>1</v>
      </c>
      <c r="AE330" s="8">
        <v>100</v>
      </c>
      <c r="AF330" s="6" t="s">
        <v>326</v>
      </c>
      <c r="AG330" s="6" t="s">
        <v>283</v>
      </c>
      <c r="AH330" s="6" t="s">
        <v>323</v>
      </c>
      <c r="AI330" s="6" t="s">
        <v>286</v>
      </c>
      <c r="AJ330" s="9">
        <v>40</v>
      </c>
      <c r="AK330" s="8">
        <v>40</v>
      </c>
      <c r="AL330" s="8">
        <v>40</v>
      </c>
      <c r="AM330" s="8">
        <v>40</v>
      </c>
      <c r="AN330" s="8">
        <v>40</v>
      </c>
      <c r="AO330" s="13">
        <v>40</v>
      </c>
      <c r="AP330" s="5"/>
    </row>
    <row r="331" spans="1:42">
      <c r="A331" s="12">
        <v>330</v>
      </c>
      <c r="B331" s="6" t="s">
        <v>1308</v>
      </c>
      <c r="C331" s="6" t="s">
        <v>2041</v>
      </c>
      <c r="D331" s="6" t="s">
        <v>305</v>
      </c>
      <c r="E331" s="6" t="s">
        <v>86</v>
      </c>
      <c r="F331" s="7">
        <v>44682</v>
      </c>
      <c r="G331" s="6" t="s">
        <v>288</v>
      </c>
      <c r="H331" s="6" t="s">
        <v>311</v>
      </c>
      <c r="I331" s="6" t="s">
        <v>1310</v>
      </c>
      <c r="J331" s="6" t="s">
        <v>90</v>
      </c>
      <c r="K331" s="6" t="s">
        <v>91</v>
      </c>
      <c r="L331" s="6" t="s">
        <v>92</v>
      </c>
      <c r="M331" s="6" t="s">
        <v>90</v>
      </c>
      <c r="N331" s="6" t="s">
        <v>103</v>
      </c>
      <c r="O331" s="6" t="s">
        <v>104</v>
      </c>
      <c r="P331" s="6" t="s">
        <v>103</v>
      </c>
      <c r="Q331" s="6" t="s">
        <v>95</v>
      </c>
      <c r="R331" s="6" t="s">
        <v>1643</v>
      </c>
      <c r="S331" s="6" t="s">
        <v>94</v>
      </c>
      <c r="T331" s="6" t="s">
        <v>94</v>
      </c>
      <c r="U331" s="6" t="s">
        <v>94</v>
      </c>
      <c r="V331" s="6" t="s">
        <v>94</v>
      </c>
      <c r="W331" s="6" t="s">
        <v>291</v>
      </c>
      <c r="X331" s="6" t="s">
        <v>1643</v>
      </c>
      <c r="Y331" s="6" t="s">
        <v>1643</v>
      </c>
      <c r="Z331" s="6" t="s">
        <v>1643</v>
      </c>
      <c r="AA331" s="8">
        <v>1</v>
      </c>
      <c r="AB331" s="8">
        <v>1</v>
      </c>
      <c r="AC331" s="8">
        <v>1</v>
      </c>
      <c r="AD331" s="8">
        <v>1</v>
      </c>
      <c r="AE331" s="8">
        <v>100</v>
      </c>
      <c r="AF331" s="6" t="s">
        <v>351</v>
      </c>
      <c r="AG331" s="6" t="s">
        <v>283</v>
      </c>
      <c r="AH331" s="6" t="s">
        <v>348</v>
      </c>
      <c r="AI331" s="6" t="s">
        <v>286</v>
      </c>
      <c r="AJ331" s="9">
        <v>40</v>
      </c>
      <c r="AK331" s="8">
        <v>40</v>
      </c>
      <c r="AL331" s="8">
        <v>40</v>
      </c>
      <c r="AM331" s="8">
        <v>40</v>
      </c>
      <c r="AN331" s="8">
        <v>40</v>
      </c>
      <c r="AO331" s="13">
        <v>40</v>
      </c>
      <c r="AP331" s="5"/>
    </row>
    <row r="332" spans="1:42">
      <c r="A332" s="12">
        <v>331</v>
      </c>
      <c r="B332" s="6" t="s">
        <v>1311</v>
      </c>
      <c r="C332" s="6" t="s">
        <v>2042</v>
      </c>
      <c r="D332" s="6" t="s">
        <v>387</v>
      </c>
      <c r="E332" s="6" t="s">
        <v>86</v>
      </c>
      <c r="F332" s="7">
        <v>45558</v>
      </c>
      <c r="G332" s="6" t="s">
        <v>155</v>
      </c>
      <c r="H332" s="6" t="s">
        <v>94</v>
      </c>
      <c r="I332" s="6" t="s">
        <v>1313</v>
      </c>
      <c r="J332" s="6" t="s">
        <v>90</v>
      </c>
      <c r="K332" s="6" t="s">
        <v>91</v>
      </c>
      <c r="L332" s="6" t="s">
        <v>92</v>
      </c>
      <c r="M332" s="6" t="s">
        <v>90</v>
      </c>
      <c r="N332" s="6" t="s">
        <v>94</v>
      </c>
      <c r="O332" s="6" t="s">
        <v>94</v>
      </c>
      <c r="P332" s="6" t="s">
        <v>27</v>
      </c>
      <c r="Q332" s="6" t="s">
        <v>95</v>
      </c>
      <c r="R332" s="6" t="s">
        <v>1643</v>
      </c>
      <c r="S332" s="6" t="s">
        <v>94</v>
      </c>
      <c r="T332" s="6" t="s">
        <v>94</v>
      </c>
      <c r="U332" s="6" t="s">
        <v>94</v>
      </c>
      <c r="V332" s="6" t="s">
        <v>94</v>
      </c>
      <c r="W332" s="6" t="s">
        <v>369</v>
      </c>
      <c r="X332" s="6" t="s">
        <v>1643</v>
      </c>
      <c r="Y332" s="6" t="s">
        <v>1643</v>
      </c>
      <c r="Z332" s="6" t="s">
        <v>1643</v>
      </c>
      <c r="AA332" s="8">
        <v>1</v>
      </c>
      <c r="AB332" s="8">
        <v>1</v>
      </c>
      <c r="AC332" s="8">
        <v>1</v>
      </c>
      <c r="AD332" s="8">
        <v>1</v>
      </c>
      <c r="AE332" s="8">
        <v>100</v>
      </c>
      <c r="AF332" s="6" t="s">
        <v>308</v>
      </c>
      <c r="AG332" s="6" t="s">
        <v>283</v>
      </c>
      <c r="AH332" s="6" t="s">
        <v>305</v>
      </c>
      <c r="AI332" s="6" t="s">
        <v>286</v>
      </c>
      <c r="AJ332" s="9">
        <v>40</v>
      </c>
      <c r="AK332" s="8">
        <v>40</v>
      </c>
      <c r="AL332" s="8">
        <v>40</v>
      </c>
      <c r="AM332" s="8">
        <v>40</v>
      </c>
      <c r="AN332" s="8">
        <v>40</v>
      </c>
      <c r="AO332" s="13">
        <v>40</v>
      </c>
      <c r="AP332" s="5"/>
    </row>
    <row r="333" spans="1:42">
      <c r="A333" s="12">
        <v>332</v>
      </c>
      <c r="B333" s="6" t="s">
        <v>1314</v>
      </c>
      <c r="C333" s="6" t="s">
        <v>2043</v>
      </c>
      <c r="D333" s="6" t="s">
        <v>94</v>
      </c>
      <c r="E333" s="6" t="s">
        <v>86</v>
      </c>
      <c r="F333" s="7">
        <v>46180</v>
      </c>
      <c r="G333" s="6" t="s">
        <v>337</v>
      </c>
      <c r="H333" s="6" t="s">
        <v>94</v>
      </c>
      <c r="I333" s="6" t="s">
        <v>94</v>
      </c>
      <c r="J333" s="6" t="s">
        <v>90</v>
      </c>
      <c r="K333" s="6" t="s">
        <v>91</v>
      </c>
      <c r="L333" s="6" t="s">
        <v>92</v>
      </c>
      <c r="M333" s="6" t="s">
        <v>90</v>
      </c>
      <c r="N333" s="6" t="s">
        <v>94</v>
      </c>
      <c r="O333" s="6" t="s">
        <v>94</v>
      </c>
      <c r="P333" s="6" t="s">
        <v>131</v>
      </c>
      <c r="Q333" s="6" t="s">
        <v>95</v>
      </c>
      <c r="R333" s="6" t="s">
        <v>1643</v>
      </c>
      <c r="S333" s="6" t="s">
        <v>94</v>
      </c>
      <c r="T333" s="6" t="s">
        <v>94</v>
      </c>
      <c r="U333" s="6" t="s">
        <v>94</v>
      </c>
      <c r="V333" s="6" t="s">
        <v>94</v>
      </c>
      <c r="W333" s="6" t="s">
        <v>338</v>
      </c>
      <c r="X333" s="6" t="s">
        <v>1643</v>
      </c>
      <c r="Y333" s="6" t="s">
        <v>1643</v>
      </c>
      <c r="Z333" s="6" t="s">
        <v>1652</v>
      </c>
      <c r="AA333" s="8">
        <v>1</v>
      </c>
      <c r="AB333" s="8">
        <v>1</v>
      </c>
      <c r="AC333" s="8">
        <v>1</v>
      </c>
      <c r="AD333" s="8">
        <v>0</v>
      </c>
      <c r="AE333" s="8">
        <v>100</v>
      </c>
      <c r="AF333" s="6" t="s">
        <v>391</v>
      </c>
      <c r="AG333" s="6" t="s">
        <v>386</v>
      </c>
      <c r="AH333" s="6" t="s">
        <v>387</v>
      </c>
      <c r="AI333" s="6" t="s">
        <v>286</v>
      </c>
      <c r="AJ333" s="9">
        <v>40</v>
      </c>
      <c r="AK333" s="8">
        <v>40</v>
      </c>
      <c r="AL333" s="8">
        <v>40</v>
      </c>
      <c r="AM333" s="8">
        <v>40</v>
      </c>
      <c r="AN333" s="8">
        <v>40</v>
      </c>
      <c r="AO333" s="13">
        <v>40</v>
      </c>
      <c r="AP333" s="5"/>
    </row>
    <row r="334" spans="1:42">
      <c r="A334" s="12">
        <v>333</v>
      </c>
      <c r="B334" s="6" t="s">
        <v>1316</v>
      </c>
      <c r="C334" s="6" t="s">
        <v>2044</v>
      </c>
      <c r="D334" s="6" t="s">
        <v>348</v>
      </c>
      <c r="E334" s="6" t="s">
        <v>86</v>
      </c>
      <c r="F334" s="7">
        <v>45078</v>
      </c>
      <c r="G334" s="6" t="s">
        <v>288</v>
      </c>
      <c r="H334" s="6" t="s">
        <v>1318</v>
      </c>
      <c r="I334" s="6" t="s">
        <v>135</v>
      </c>
      <c r="J334" s="6" t="s">
        <v>90</v>
      </c>
      <c r="K334" s="6" t="s">
        <v>91</v>
      </c>
      <c r="L334" s="6" t="s">
        <v>92</v>
      </c>
      <c r="M334" s="6" t="s">
        <v>90</v>
      </c>
      <c r="N334" s="6" t="s">
        <v>675</v>
      </c>
      <c r="O334" s="6" t="s">
        <v>104</v>
      </c>
      <c r="P334" s="6" t="s">
        <v>103</v>
      </c>
      <c r="Q334" s="6" t="s">
        <v>104</v>
      </c>
      <c r="R334" s="10" t="s">
        <v>1929</v>
      </c>
      <c r="S334" s="6" t="s">
        <v>2045</v>
      </c>
      <c r="T334" s="6" t="s">
        <v>94</v>
      </c>
      <c r="U334" s="6" t="s">
        <v>94</v>
      </c>
      <c r="V334" s="6" t="s">
        <v>94</v>
      </c>
      <c r="W334" s="6" t="s">
        <v>291</v>
      </c>
      <c r="X334" s="6" t="s">
        <v>1929</v>
      </c>
      <c r="Y334" s="6" t="s">
        <v>1929</v>
      </c>
      <c r="Z334" s="6" t="s">
        <v>1929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6" t="s">
        <v>94</v>
      </c>
      <c r="AG334" s="6" t="s">
        <v>94</v>
      </c>
      <c r="AH334" s="6" t="s">
        <v>94</v>
      </c>
      <c r="AI334" s="6" t="s">
        <v>94</v>
      </c>
      <c r="AJ334" s="9">
        <v>0</v>
      </c>
      <c r="AK334" s="8">
        <v>0</v>
      </c>
      <c r="AL334" s="8">
        <v>0</v>
      </c>
      <c r="AM334" s="8">
        <v>0</v>
      </c>
      <c r="AN334" s="8">
        <v>0</v>
      </c>
      <c r="AO334" s="13">
        <v>0</v>
      </c>
      <c r="AP334" s="5"/>
    </row>
    <row r="335" spans="1:42">
      <c r="A335" s="12">
        <v>334</v>
      </c>
      <c r="B335" s="6" t="s">
        <v>1319</v>
      </c>
      <c r="C335" s="6" t="s">
        <v>2046</v>
      </c>
      <c r="D335" s="6" t="s">
        <v>305</v>
      </c>
      <c r="E335" s="6" t="s">
        <v>86</v>
      </c>
      <c r="F335" s="7">
        <v>43335</v>
      </c>
      <c r="G335" s="6" t="s">
        <v>204</v>
      </c>
      <c r="H335" s="6" t="s">
        <v>187</v>
      </c>
      <c r="I335" s="6" t="s">
        <v>1321</v>
      </c>
      <c r="J335" s="6" t="s">
        <v>90</v>
      </c>
      <c r="K335" s="6" t="s">
        <v>91</v>
      </c>
      <c r="L335" s="6" t="s">
        <v>92</v>
      </c>
      <c r="M335" s="6" t="s">
        <v>90</v>
      </c>
      <c r="N335" s="6" t="s">
        <v>43</v>
      </c>
      <c r="O335" s="6" t="s">
        <v>122</v>
      </c>
      <c r="P335" s="6" t="s">
        <v>43</v>
      </c>
      <c r="Q335" s="6" t="s">
        <v>104</v>
      </c>
      <c r="R335" s="6" t="s">
        <v>1643</v>
      </c>
      <c r="S335" s="6" t="s">
        <v>2047</v>
      </c>
      <c r="T335" s="6" t="s">
        <v>94</v>
      </c>
      <c r="U335" s="6" t="s">
        <v>94</v>
      </c>
      <c r="V335" s="6" t="s">
        <v>94</v>
      </c>
      <c r="W335" s="6" t="s">
        <v>403</v>
      </c>
      <c r="X335" s="6" t="s">
        <v>1643</v>
      </c>
      <c r="Y335" s="6" t="s">
        <v>1643</v>
      </c>
      <c r="Z335" s="6" t="s">
        <v>1643</v>
      </c>
      <c r="AA335" s="8">
        <v>1</v>
      </c>
      <c r="AB335" s="8">
        <v>1</v>
      </c>
      <c r="AC335" s="8">
        <v>1</v>
      </c>
      <c r="AD335" s="8">
        <v>1</v>
      </c>
      <c r="AE335" s="8">
        <v>100</v>
      </c>
      <c r="AF335" s="6" t="s">
        <v>351</v>
      </c>
      <c r="AG335" s="6" t="s">
        <v>283</v>
      </c>
      <c r="AH335" s="6" t="s">
        <v>348</v>
      </c>
      <c r="AI335" s="6" t="s">
        <v>286</v>
      </c>
      <c r="AJ335" s="9">
        <v>40</v>
      </c>
      <c r="AK335" s="8">
        <v>40</v>
      </c>
      <c r="AL335" s="8">
        <v>40</v>
      </c>
      <c r="AM335" s="8">
        <v>40</v>
      </c>
      <c r="AN335" s="8">
        <v>40</v>
      </c>
      <c r="AO335" s="13">
        <v>40</v>
      </c>
      <c r="AP335" s="5"/>
    </row>
    <row r="336" spans="1:42">
      <c r="A336" s="12">
        <v>335</v>
      </c>
      <c r="B336" s="6" t="s">
        <v>1322</v>
      </c>
      <c r="C336" s="6" t="s">
        <v>2048</v>
      </c>
      <c r="D336" s="6" t="s">
        <v>348</v>
      </c>
      <c r="E336" s="6" t="s">
        <v>86</v>
      </c>
      <c r="F336" s="7">
        <v>44081</v>
      </c>
      <c r="G336" s="6" t="s">
        <v>732</v>
      </c>
      <c r="H336" s="6" t="s">
        <v>151</v>
      </c>
      <c r="I336" s="6" t="s">
        <v>1324</v>
      </c>
      <c r="J336" s="6" t="s">
        <v>90</v>
      </c>
      <c r="K336" s="6" t="s">
        <v>91</v>
      </c>
      <c r="L336" s="6" t="s">
        <v>92</v>
      </c>
      <c r="M336" s="6" t="s">
        <v>90</v>
      </c>
      <c r="N336" s="6" t="s">
        <v>784</v>
      </c>
      <c r="O336" s="6" t="s">
        <v>94</v>
      </c>
      <c r="P336" s="6" t="s">
        <v>43</v>
      </c>
      <c r="Q336" s="6" t="s">
        <v>104</v>
      </c>
      <c r="R336" s="6" t="s">
        <v>1643</v>
      </c>
      <c r="S336" s="6" t="s">
        <v>94</v>
      </c>
      <c r="T336" s="6" t="s">
        <v>94</v>
      </c>
      <c r="U336" s="6" t="s">
        <v>94</v>
      </c>
      <c r="V336" s="6" t="s">
        <v>94</v>
      </c>
      <c r="W336" s="6" t="s">
        <v>734</v>
      </c>
      <c r="X336" s="6" t="s">
        <v>1643</v>
      </c>
      <c r="Y336" s="6" t="s">
        <v>1643</v>
      </c>
      <c r="Z336" s="6" t="s">
        <v>1643</v>
      </c>
      <c r="AA336" s="8">
        <v>1</v>
      </c>
      <c r="AB336" s="8">
        <v>1</v>
      </c>
      <c r="AC336" s="8">
        <v>1</v>
      </c>
      <c r="AD336" s="8">
        <v>1</v>
      </c>
      <c r="AE336" s="8">
        <v>100</v>
      </c>
      <c r="AF336" s="6" t="s">
        <v>308</v>
      </c>
      <c r="AG336" s="6" t="s">
        <v>283</v>
      </c>
      <c r="AH336" s="6" t="s">
        <v>305</v>
      </c>
      <c r="AI336" s="6" t="s">
        <v>286</v>
      </c>
      <c r="AJ336" s="9">
        <v>40</v>
      </c>
      <c r="AK336" s="8">
        <v>40</v>
      </c>
      <c r="AL336" s="8">
        <v>40</v>
      </c>
      <c r="AM336" s="8">
        <v>40</v>
      </c>
      <c r="AN336" s="8">
        <v>40</v>
      </c>
      <c r="AO336" s="13">
        <v>40</v>
      </c>
      <c r="AP336" s="5"/>
    </row>
    <row r="337" spans="1:42">
      <c r="A337" s="12">
        <v>336</v>
      </c>
      <c r="B337" s="6" t="s">
        <v>1325</v>
      </c>
      <c r="C337" s="6" t="s">
        <v>2049</v>
      </c>
      <c r="D337" s="6" t="s">
        <v>396</v>
      </c>
      <c r="E337" s="6" t="s">
        <v>86</v>
      </c>
      <c r="F337" s="7">
        <v>40984</v>
      </c>
      <c r="G337" s="6" t="s">
        <v>150</v>
      </c>
      <c r="H337" s="6" t="s">
        <v>187</v>
      </c>
      <c r="I337" s="6" t="s">
        <v>1327</v>
      </c>
      <c r="J337" s="6" t="s">
        <v>90</v>
      </c>
      <c r="K337" s="6" t="s">
        <v>91</v>
      </c>
      <c r="L337" s="6" t="s">
        <v>92</v>
      </c>
      <c r="M337" s="6" t="s">
        <v>90</v>
      </c>
      <c r="N337" s="6" t="s">
        <v>131</v>
      </c>
      <c r="O337" s="6" t="s">
        <v>95</v>
      </c>
      <c r="P337" s="6" t="s">
        <v>27</v>
      </c>
      <c r="Q337" s="6" t="s">
        <v>122</v>
      </c>
      <c r="R337" s="6" t="s">
        <v>1643</v>
      </c>
      <c r="S337" s="6" t="s">
        <v>94</v>
      </c>
      <c r="T337" s="6" t="s">
        <v>94</v>
      </c>
      <c r="U337" s="6" t="s">
        <v>94</v>
      </c>
      <c r="V337" s="6" t="s">
        <v>94</v>
      </c>
      <c r="W337" s="6" t="s">
        <v>445</v>
      </c>
      <c r="X337" s="6" t="s">
        <v>1643</v>
      </c>
      <c r="Y337" s="6" t="s">
        <v>1652</v>
      </c>
      <c r="Z337" s="6" t="s">
        <v>1652</v>
      </c>
      <c r="AA337" s="8">
        <v>1</v>
      </c>
      <c r="AB337" s="8">
        <v>1</v>
      </c>
      <c r="AC337" s="8">
        <v>0</v>
      </c>
      <c r="AD337" s="8">
        <v>0</v>
      </c>
      <c r="AE337" s="8">
        <v>100</v>
      </c>
      <c r="AF337" s="6" t="s">
        <v>351</v>
      </c>
      <c r="AG337" s="6" t="s">
        <v>283</v>
      </c>
      <c r="AH337" s="6" t="s">
        <v>348</v>
      </c>
      <c r="AI337" s="6" t="s">
        <v>286</v>
      </c>
      <c r="AJ337" s="9">
        <v>40</v>
      </c>
      <c r="AK337" s="8">
        <v>40</v>
      </c>
      <c r="AL337" s="8">
        <v>40</v>
      </c>
      <c r="AM337" s="8">
        <v>40</v>
      </c>
      <c r="AN337" s="8">
        <v>40</v>
      </c>
      <c r="AO337" s="13">
        <v>40</v>
      </c>
      <c r="AP337" s="5"/>
    </row>
    <row r="338" spans="1:42">
      <c r="A338" s="12">
        <v>337</v>
      </c>
      <c r="B338" s="6" t="s">
        <v>1328</v>
      </c>
      <c r="C338" s="6" t="s">
        <v>2050</v>
      </c>
      <c r="D338" s="6" t="s">
        <v>373</v>
      </c>
      <c r="E338" s="6" t="s">
        <v>86</v>
      </c>
      <c r="F338" s="7">
        <v>43592</v>
      </c>
      <c r="G338" s="6" t="s">
        <v>87</v>
      </c>
      <c r="H338" s="6" t="s">
        <v>420</v>
      </c>
      <c r="I338" s="6" t="s">
        <v>1330</v>
      </c>
      <c r="J338" s="6" t="s">
        <v>90</v>
      </c>
      <c r="K338" s="6" t="s">
        <v>91</v>
      </c>
      <c r="L338" s="6" t="s">
        <v>92</v>
      </c>
      <c r="M338" s="6" t="s">
        <v>90</v>
      </c>
      <c r="N338" s="6" t="s">
        <v>93</v>
      </c>
      <c r="O338" s="6" t="s">
        <v>122</v>
      </c>
      <c r="P338" s="6" t="s">
        <v>93</v>
      </c>
      <c r="Q338" s="6" t="s">
        <v>122</v>
      </c>
      <c r="R338" s="6" t="s">
        <v>1643</v>
      </c>
      <c r="S338" s="6" t="s">
        <v>2051</v>
      </c>
      <c r="T338" s="6" t="s">
        <v>94</v>
      </c>
      <c r="U338" s="6" t="s">
        <v>94</v>
      </c>
      <c r="V338" s="6" t="s">
        <v>94</v>
      </c>
      <c r="W338" s="6" t="s">
        <v>697</v>
      </c>
      <c r="X338" s="6" t="s">
        <v>1643</v>
      </c>
      <c r="Y338" s="6" t="s">
        <v>1643</v>
      </c>
      <c r="Z338" s="6" t="s">
        <v>1652</v>
      </c>
      <c r="AA338" s="8">
        <v>1</v>
      </c>
      <c r="AB338" s="8">
        <v>1</v>
      </c>
      <c r="AC338" s="8">
        <v>1</v>
      </c>
      <c r="AD338" s="8">
        <v>0</v>
      </c>
      <c r="AE338" s="8">
        <v>85.714285720000007</v>
      </c>
      <c r="AF338" s="6" t="s">
        <v>282</v>
      </c>
      <c r="AG338" s="6" t="s">
        <v>283</v>
      </c>
      <c r="AH338" s="6" t="s">
        <v>396</v>
      </c>
      <c r="AI338" s="6" t="s">
        <v>286</v>
      </c>
      <c r="AJ338" s="9">
        <v>40</v>
      </c>
      <c r="AK338" s="8">
        <v>40</v>
      </c>
      <c r="AL338" s="8">
        <v>40</v>
      </c>
      <c r="AM338" s="8">
        <v>40</v>
      </c>
      <c r="AN338" s="8">
        <v>40</v>
      </c>
      <c r="AO338" s="13">
        <v>40</v>
      </c>
      <c r="AP338" s="5"/>
    </row>
    <row r="339" spans="1:42">
      <c r="A339" s="12">
        <v>338</v>
      </c>
      <c r="B339" s="6" t="s">
        <v>1331</v>
      </c>
      <c r="C339" s="6" t="s">
        <v>2052</v>
      </c>
      <c r="D339" s="6" t="s">
        <v>323</v>
      </c>
      <c r="E339" s="6" t="s">
        <v>86</v>
      </c>
      <c r="F339" s="7">
        <v>46082</v>
      </c>
      <c r="G339" s="6" t="s">
        <v>4</v>
      </c>
      <c r="H339" s="6" t="s">
        <v>94</v>
      </c>
      <c r="I339" s="6" t="s">
        <v>1333</v>
      </c>
      <c r="J339" s="6" t="s">
        <v>90</v>
      </c>
      <c r="K339" s="6" t="s">
        <v>91</v>
      </c>
      <c r="L339" s="6" t="s">
        <v>92</v>
      </c>
      <c r="M339" s="6" t="s">
        <v>90</v>
      </c>
      <c r="N339" s="6" t="s">
        <v>94</v>
      </c>
      <c r="O339" s="6" t="s">
        <v>94</v>
      </c>
      <c r="P339" s="6" t="s">
        <v>93</v>
      </c>
      <c r="Q339" s="6" t="s">
        <v>122</v>
      </c>
      <c r="R339" s="6" t="s">
        <v>1643</v>
      </c>
      <c r="S339" s="6" t="s">
        <v>94</v>
      </c>
      <c r="T339" s="6" t="s">
        <v>94</v>
      </c>
      <c r="U339" s="6" t="s">
        <v>94</v>
      </c>
      <c r="V339" s="6" t="s">
        <v>94</v>
      </c>
      <c r="W339" s="6" t="s">
        <v>399</v>
      </c>
      <c r="X339" s="6" t="s">
        <v>1643</v>
      </c>
      <c r="Y339" s="6" t="s">
        <v>1643</v>
      </c>
      <c r="Z339" s="6" t="s">
        <v>1643</v>
      </c>
      <c r="AA339" s="8">
        <v>1</v>
      </c>
      <c r="AB339" s="8">
        <v>1</v>
      </c>
      <c r="AC339" s="8">
        <v>1</v>
      </c>
      <c r="AD339" s="8">
        <v>1</v>
      </c>
      <c r="AE339" s="8">
        <v>100</v>
      </c>
      <c r="AF339" s="6" t="s">
        <v>334</v>
      </c>
      <c r="AG339" s="6" t="s">
        <v>335</v>
      </c>
      <c r="AH339" s="6" t="s">
        <v>373</v>
      </c>
      <c r="AI339" s="6" t="s">
        <v>286</v>
      </c>
      <c r="AJ339" s="9">
        <v>40</v>
      </c>
      <c r="AK339" s="8">
        <v>40</v>
      </c>
      <c r="AL339" s="8">
        <v>40</v>
      </c>
      <c r="AM339" s="8">
        <v>40</v>
      </c>
      <c r="AN339" s="8">
        <v>40</v>
      </c>
      <c r="AO339" s="13">
        <v>40</v>
      </c>
      <c r="AP339" s="5"/>
    </row>
    <row r="340" spans="1:42">
      <c r="A340" s="12">
        <v>339</v>
      </c>
      <c r="B340" s="6" t="s">
        <v>1334</v>
      </c>
      <c r="C340" s="6" t="s">
        <v>2053</v>
      </c>
      <c r="D340" s="6" t="s">
        <v>387</v>
      </c>
      <c r="E340" s="6" t="s">
        <v>86</v>
      </c>
      <c r="F340" s="7">
        <v>46045</v>
      </c>
      <c r="G340" s="6" t="s">
        <v>362</v>
      </c>
      <c r="H340" s="6" t="s">
        <v>94</v>
      </c>
      <c r="I340" s="6" t="s">
        <v>94</v>
      </c>
      <c r="J340" s="6" t="s">
        <v>90</v>
      </c>
      <c r="K340" s="6" t="s">
        <v>91</v>
      </c>
      <c r="L340" s="6" t="s">
        <v>92</v>
      </c>
      <c r="M340" s="6" t="s">
        <v>90</v>
      </c>
      <c r="N340" s="6" t="s">
        <v>94</v>
      </c>
      <c r="O340" s="6" t="s">
        <v>94</v>
      </c>
      <c r="P340" s="6" t="s">
        <v>364</v>
      </c>
      <c r="Q340" s="6" t="s">
        <v>95</v>
      </c>
      <c r="R340" s="6" t="s">
        <v>1643</v>
      </c>
      <c r="S340" s="6" t="s">
        <v>94</v>
      </c>
      <c r="T340" s="6" t="s">
        <v>94</v>
      </c>
      <c r="U340" s="6" t="s">
        <v>94</v>
      </c>
      <c r="V340" s="6" t="s">
        <v>94</v>
      </c>
      <c r="W340" s="6" t="s">
        <v>365</v>
      </c>
      <c r="X340" s="6" t="s">
        <v>1643</v>
      </c>
      <c r="Y340" s="6" t="s">
        <v>1643</v>
      </c>
      <c r="Z340" s="6" t="s">
        <v>1643</v>
      </c>
      <c r="AA340" s="8">
        <v>1</v>
      </c>
      <c r="AB340" s="8">
        <v>1</v>
      </c>
      <c r="AC340" s="8">
        <v>1</v>
      </c>
      <c r="AD340" s="8">
        <v>1</v>
      </c>
      <c r="AE340" s="8">
        <v>100</v>
      </c>
      <c r="AF340" s="6" t="s">
        <v>326</v>
      </c>
      <c r="AG340" s="6" t="s">
        <v>283</v>
      </c>
      <c r="AH340" s="6" t="s">
        <v>323</v>
      </c>
      <c r="AI340" s="6" t="s">
        <v>286</v>
      </c>
      <c r="AJ340" s="9">
        <v>40</v>
      </c>
      <c r="AK340" s="8">
        <v>40</v>
      </c>
      <c r="AL340" s="8">
        <v>40</v>
      </c>
      <c r="AM340" s="8">
        <v>40</v>
      </c>
      <c r="AN340" s="8">
        <v>40</v>
      </c>
      <c r="AO340" s="13">
        <v>40</v>
      </c>
      <c r="AP340" s="5"/>
    </row>
    <row r="341" spans="1:42">
      <c r="A341" s="12">
        <v>340</v>
      </c>
      <c r="B341" s="6" t="s">
        <v>1336</v>
      </c>
      <c r="C341" s="6" t="s">
        <v>2054</v>
      </c>
      <c r="D341" s="6" t="s">
        <v>94</v>
      </c>
      <c r="E341" s="6" t="s">
        <v>86</v>
      </c>
      <c r="F341" s="7">
        <v>44105</v>
      </c>
      <c r="G341" s="6" t="s">
        <v>111</v>
      </c>
      <c r="H341" s="6" t="s">
        <v>146</v>
      </c>
      <c r="I341" s="6" t="s">
        <v>1338</v>
      </c>
      <c r="J341" s="6" t="s">
        <v>90</v>
      </c>
      <c r="K341" s="6" t="s">
        <v>91</v>
      </c>
      <c r="L341" s="6" t="s">
        <v>92</v>
      </c>
      <c r="M341" s="6" t="s">
        <v>90</v>
      </c>
      <c r="N341" s="6" t="s">
        <v>131</v>
      </c>
      <c r="O341" s="6" t="s">
        <v>95</v>
      </c>
      <c r="P341" s="6" t="s">
        <v>131</v>
      </c>
      <c r="Q341" s="6" t="s">
        <v>95</v>
      </c>
      <c r="R341" s="6" t="s">
        <v>1643</v>
      </c>
      <c r="S341" s="6" t="s">
        <v>94</v>
      </c>
      <c r="T341" s="6" t="s">
        <v>94</v>
      </c>
      <c r="U341" s="6" t="s">
        <v>94</v>
      </c>
      <c r="V341" s="6" t="s">
        <v>94</v>
      </c>
      <c r="W341" s="6" t="s">
        <v>418</v>
      </c>
      <c r="X341" s="6" t="s">
        <v>1643</v>
      </c>
      <c r="Y341" s="6" t="s">
        <v>1643</v>
      </c>
      <c r="Z341" s="6" t="s">
        <v>1643</v>
      </c>
      <c r="AA341" s="8">
        <v>1</v>
      </c>
      <c r="AB341" s="8">
        <v>1</v>
      </c>
      <c r="AC341" s="8">
        <v>1</v>
      </c>
      <c r="AD341" s="8">
        <v>1</v>
      </c>
      <c r="AE341" s="8">
        <v>100</v>
      </c>
      <c r="AF341" s="6" t="s">
        <v>391</v>
      </c>
      <c r="AG341" s="6" t="s">
        <v>386</v>
      </c>
      <c r="AH341" s="6" t="s">
        <v>387</v>
      </c>
      <c r="AI341" s="6" t="s">
        <v>286</v>
      </c>
      <c r="AJ341" s="9">
        <v>40</v>
      </c>
      <c r="AK341" s="8">
        <v>40</v>
      </c>
      <c r="AL341" s="8">
        <v>40</v>
      </c>
      <c r="AM341" s="8">
        <v>40</v>
      </c>
      <c r="AN341" s="8">
        <v>40</v>
      </c>
      <c r="AO341" s="13">
        <v>40</v>
      </c>
      <c r="AP341" s="5"/>
    </row>
    <row r="342" spans="1:42">
      <c r="A342" s="12">
        <v>341</v>
      </c>
      <c r="B342" s="6" t="s">
        <v>1339</v>
      </c>
      <c r="C342" s="6" t="s">
        <v>2055</v>
      </c>
      <c r="D342" s="6" t="s">
        <v>1342</v>
      </c>
      <c r="E342" s="6" t="s">
        <v>86</v>
      </c>
      <c r="F342" s="7">
        <v>43837</v>
      </c>
      <c r="G342" s="6" t="s">
        <v>343</v>
      </c>
      <c r="H342" s="6" t="s">
        <v>294</v>
      </c>
      <c r="I342" s="6" t="s">
        <v>1341</v>
      </c>
      <c r="J342" s="6" t="s">
        <v>90</v>
      </c>
      <c r="K342" s="6" t="s">
        <v>91</v>
      </c>
      <c r="L342" s="6" t="s">
        <v>92</v>
      </c>
      <c r="M342" s="6" t="s">
        <v>90</v>
      </c>
      <c r="N342" s="6" t="s">
        <v>346</v>
      </c>
      <c r="O342" s="6" t="s">
        <v>94</v>
      </c>
      <c r="P342" s="6" t="s">
        <v>136</v>
      </c>
      <c r="Q342" s="6" t="s">
        <v>95</v>
      </c>
      <c r="R342" s="11" t="s">
        <v>1838</v>
      </c>
      <c r="S342" s="6" t="s">
        <v>2056</v>
      </c>
      <c r="T342" s="6" t="s">
        <v>94</v>
      </c>
      <c r="U342" s="6" t="s">
        <v>94</v>
      </c>
      <c r="V342" s="6" t="s">
        <v>94</v>
      </c>
      <c r="W342" s="6" t="s">
        <v>347</v>
      </c>
      <c r="X342" s="6" t="s">
        <v>1929</v>
      </c>
      <c r="Y342" s="6" t="s">
        <v>1929</v>
      </c>
      <c r="Z342" s="6" t="s">
        <v>1929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6" t="s">
        <v>94</v>
      </c>
      <c r="AG342" s="6" t="s">
        <v>94</v>
      </c>
      <c r="AH342" s="6" t="s">
        <v>94</v>
      </c>
      <c r="AI342" s="6" t="s">
        <v>94</v>
      </c>
      <c r="AJ342" s="9">
        <v>0</v>
      </c>
      <c r="AK342" s="8">
        <v>0</v>
      </c>
      <c r="AL342" s="8">
        <v>0</v>
      </c>
      <c r="AM342" s="8">
        <v>0</v>
      </c>
      <c r="AN342" s="8">
        <v>0</v>
      </c>
      <c r="AO342" s="13">
        <v>0</v>
      </c>
      <c r="AP342" s="5"/>
    </row>
    <row r="343" spans="1:42">
      <c r="A343" s="12">
        <v>342</v>
      </c>
      <c r="B343" s="6" t="s">
        <v>1343</v>
      </c>
      <c r="C343" s="6" t="s">
        <v>2057</v>
      </c>
      <c r="D343" s="6" t="s">
        <v>339</v>
      </c>
      <c r="E343" s="6" t="s">
        <v>86</v>
      </c>
      <c r="F343" s="7">
        <v>43380</v>
      </c>
      <c r="G343" s="6" t="s">
        <v>111</v>
      </c>
      <c r="H343" s="6" t="s">
        <v>101</v>
      </c>
      <c r="I343" s="6" t="s">
        <v>1345</v>
      </c>
      <c r="J343" s="6" t="s">
        <v>90</v>
      </c>
      <c r="K343" s="6" t="s">
        <v>91</v>
      </c>
      <c r="L343" s="6" t="s">
        <v>92</v>
      </c>
      <c r="M343" s="6" t="s">
        <v>90</v>
      </c>
      <c r="N343" s="6" t="s">
        <v>103</v>
      </c>
      <c r="O343" s="6" t="s">
        <v>95</v>
      </c>
      <c r="P343" s="6" t="s">
        <v>103</v>
      </c>
      <c r="Q343" s="6" t="s">
        <v>122</v>
      </c>
      <c r="R343" s="6" t="s">
        <v>1643</v>
      </c>
      <c r="S343" s="6" t="s">
        <v>94</v>
      </c>
      <c r="T343" s="6" t="s">
        <v>94</v>
      </c>
      <c r="U343" s="6" t="s">
        <v>94</v>
      </c>
      <c r="V343" s="6" t="s">
        <v>94</v>
      </c>
      <c r="W343" s="6" t="s">
        <v>418</v>
      </c>
      <c r="X343" s="6" t="s">
        <v>1643</v>
      </c>
      <c r="Y343" s="6" t="s">
        <v>1643</v>
      </c>
      <c r="Z343" s="6" t="s">
        <v>1643</v>
      </c>
      <c r="AA343" s="8">
        <v>1</v>
      </c>
      <c r="AB343" s="8">
        <v>1</v>
      </c>
      <c r="AC343" s="8">
        <v>1</v>
      </c>
      <c r="AD343" s="8">
        <v>1</v>
      </c>
      <c r="AE343" s="8">
        <v>100</v>
      </c>
      <c r="AF343" s="6" t="s">
        <v>1346</v>
      </c>
      <c r="AG343" s="6" t="s">
        <v>1347</v>
      </c>
      <c r="AH343" s="6" t="s">
        <v>1342</v>
      </c>
      <c r="AI343" s="6" t="s">
        <v>286</v>
      </c>
      <c r="AJ343" s="9">
        <v>40</v>
      </c>
      <c r="AK343" s="8">
        <v>40</v>
      </c>
      <c r="AL343" s="8">
        <v>40</v>
      </c>
      <c r="AM343" s="8">
        <v>40</v>
      </c>
      <c r="AN343" s="8">
        <v>40</v>
      </c>
      <c r="AO343" s="13">
        <v>40</v>
      </c>
      <c r="AP343" s="5"/>
    </row>
    <row r="344" spans="1:42">
      <c r="A344" s="12">
        <v>343</v>
      </c>
      <c r="B344" s="6" t="s">
        <v>1348</v>
      </c>
      <c r="C344" s="6" t="s">
        <v>2058</v>
      </c>
      <c r="D344" s="6" t="s">
        <v>323</v>
      </c>
      <c r="E344" s="6" t="s">
        <v>86</v>
      </c>
      <c r="F344" s="7">
        <v>44111</v>
      </c>
      <c r="G344" s="6" t="s">
        <v>111</v>
      </c>
      <c r="H344" s="6" t="s">
        <v>389</v>
      </c>
      <c r="I344" s="6" t="s">
        <v>1350</v>
      </c>
      <c r="J344" s="6" t="s">
        <v>90</v>
      </c>
      <c r="K344" s="6" t="s">
        <v>91</v>
      </c>
      <c r="L344" s="6" t="s">
        <v>92</v>
      </c>
      <c r="M344" s="6" t="s">
        <v>90</v>
      </c>
      <c r="N344" s="6" t="s">
        <v>103</v>
      </c>
      <c r="O344" s="6" t="s">
        <v>122</v>
      </c>
      <c r="P344" s="6" t="s">
        <v>103</v>
      </c>
      <c r="Q344" s="6" t="s">
        <v>122</v>
      </c>
      <c r="R344" s="6" t="s">
        <v>1643</v>
      </c>
      <c r="S344" s="6" t="s">
        <v>94</v>
      </c>
      <c r="T344" s="6" t="s">
        <v>94</v>
      </c>
      <c r="U344" s="6" t="s">
        <v>94</v>
      </c>
      <c r="V344" s="6" t="s">
        <v>94</v>
      </c>
      <c r="W344" s="6" t="s">
        <v>418</v>
      </c>
      <c r="X344" s="6" t="s">
        <v>1643</v>
      </c>
      <c r="Y344" s="6" t="s">
        <v>1643</v>
      </c>
      <c r="Z344" s="6" t="s">
        <v>1643</v>
      </c>
      <c r="AA344" s="8">
        <v>1</v>
      </c>
      <c r="AB344" s="8">
        <v>1</v>
      </c>
      <c r="AC344" s="8">
        <v>1</v>
      </c>
      <c r="AD344" s="8">
        <v>1</v>
      </c>
      <c r="AE344" s="8">
        <v>100</v>
      </c>
      <c r="AF344" s="6" t="s">
        <v>334</v>
      </c>
      <c r="AG344" s="6" t="s">
        <v>335</v>
      </c>
      <c r="AH344" s="6" t="s">
        <v>339</v>
      </c>
      <c r="AI344" s="6" t="s">
        <v>286</v>
      </c>
      <c r="AJ344" s="9">
        <v>40</v>
      </c>
      <c r="AK344" s="8">
        <v>40</v>
      </c>
      <c r="AL344" s="8">
        <v>40</v>
      </c>
      <c r="AM344" s="8">
        <v>40</v>
      </c>
      <c r="AN344" s="8">
        <v>40</v>
      </c>
      <c r="AO344" s="13">
        <v>40</v>
      </c>
      <c r="AP344" s="5"/>
    </row>
    <row r="345" spans="1:42">
      <c r="A345" s="12">
        <v>344</v>
      </c>
      <c r="B345" s="6" t="s">
        <v>1351</v>
      </c>
      <c r="C345" s="6" t="s">
        <v>2059</v>
      </c>
      <c r="D345" s="6" t="s">
        <v>331</v>
      </c>
      <c r="E345" s="6" t="s">
        <v>86</v>
      </c>
      <c r="F345" s="7">
        <v>45946</v>
      </c>
      <c r="G345" s="6" t="s">
        <v>507</v>
      </c>
      <c r="H345" s="6" t="s">
        <v>94</v>
      </c>
      <c r="I345" s="6" t="s">
        <v>1353</v>
      </c>
      <c r="J345" s="6" t="s">
        <v>90</v>
      </c>
      <c r="K345" s="6" t="s">
        <v>91</v>
      </c>
      <c r="L345" s="6" t="s">
        <v>92</v>
      </c>
      <c r="M345" s="6" t="s">
        <v>90</v>
      </c>
      <c r="N345" s="6" t="s">
        <v>94</v>
      </c>
      <c r="O345" s="6" t="s">
        <v>94</v>
      </c>
      <c r="P345" s="6" t="s">
        <v>364</v>
      </c>
      <c r="Q345" s="6" t="s">
        <v>104</v>
      </c>
      <c r="R345" s="6" t="s">
        <v>1643</v>
      </c>
      <c r="S345" s="6" t="s">
        <v>94</v>
      </c>
      <c r="T345" s="6" t="s">
        <v>94</v>
      </c>
      <c r="U345" s="6" t="s">
        <v>94</v>
      </c>
      <c r="V345" s="6" t="s">
        <v>94</v>
      </c>
      <c r="W345" s="6" t="s">
        <v>509</v>
      </c>
      <c r="X345" s="6" t="s">
        <v>1643</v>
      </c>
      <c r="Y345" s="6" t="s">
        <v>1643</v>
      </c>
      <c r="Z345" s="6" t="s">
        <v>1643</v>
      </c>
      <c r="AA345" s="8">
        <v>1</v>
      </c>
      <c r="AB345" s="8">
        <v>1</v>
      </c>
      <c r="AC345" s="8">
        <v>1</v>
      </c>
      <c r="AD345" s="8">
        <v>1</v>
      </c>
      <c r="AE345" s="8">
        <v>100</v>
      </c>
      <c r="AF345" s="6" t="s">
        <v>326</v>
      </c>
      <c r="AG345" s="6" t="s">
        <v>283</v>
      </c>
      <c r="AH345" s="6" t="s">
        <v>323</v>
      </c>
      <c r="AI345" s="6" t="s">
        <v>286</v>
      </c>
      <c r="AJ345" s="9">
        <v>40</v>
      </c>
      <c r="AK345" s="8">
        <v>40</v>
      </c>
      <c r="AL345" s="8">
        <v>40</v>
      </c>
      <c r="AM345" s="8">
        <v>40</v>
      </c>
      <c r="AN345" s="8">
        <v>40</v>
      </c>
      <c r="AO345" s="13">
        <v>40</v>
      </c>
      <c r="AP345" s="5"/>
    </row>
    <row r="346" spans="1:42">
      <c r="A346" s="12">
        <v>345</v>
      </c>
      <c r="B346" s="6" t="s">
        <v>1354</v>
      </c>
      <c r="C346" s="6" t="s">
        <v>2060</v>
      </c>
      <c r="D346" s="6" t="s">
        <v>348</v>
      </c>
      <c r="E346" s="6" t="s">
        <v>86</v>
      </c>
      <c r="F346" s="7">
        <v>44035</v>
      </c>
      <c r="G346" s="6" t="s">
        <v>430</v>
      </c>
      <c r="H346" s="6" t="s">
        <v>495</v>
      </c>
      <c r="I346" s="6" t="s">
        <v>1356</v>
      </c>
      <c r="J346" s="6" t="s">
        <v>90</v>
      </c>
      <c r="K346" s="6" t="s">
        <v>91</v>
      </c>
      <c r="L346" s="6" t="s">
        <v>92</v>
      </c>
      <c r="M346" s="6" t="s">
        <v>90</v>
      </c>
      <c r="N346" s="6" t="s">
        <v>131</v>
      </c>
      <c r="O346" s="6" t="s">
        <v>122</v>
      </c>
      <c r="P346" s="6" t="s">
        <v>131</v>
      </c>
      <c r="Q346" s="6" t="s">
        <v>122</v>
      </c>
      <c r="R346" s="6" t="s">
        <v>1643</v>
      </c>
      <c r="S346" s="6" t="s">
        <v>94</v>
      </c>
      <c r="T346" s="6" t="s">
        <v>94</v>
      </c>
      <c r="U346" s="6" t="s">
        <v>94</v>
      </c>
      <c r="V346" s="6" t="s">
        <v>94</v>
      </c>
      <c r="W346" s="6" t="s">
        <v>433</v>
      </c>
      <c r="X346" s="6" t="s">
        <v>1643</v>
      </c>
      <c r="Y346" s="6" t="s">
        <v>1643</v>
      </c>
      <c r="Z346" s="6" t="s">
        <v>1643</v>
      </c>
      <c r="AA346" s="8">
        <v>1</v>
      </c>
      <c r="AB346" s="8">
        <v>1</v>
      </c>
      <c r="AC346" s="8">
        <v>1</v>
      </c>
      <c r="AD346" s="8">
        <v>1</v>
      </c>
      <c r="AE346" s="8">
        <v>100</v>
      </c>
      <c r="AF346" s="6" t="s">
        <v>334</v>
      </c>
      <c r="AG346" s="6" t="s">
        <v>335</v>
      </c>
      <c r="AH346" s="6" t="s">
        <v>331</v>
      </c>
      <c r="AI346" s="6" t="s">
        <v>286</v>
      </c>
      <c r="AJ346" s="9">
        <v>40</v>
      </c>
      <c r="AK346" s="8">
        <v>40</v>
      </c>
      <c r="AL346" s="8">
        <v>40</v>
      </c>
      <c r="AM346" s="8">
        <v>40</v>
      </c>
      <c r="AN346" s="8">
        <v>40</v>
      </c>
      <c r="AO346" s="13">
        <v>40</v>
      </c>
      <c r="AP346" s="5"/>
    </row>
    <row r="347" spans="1:42">
      <c r="A347" s="12">
        <v>346</v>
      </c>
      <c r="B347" s="6" t="s">
        <v>1357</v>
      </c>
      <c r="C347" s="6" t="s">
        <v>2061</v>
      </c>
      <c r="D347" s="6" t="s">
        <v>708</v>
      </c>
      <c r="E347" s="6" t="s">
        <v>86</v>
      </c>
      <c r="F347" s="7">
        <v>46038</v>
      </c>
      <c r="G347" s="6" t="s">
        <v>936</v>
      </c>
      <c r="H347" s="6" t="s">
        <v>94</v>
      </c>
      <c r="I347" s="6" t="s">
        <v>162</v>
      </c>
      <c r="J347" s="6" t="s">
        <v>213</v>
      </c>
      <c r="K347" s="6" t="s">
        <v>91</v>
      </c>
      <c r="L347" s="6" t="s">
        <v>92</v>
      </c>
      <c r="M347" s="6" t="s">
        <v>213</v>
      </c>
      <c r="N347" s="6" t="s">
        <v>94</v>
      </c>
      <c r="O347" s="6" t="s">
        <v>94</v>
      </c>
      <c r="P347" s="6" t="s">
        <v>184</v>
      </c>
      <c r="Q347" s="6" t="s">
        <v>104</v>
      </c>
      <c r="R347" s="6" t="s">
        <v>1643</v>
      </c>
      <c r="S347" s="6" t="s">
        <v>1920</v>
      </c>
      <c r="T347" s="6" t="s">
        <v>94</v>
      </c>
      <c r="U347" s="6" t="s">
        <v>94</v>
      </c>
      <c r="V347" s="6" t="s">
        <v>94</v>
      </c>
      <c r="W347" s="6" t="s">
        <v>938</v>
      </c>
      <c r="X347" s="6" t="s">
        <v>1643</v>
      </c>
      <c r="Y347" s="6" t="s">
        <v>1643</v>
      </c>
      <c r="Z347" s="6" t="s">
        <v>1643</v>
      </c>
      <c r="AA347" s="8">
        <v>1</v>
      </c>
      <c r="AB347" s="8">
        <v>1</v>
      </c>
      <c r="AC347" s="8">
        <v>1</v>
      </c>
      <c r="AD347" s="8">
        <v>1</v>
      </c>
      <c r="AE347" s="8">
        <v>100</v>
      </c>
      <c r="AF347" s="6" t="s">
        <v>351</v>
      </c>
      <c r="AG347" s="6" t="s">
        <v>283</v>
      </c>
      <c r="AH347" s="6" t="s">
        <v>348</v>
      </c>
      <c r="AI347" s="6" t="s">
        <v>286</v>
      </c>
      <c r="AJ347" s="9">
        <v>40</v>
      </c>
      <c r="AK347" s="8">
        <v>40</v>
      </c>
      <c r="AL347" s="8">
        <v>40</v>
      </c>
      <c r="AM347" s="8">
        <v>40</v>
      </c>
      <c r="AN347" s="8">
        <v>40</v>
      </c>
      <c r="AO347" s="13">
        <v>40</v>
      </c>
      <c r="AP347" s="5"/>
    </row>
    <row r="348" spans="1:42">
      <c r="A348" s="12">
        <v>347</v>
      </c>
      <c r="B348" s="6" t="s">
        <v>1359</v>
      </c>
      <c r="C348" s="6" t="s">
        <v>2062</v>
      </c>
      <c r="D348" s="6" t="s">
        <v>354</v>
      </c>
      <c r="E348" s="6" t="s">
        <v>86</v>
      </c>
      <c r="F348" s="7">
        <v>44166</v>
      </c>
      <c r="G348" s="6" t="s">
        <v>111</v>
      </c>
      <c r="H348" s="6" t="s">
        <v>526</v>
      </c>
      <c r="I348" s="6" t="s">
        <v>1361</v>
      </c>
      <c r="J348" s="6" t="s">
        <v>90</v>
      </c>
      <c r="K348" s="6" t="s">
        <v>91</v>
      </c>
      <c r="L348" s="6" t="s">
        <v>92</v>
      </c>
      <c r="M348" s="6" t="s">
        <v>90</v>
      </c>
      <c r="N348" s="6" t="s">
        <v>103</v>
      </c>
      <c r="O348" s="6" t="s">
        <v>95</v>
      </c>
      <c r="P348" s="6" t="s">
        <v>117</v>
      </c>
      <c r="Q348" s="6" t="s">
        <v>122</v>
      </c>
      <c r="R348" s="6" t="s">
        <v>1643</v>
      </c>
      <c r="S348" s="6" t="s">
        <v>1791</v>
      </c>
      <c r="T348" s="6" t="s">
        <v>94</v>
      </c>
      <c r="U348" s="6" t="s">
        <v>94</v>
      </c>
      <c r="V348" s="6" t="s">
        <v>94</v>
      </c>
      <c r="W348" s="6" t="s">
        <v>281</v>
      </c>
      <c r="X348" s="6" t="s">
        <v>1643</v>
      </c>
      <c r="Y348" s="6" t="s">
        <v>1643</v>
      </c>
      <c r="Z348" s="6" t="s">
        <v>1643</v>
      </c>
      <c r="AA348" s="8">
        <v>1</v>
      </c>
      <c r="AB348" s="8">
        <v>1</v>
      </c>
      <c r="AC348" s="8">
        <v>1</v>
      </c>
      <c r="AD348" s="8">
        <v>1</v>
      </c>
      <c r="AE348" s="8">
        <v>100</v>
      </c>
      <c r="AF348" s="6" t="s">
        <v>652</v>
      </c>
      <c r="AG348" s="6" t="s">
        <v>283</v>
      </c>
      <c r="AH348" s="6" t="s">
        <v>708</v>
      </c>
      <c r="AI348" s="6" t="s">
        <v>286</v>
      </c>
      <c r="AJ348" s="9">
        <v>40</v>
      </c>
      <c r="AK348" s="8">
        <v>40</v>
      </c>
      <c r="AL348" s="8">
        <v>40</v>
      </c>
      <c r="AM348" s="8">
        <v>40</v>
      </c>
      <c r="AN348" s="8">
        <v>40</v>
      </c>
      <c r="AO348" s="13">
        <v>40</v>
      </c>
      <c r="AP348" s="5"/>
    </row>
    <row r="349" spans="1:42">
      <c r="A349" s="12">
        <v>348</v>
      </c>
      <c r="B349" s="6" t="s">
        <v>1362</v>
      </c>
      <c r="C349" s="6" t="s">
        <v>2063</v>
      </c>
      <c r="D349" s="6" t="s">
        <v>387</v>
      </c>
      <c r="E349" s="6" t="s">
        <v>86</v>
      </c>
      <c r="F349" s="7">
        <v>43891</v>
      </c>
      <c r="G349" s="6" t="s">
        <v>150</v>
      </c>
      <c r="H349" s="6" t="s">
        <v>120</v>
      </c>
      <c r="I349" s="6" t="s">
        <v>1364</v>
      </c>
      <c r="J349" s="6" t="s">
        <v>90</v>
      </c>
      <c r="K349" s="6" t="s">
        <v>91</v>
      </c>
      <c r="L349" s="6" t="s">
        <v>92</v>
      </c>
      <c r="M349" s="6" t="s">
        <v>90</v>
      </c>
      <c r="N349" s="6" t="s">
        <v>784</v>
      </c>
      <c r="O349" s="6" t="s">
        <v>94</v>
      </c>
      <c r="P349" s="6" t="s">
        <v>27</v>
      </c>
      <c r="Q349" s="6" t="s">
        <v>95</v>
      </c>
      <c r="R349" s="6" t="s">
        <v>1643</v>
      </c>
      <c r="S349" s="6" t="s">
        <v>2064</v>
      </c>
      <c r="T349" s="6" t="s">
        <v>94</v>
      </c>
      <c r="U349" s="6" t="s">
        <v>94</v>
      </c>
      <c r="V349" s="6" t="s">
        <v>94</v>
      </c>
      <c r="W349" s="6" t="s">
        <v>445</v>
      </c>
      <c r="X349" s="6" t="s">
        <v>1643</v>
      </c>
      <c r="Y349" s="6" t="s">
        <v>1643</v>
      </c>
      <c r="Z349" s="6" t="s">
        <v>1643</v>
      </c>
      <c r="AA349" s="8">
        <v>0.81</v>
      </c>
      <c r="AB349" s="8">
        <v>0.81</v>
      </c>
      <c r="AC349" s="8">
        <v>0.81</v>
      </c>
      <c r="AD349" s="8">
        <v>0.81</v>
      </c>
      <c r="AE349" s="8">
        <v>81.25</v>
      </c>
      <c r="AF349" s="6" t="s">
        <v>357</v>
      </c>
      <c r="AG349" s="6" t="s">
        <v>283</v>
      </c>
      <c r="AH349" s="6" t="s">
        <v>354</v>
      </c>
      <c r="AI349" s="6" t="s">
        <v>286</v>
      </c>
      <c r="AJ349" s="9">
        <v>32.5</v>
      </c>
      <c r="AK349" s="8">
        <v>32.5</v>
      </c>
      <c r="AL349" s="8">
        <v>32.5</v>
      </c>
      <c r="AM349" s="8">
        <v>32.5</v>
      </c>
      <c r="AN349" s="8">
        <v>32.5</v>
      </c>
      <c r="AO349" s="13">
        <v>32.5</v>
      </c>
      <c r="AP349" s="5"/>
    </row>
    <row r="350" spans="1:42">
      <c r="A350" s="12">
        <v>349</v>
      </c>
      <c r="B350" s="6" t="s">
        <v>1365</v>
      </c>
      <c r="C350" s="6" t="s">
        <v>2065</v>
      </c>
      <c r="D350" s="6" t="s">
        <v>501</v>
      </c>
      <c r="E350" s="6" t="s">
        <v>86</v>
      </c>
      <c r="F350" s="7">
        <v>42932</v>
      </c>
      <c r="G350" s="6" t="s">
        <v>111</v>
      </c>
      <c r="H350" s="6" t="s">
        <v>420</v>
      </c>
      <c r="I350" s="6" t="s">
        <v>1367</v>
      </c>
      <c r="J350" s="6" t="s">
        <v>90</v>
      </c>
      <c r="K350" s="6" t="s">
        <v>91</v>
      </c>
      <c r="L350" s="6" t="s">
        <v>92</v>
      </c>
      <c r="M350" s="6" t="s">
        <v>90</v>
      </c>
      <c r="N350" s="6" t="s">
        <v>675</v>
      </c>
      <c r="O350" s="6" t="s">
        <v>95</v>
      </c>
      <c r="P350" s="6" t="s">
        <v>184</v>
      </c>
      <c r="Q350" s="6" t="s">
        <v>104</v>
      </c>
      <c r="R350" s="6" t="s">
        <v>1643</v>
      </c>
      <c r="S350" s="6" t="s">
        <v>94</v>
      </c>
      <c r="T350" s="6" t="s">
        <v>94</v>
      </c>
      <c r="U350" s="6" t="s">
        <v>94</v>
      </c>
      <c r="V350" s="6" t="s">
        <v>94</v>
      </c>
      <c r="W350" s="6" t="s">
        <v>281</v>
      </c>
      <c r="X350" s="6" t="s">
        <v>1652</v>
      </c>
      <c r="Y350" s="6" t="s">
        <v>1652</v>
      </c>
      <c r="Z350" s="6" t="s">
        <v>1652</v>
      </c>
      <c r="AA350" s="8">
        <v>0.81</v>
      </c>
      <c r="AB350" s="8">
        <v>0</v>
      </c>
      <c r="AC350" s="8">
        <v>0</v>
      </c>
      <c r="AD350" s="8">
        <v>0</v>
      </c>
      <c r="AE350" s="8">
        <v>85.714285709999999</v>
      </c>
      <c r="AF350" s="6" t="s">
        <v>391</v>
      </c>
      <c r="AG350" s="6" t="s">
        <v>386</v>
      </c>
      <c r="AH350" s="6" t="s">
        <v>387</v>
      </c>
      <c r="AI350" s="6" t="s">
        <v>286</v>
      </c>
      <c r="AJ350" s="9">
        <v>40</v>
      </c>
      <c r="AK350" s="8">
        <v>16</v>
      </c>
      <c r="AL350" s="8">
        <v>0</v>
      </c>
      <c r="AM350" s="8">
        <v>0</v>
      </c>
      <c r="AN350" s="8">
        <v>0</v>
      </c>
      <c r="AO350" s="13">
        <v>0</v>
      </c>
      <c r="AP350" s="5"/>
    </row>
    <row r="351" spans="1:42">
      <c r="A351" s="12">
        <v>350</v>
      </c>
      <c r="B351" s="6" t="s">
        <v>1368</v>
      </c>
      <c r="C351" s="6" t="s">
        <v>2066</v>
      </c>
      <c r="D351" s="6" t="s">
        <v>1372</v>
      </c>
      <c r="E351" s="6" t="s">
        <v>86</v>
      </c>
      <c r="F351" s="7">
        <v>43055</v>
      </c>
      <c r="G351" s="6" t="s">
        <v>111</v>
      </c>
      <c r="H351" s="6" t="s">
        <v>1370</v>
      </c>
      <c r="I351" s="6" t="s">
        <v>1371</v>
      </c>
      <c r="J351" s="6" t="s">
        <v>90</v>
      </c>
      <c r="K351" s="6" t="s">
        <v>91</v>
      </c>
      <c r="L351" s="6" t="s">
        <v>92</v>
      </c>
      <c r="M351" s="6" t="s">
        <v>90</v>
      </c>
      <c r="N351" s="6" t="s">
        <v>136</v>
      </c>
      <c r="O351" s="6" t="s">
        <v>95</v>
      </c>
      <c r="P351" s="6" t="s">
        <v>136</v>
      </c>
      <c r="Q351" s="6" t="s">
        <v>122</v>
      </c>
      <c r="R351" s="6" t="s">
        <v>1643</v>
      </c>
      <c r="S351" s="6" t="s">
        <v>94</v>
      </c>
      <c r="T351" s="6" t="s">
        <v>94</v>
      </c>
      <c r="U351" s="6" t="s">
        <v>94</v>
      </c>
      <c r="V351" s="6" t="s">
        <v>94</v>
      </c>
      <c r="W351" s="6" t="s">
        <v>281</v>
      </c>
      <c r="X351" s="6" t="s">
        <v>1643</v>
      </c>
      <c r="Y351" s="6" t="s">
        <v>1643</v>
      </c>
      <c r="Z351" s="6" t="s">
        <v>1643</v>
      </c>
      <c r="AA351" s="8">
        <v>1</v>
      </c>
      <c r="AB351" s="8">
        <v>1</v>
      </c>
      <c r="AC351" s="8">
        <v>1</v>
      </c>
      <c r="AD351" s="8">
        <v>1</v>
      </c>
      <c r="AE351" s="8">
        <v>100</v>
      </c>
      <c r="AF351" s="6" t="s">
        <v>334</v>
      </c>
      <c r="AG351" s="6" t="s">
        <v>335</v>
      </c>
      <c r="AH351" s="6" t="s">
        <v>501</v>
      </c>
      <c r="AI351" s="6" t="s">
        <v>286</v>
      </c>
      <c r="AJ351" s="9">
        <v>40</v>
      </c>
      <c r="AK351" s="8">
        <v>40</v>
      </c>
      <c r="AL351" s="8">
        <v>40</v>
      </c>
      <c r="AM351" s="8">
        <v>40</v>
      </c>
      <c r="AN351" s="8">
        <v>40</v>
      </c>
      <c r="AO351" s="13">
        <v>40</v>
      </c>
      <c r="AP351" s="5"/>
    </row>
    <row r="352" spans="1:42">
      <c r="A352" s="12">
        <v>351</v>
      </c>
      <c r="B352" s="6" t="s">
        <v>1373</v>
      </c>
      <c r="C352" s="6" t="s">
        <v>2067</v>
      </c>
      <c r="D352" s="6" t="s">
        <v>315</v>
      </c>
      <c r="E352" s="6" t="s">
        <v>86</v>
      </c>
      <c r="F352" s="7">
        <v>43983</v>
      </c>
      <c r="G352" s="6" t="s">
        <v>204</v>
      </c>
      <c r="H352" s="6" t="s">
        <v>175</v>
      </c>
      <c r="I352" s="6" t="s">
        <v>1375</v>
      </c>
      <c r="J352" s="6" t="s">
        <v>90</v>
      </c>
      <c r="K352" s="6" t="s">
        <v>91</v>
      </c>
      <c r="L352" s="6" t="s">
        <v>92</v>
      </c>
      <c r="M352" s="6" t="s">
        <v>90</v>
      </c>
      <c r="N352" s="6" t="s">
        <v>43</v>
      </c>
      <c r="O352" s="6" t="s">
        <v>122</v>
      </c>
      <c r="P352" s="6" t="s">
        <v>642</v>
      </c>
      <c r="Q352" s="6" t="s">
        <v>122</v>
      </c>
      <c r="R352" s="6" t="s">
        <v>1643</v>
      </c>
      <c r="S352" s="6" t="s">
        <v>1693</v>
      </c>
      <c r="T352" s="6" t="s">
        <v>94</v>
      </c>
      <c r="U352" s="6" t="s">
        <v>94</v>
      </c>
      <c r="V352" s="6" t="s">
        <v>94</v>
      </c>
      <c r="W352" s="6" t="s">
        <v>321</v>
      </c>
      <c r="X352" s="6" t="s">
        <v>1643</v>
      </c>
      <c r="Y352" s="6" t="s">
        <v>1643</v>
      </c>
      <c r="Z352" s="6" t="s">
        <v>1643</v>
      </c>
      <c r="AA352" s="8">
        <v>1</v>
      </c>
      <c r="AB352" s="8">
        <v>1</v>
      </c>
      <c r="AC352" s="8">
        <v>1</v>
      </c>
      <c r="AD352" s="8">
        <v>1</v>
      </c>
      <c r="AE352" s="8">
        <v>100</v>
      </c>
      <c r="AF352" s="6" t="s">
        <v>334</v>
      </c>
      <c r="AG352" s="6" t="s">
        <v>335</v>
      </c>
      <c r="AH352" s="6" t="s">
        <v>1372</v>
      </c>
      <c r="AI352" s="6" t="s">
        <v>286</v>
      </c>
      <c r="AJ352" s="9">
        <v>40</v>
      </c>
      <c r="AK352" s="8">
        <v>40</v>
      </c>
      <c r="AL352" s="8">
        <v>40</v>
      </c>
      <c r="AM352" s="8">
        <v>40</v>
      </c>
      <c r="AN352" s="8">
        <v>40</v>
      </c>
      <c r="AO352" s="13">
        <v>40</v>
      </c>
      <c r="AP352" s="5"/>
    </row>
    <row r="353" spans="1:42">
      <c r="A353" s="12">
        <v>352</v>
      </c>
      <c r="B353" s="6" t="s">
        <v>1376</v>
      </c>
      <c r="C353" s="6" t="s">
        <v>2068</v>
      </c>
      <c r="D353" s="6" t="s">
        <v>387</v>
      </c>
      <c r="E353" s="6" t="s">
        <v>86</v>
      </c>
      <c r="F353" s="7">
        <v>45283</v>
      </c>
      <c r="G353" s="6" t="s">
        <v>26</v>
      </c>
      <c r="H353" s="6" t="s">
        <v>120</v>
      </c>
      <c r="I353" s="6" t="s">
        <v>1378</v>
      </c>
      <c r="J353" s="6" t="s">
        <v>90</v>
      </c>
      <c r="K353" s="6" t="s">
        <v>91</v>
      </c>
      <c r="L353" s="6" t="s">
        <v>92</v>
      </c>
      <c r="M353" s="6" t="s">
        <v>90</v>
      </c>
      <c r="N353" s="6" t="s">
        <v>27</v>
      </c>
      <c r="O353" s="6" t="s">
        <v>104</v>
      </c>
      <c r="P353" s="6" t="s">
        <v>313</v>
      </c>
      <c r="Q353" s="6" t="s">
        <v>104</v>
      </c>
      <c r="R353" s="6" t="s">
        <v>1643</v>
      </c>
      <c r="S353" s="6" t="s">
        <v>94</v>
      </c>
      <c r="T353" s="6" t="s">
        <v>94</v>
      </c>
      <c r="U353" s="6" t="s">
        <v>94</v>
      </c>
      <c r="V353" s="6" t="s">
        <v>94</v>
      </c>
      <c r="W353" s="6" t="s">
        <v>296</v>
      </c>
      <c r="X353" s="6" t="s">
        <v>1652</v>
      </c>
      <c r="Y353" s="6" t="s">
        <v>1652</v>
      </c>
      <c r="Z353" s="6" t="s">
        <v>1652</v>
      </c>
      <c r="AA353" s="8">
        <v>1</v>
      </c>
      <c r="AB353" s="8">
        <v>0</v>
      </c>
      <c r="AC353" s="8">
        <v>0</v>
      </c>
      <c r="AD353" s="8">
        <v>0</v>
      </c>
      <c r="AE353" s="8">
        <v>100</v>
      </c>
      <c r="AF353" s="6" t="s">
        <v>317</v>
      </c>
      <c r="AG353" s="6" t="s">
        <v>283</v>
      </c>
      <c r="AH353" s="6" t="s">
        <v>315</v>
      </c>
      <c r="AI353" s="6" t="s">
        <v>286</v>
      </c>
      <c r="AJ353" s="9">
        <v>40</v>
      </c>
      <c r="AK353" s="8">
        <v>40</v>
      </c>
      <c r="AL353" s="8">
        <v>8</v>
      </c>
      <c r="AM353" s="8">
        <v>0</v>
      </c>
      <c r="AN353" s="8">
        <v>0</v>
      </c>
      <c r="AO353" s="13">
        <v>0</v>
      </c>
      <c r="AP353" s="5"/>
    </row>
    <row r="354" spans="1:42">
      <c r="A354" s="12">
        <v>353</v>
      </c>
      <c r="B354" s="6" t="s">
        <v>1379</v>
      </c>
      <c r="C354" s="6" t="s">
        <v>2069</v>
      </c>
      <c r="D354" s="6" t="s">
        <v>305</v>
      </c>
      <c r="E354" s="6" t="s">
        <v>86</v>
      </c>
      <c r="F354" s="7">
        <v>46149</v>
      </c>
      <c r="G354" s="6" t="s">
        <v>111</v>
      </c>
      <c r="H354" s="6" t="s">
        <v>94</v>
      </c>
      <c r="I354" s="6" t="s">
        <v>94</v>
      </c>
      <c r="J354" s="6" t="s">
        <v>90</v>
      </c>
      <c r="K354" s="6" t="s">
        <v>91</v>
      </c>
      <c r="L354" s="6" t="s">
        <v>92</v>
      </c>
      <c r="M354" s="6" t="s">
        <v>90</v>
      </c>
      <c r="N354" s="6" t="s">
        <v>94</v>
      </c>
      <c r="O354" s="6" t="s">
        <v>94</v>
      </c>
      <c r="P354" s="6" t="s">
        <v>136</v>
      </c>
      <c r="Q354" s="6" t="s">
        <v>95</v>
      </c>
      <c r="R354" s="6" t="s">
        <v>1643</v>
      </c>
      <c r="S354" s="6" t="s">
        <v>2070</v>
      </c>
      <c r="T354" s="6" t="s">
        <v>94</v>
      </c>
      <c r="U354" s="6" t="s">
        <v>94</v>
      </c>
      <c r="V354" s="6" t="s">
        <v>94</v>
      </c>
      <c r="W354" s="6" t="s">
        <v>281</v>
      </c>
      <c r="X354" s="6" t="s">
        <v>1643</v>
      </c>
      <c r="Y354" s="6" t="s">
        <v>1643</v>
      </c>
      <c r="Z354" s="6" t="s">
        <v>1643</v>
      </c>
      <c r="AA354" s="8">
        <v>1</v>
      </c>
      <c r="AB354" s="8">
        <v>1</v>
      </c>
      <c r="AC354" s="8">
        <v>1</v>
      </c>
      <c r="AD354" s="8">
        <v>1</v>
      </c>
      <c r="AE354" s="8">
        <v>100</v>
      </c>
      <c r="AF354" s="6" t="s">
        <v>391</v>
      </c>
      <c r="AG354" s="6" t="s">
        <v>386</v>
      </c>
      <c r="AH354" s="6" t="s">
        <v>387</v>
      </c>
      <c r="AI354" s="6" t="s">
        <v>286</v>
      </c>
      <c r="AJ354" s="9">
        <v>40</v>
      </c>
      <c r="AK354" s="8">
        <v>40</v>
      </c>
      <c r="AL354" s="8">
        <v>40</v>
      </c>
      <c r="AM354" s="8">
        <v>40</v>
      </c>
      <c r="AN354" s="8">
        <v>40</v>
      </c>
      <c r="AO354" s="13">
        <v>40</v>
      </c>
      <c r="AP354" s="5"/>
    </row>
    <row r="355" spans="1:42">
      <c r="A355" s="12">
        <v>354</v>
      </c>
      <c r="B355" s="6" t="s">
        <v>1381</v>
      </c>
      <c r="C355" s="6" t="s">
        <v>2071</v>
      </c>
      <c r="D355" s="6" t="s">
        <v>285</v>
      </c>
      <c r="E355" s="6" t="s">
        <v>86</v>
      </c>
      <c r="F355" s="7">
        <v>43313</v>
      </c>
      <c r="G355" s="6" t="s">
        <v>111</v>
      </c>
      <c r="H355" s="6" t="s">
        <v>1383</v>
      </c>
      <c r="I355" s="6" t="s">
        <v>1384</v>
      </c>
      <c r="J355" s="6" t="s">
        <v>90</v>
      </c>
      <c r="K355" s="6" t="s">
        <v>91</v>
      </c>
      <c r="L355" s="6" t="s">
        <v>92</v>
      </c>
      <c r="M355" s="6" t="s">
        <v>90</v>
      </c>
      <c r="N355" s="6" t="s">
        <v>103</v>
      </c>
      <c r="O355" s="6" t="s">
        <v>95</v>
      </c>
      <c r="P355" s="6" t="s">
        <v>313</v>
      </c>
      <c r="Q355" s="6" t="s">
        <v>122</v>
      </c>
      <c r="R355" s="6" t="s">
        <v>1643</v>
      </c>
      <c r="S355" s="6" t="s">
        <v>94</v>
      </c>
      <c r="T355" s="6" t="s">
        <v>94</v>
      </c>
      <c r="U355" s="6" t="s">
        <v>94</v>
      </c>
      <c r="V355" s="6" t="s">
        <v>94</v>
      </c>
      <c r="W355" s="6" t="s">
        <v>281</v>
      </c>
      <c r="X355" s="6" t="s">
        <v>1643</v>
      </c>
      <c r="Y355" s="6" t="s">
        <v>1643</v>
      </c>
      <c r="Z355" s="6" t="s">
        <v>1643</v>
      </c>
      <c r="AA355" s="8">
        <v>1</v>
      </c>
      <c r="AB355" s="8">
        <v>1</v>
      </c>
      <c r="AC355" s="8">
        <v>1</v>
      </c>
      <c r="AD355" s="8">
        <v>1</v>
      </c>
      <c r="AE355" s="8">
        <v>100</v>
      </c>
      <c r="AF355" s="6" t="s">
        <v>308</v>
      </c>
      <c r="AG355" s="6" t="s">
        <v>283</v>
      </c>
      <c r="AH355" s="6" t="s">
        <v>305</v>
      </c>
      <c r="AI355" s="6" t="s">
        <v>286</v>
      </c>
      <c r="AJ355" s="9">
        <v>40</v>
      </c>
      <c r="AK355" s="8">
        <v>40</v>
      </c>
      <c r="AL355" s="8">
        <v>40</v>
      </c>
      <c r="AM355" s="8">
        <v>40</v>
      </c>
      <c r="AN355" s="8">
        <v>40</v>
      </c>
      <c r="AO355" s="13">
        <v>40</v>
      </c>
      <c r="AP355" s="5"/>
    </row>
    <row r="356" spans="1:42">
      <c r="A356" s="12">
        <v>355</v>
      </c>
      <c r="B356" s="6" t="s">
        <v>1385</v>
      </c>
      <c r="C356" s="6" t="s">
        <v>2072</v>
      </c>
      <c r="D356" s="6" t="s">
        <v>348</v>
      </c>
      <c r="E356" s="6" t="s">
        <v>86</v>
      </c>
      <c r="F356" s="7">
        <v>43040</v>
      </c>
      <c r="G356" s="6" t="s">
        <v>111</v>
      </c>
      <c r="H356" s="6" t="s">
        <v>603</v>
      </c>
      <c r="I356" s="6" t="s">
        <v>1387</v>
      </c>
      <c r="J356" s="6" t="s">
        <v>90</v>
      </c>
      <c r="K356" s="6" t="s">
        <v>91</v>
      </c>
      <c r="L356" s="6" t="s">
        <v>92</v>
      </c>
      <c r="M356" s="6" t="s">
        <v>90</v>
      </c>
      <c r="N356" s="6" t="s">
        <v>131</v>
      </c>
      <c r="O356" s="6" t="s">
        <v>95</v>
      </c>
      <c r="P356" s="6" t="s">
        <v>131</v>
      </c>
      <c r="Q356" s="6" t="s">
        <v>122</v>
      </c>
      <c r="R356" s="6" t="s">
        <v>1643</v>
      </c>
      <c r="S356" s="6" t="s">
        <v>94</v>
      </c>
      <c r="T356" s="6" t="s">
        <v>94</v>
      </c>
      <c r="U356" s="6" t="s">
        <v>94</v>
      </c>
      <c r="V356" s="6" t="s">
        <v>94</v>
      </c>
      <c r="W356" s="6" t="s">
        <v>281</v>
      </c>
      <c r="X356" s="6" t="s">
        <v>1643</v>
      </c>
      <c r="Y356" s="6" t="s">
        <v>1643</v>
      </c>
      <c r="Z356" s="6" t="s">
        <v>1643</v>
      </c>
      <c r="AA356" s="8">
        <v>1</v>
      </c>
      <c r="AB356" s="8">
        <v>1</v>
      </c>
      <c r="AC356" s="8">
        <v>1</v>
      </c>
      <c r="AD356" s="8">
        <v>1</v>
      </c>
      <c r="AE356" s="8">
        <v>100</v>
      </c>
      <c r="AF356" s="6" t="s">
        <v>282</v>
      </c>
      <c r="AG356" s="6" t="s">
        <v>283</v>
      </c>
      <c r="AH356" s="6" t="s">
        <v>285</v>
      </c>
      <c r="AI356" s="6" t="s">
        <v>286</v>
      </c>
      <c r="AJ356" s="9">
        <v>40</v>
      </c>
      <c r="AK356" s="8">
        <v>40</v>
      </c>
      <c r="AL356" s="8">
        <v>40</v>
      </c>
      <c r="AM356" s="8">
        <v>40</v>
      </c>
      <c r="AN356" s="8">
        <v>40</v>
      </c>
      <c r="AO356" s="13">
        <v>40</v>
      </c>
      <c r="AP356" s="5"/>
    </row>
    <row r="357" spans="1:42">
      <c r="A357" s="12">
        <v>356</v>
      </c>
      <c r="B357" s="6" t="s">
        <v>1388</v>
      </c>
      <c r="C357" s="6" t="s">
        <v>2073</v>
      </c>
      <c r="D357" s="6" t="s">
        <v>387</v>
      </c>
      <c r="E357" s="6" t="s">
        <v>86</v>
      </c>
      <c r="F357" s="7">
        <v>45123</v>
      </c>
      <c r="G357" s="6" t="s">
        <v>111</v>
      </c>
      <c r="H357" s="6" t="s">
        <v>182</v>
      </c>
      <c r="I357" s="6" t="s">
        <v>1390</v>
      </c>
      <c r="J357" s="6" t="s">
        <v>90</v>
      </c>
      <c r="K357" s="6" t="s">
        <v>91</v>
      </c>
      <c r="L357" s="6" t="s">
        <v>92</v>
      </c>
      <c r="M357" s="6" t="s">
        <v>90</v>
      </c>
      <c r="N357" s="6" t="s">
        <v>103</v>
      </c>
      <c r="O357" s="6" t="s">
        <v>122</v>
      </c>
      <c r="P357" s="6" t="s">
        <v>103</v>
      </c>
      <c r="Q357" s="6" t="s">
        <v>122</v>
      </c>
      <c r="R357" s="6" t="s">
        <v>1643</v>
      </c>
      <c r="S357" s="6" t="s">
        <v>2074</v>
      </c>
      <c r="T357" s="6" t="s">
        <v>94</v>
      </c>
      <c r="U357" s="6" t="s">
        <v>94</v>
      </c>
      <c r="V357" s="6" t="s">
        <v>94</v>
      </c>
      <c r="W357" s="6" t="s">
        <v>418</v>
      </c>
      <c r="X357" s="6" t="s">
        <v>1643</v>
      </c>
      <c r="Y357" s="6" t="s">
        <v>1643</v>
      </c>
      <c r="Z357" s="6" t="s">
        <v>1643</v>
      </c>
      <c r="AA357" s="8">
        <v>1</v>
      </c>
      <c r="AB357" s="8">
        <v>1</v>
      </c>
      <c r="AC357" s="8">
        <v>1</v>
      </c>
      <c r="AD357" s="8">
        <v>1</v>
      </c>
      <c r="AE357" s="8">
        <v>100</v>
      </c>
      <c r="AF357" s="6" t="s">
        <v>351</v>
      </c>
      <c r="AG357" s="6" t="s">
        <v>283</v>
      </c>
      <c r="AH357" s="6" t="s">
        <v>348</v>
      </c>
      <c r="AI357" s="6" t="s">
        <v>286</v>
      </c>
      <c r="AJ357" s="9">
        <v>40</v>
      </c>
      <c r="AK357" s="8">
        <v>40</v>
      </c>
      <c r="AL357" s="8">
        <v>40</v>
      </c>
      <c r="AM357" s="8">
        <v>40</v>
      </c>
      <c r="AN357" s="8">
        <v>40</v>
      </c>
      <c r="AO357" s="13">
        <v>40</v>
      </c>
      <c r="AP357" s="5"/>
    </row>
    <row r="358" spans="1:42">
      <c r="A358" s="12">
        <v>357</v>
      </c>
      <c r="B358" s="6" t="s">
        <v>1391</v>
      </c>
      <c r="C358" s="6" t="s">
        <v>2075</v>
      </c>
      <c r="D358" s="6" t="s">
        <v>285</v>
      </c>
      <c r="E358" s="6" t="s">
        <v>86</v>
      </c>
      <c r="F358" s="7">
        <v>43175</v>
      </c>
      <c r="G358" s="6" t="s">
        <v>111</v>
      </c>
      <c r="H358" s="6" t="s">
        <v>134</v>
      </c>
      <c r="I358" s="6" t="s">
        <v>1393</v>
      </c>
      <c r="J358" s="6" t="s">
        <v>90</v>
      </c>
      <c r="K358" s="6" t="s">
        <v>91</v>
      </c>
      <c r="L358" s="6" t="s">
        <v>92</v>
      </c>
      <c r="M358" s="6" t="s">
        <v>90</v>
      </c>
      <c r="N358" s="6" t="s">
        <v>131</v>
      </c>
      <c r="O358" s="6" t="s">
        <v>95</v>
      </c>
      <c r="P358" s="6" t="s">
        <v>131</v>
      </c>
      <c r="Q358" s="6" t="s">
        <v>95</v>
      </c>
      <c r="R358" s="6" t="s">
        <v>1643</v>
      </c>
      <c r="S358" s="6" t="s">
        <v>1882</v>
      </c>
      <c r="T358" s="6" t="s">
        <v>94</v>
      </c>
      <c r="U358" s="6" t="s">
        <v>94</v>
      </c>
      <c r="V358" s="6" t="s">
        <v>94</v>
      </c>
      <c r="W358" s="6" t="s">
        <v>281</v>
      </c>
      <c r="X358" s="6" t="s">
        <v>1652</v>
      </c>
      <c r="Y358" s="6" t="s">
        <v>1652</v>
      </c>
      <c r="Z358" s="6" t="s">
        <v>1652</v>
      </c>
      <c r="AA358" s="8">
        <v>0.81</v>
      </c>
      <c r="AB358" s="8">
        <v>0</v>
      </c>
      <c r="AC358" s="8">
        <v>0</v>
      </c>
      <c r="AD358" s="8">
        <v>0</v>
      </c>
      <c r="AE358" s="8">
        <v>85.714285709999999</v>
      </c>
      <c r="AF358" s="6" t="s">
        <v>391</v>
      </c>
      <c r="AG358" s="6" t="s">
        <v>386</v>
      </c>
      <c r="AH358" s="6" t="s">
        <v>387</v>
      </c>
      <c r="AI358" s="6" t="s">
        <v>286</v>
      </c>
      <c r="AJ358" s="9">
        <v>40</v>
      </c>
      <c r="AK358" s="8">
        <v>16</v>
      </c>
      <c r="AL358" s="8">
        <v>0</v>
      </c>
      <c r="AM358" s="8">
        <v>0</v>
      </c>
      <c r="AN358" s="8">
        <v>0</v>
      </c>
      <c r="AO358" s="13">
        <v>0</v>
      </c>
      <c r="AP358" s="5"/>
    </row>
    <row r="359" spans="1:42">
      <c r="A359" s="12">
        <v>358</v>
      </c>
      <c r="B359" s="6" t="s">
        <v>1394</v>
      </c>
      <c r="C359" s="6" t="s">
        <v>2076</v>
      </c>
      <c r="D359" s="6" t="s">
        <v>387</v>
      </c>
      <c r="E359" s="6" t="s">
        <v>86</v>
      </c>
      <c r="F359" s="7">
        <v>45907</v>
      </c>
      <c r="G359" s="6" t="s">
        <v>111</v>
      </c>
      <c r="H359" s="6" t="s">
        <v>94</v>
      </c>
      <c r="I359" s="6" t="s">
        <v>94</v>
      </c>
      <c r="J359" s="6" t="s">
        <v>90</v>
      </c>
      <c r="K359" s="6" t="s">
        <v>91</v>
      </c>
      <c r="L359" s="6" t="s">
        <v>92</v>
      </c>
      <c r="M359" s="6" t="s">
        <v>90</v>
      </c>
      <c r="N359" s="6" t="s">
        <v>94</v>
      </c>
      <c r="O359" s="6" t="s">
        <v>94</v>
      </c>
      <c r="P359" s="6" t="s">
        <v>412</v>
      </c>
      <c r="Q359" s="6" t="s">
        <v>95</v>
      </c>
      <c r="R359" s="6" t="s">
        <v>1643</v>
      </c>
      <c r="S359" s="6" t="s">
        <v>1744</v>
      </c>
      <c r="T359" s="6" t="s">
        <v>94</v>
      </c>
      <c r="U359" s="6" t="s">
        <v>94</v>
      </c>
      <c r="V359" s="6" t="s">
        <v>94</v>
      </c>
      <c r="W359" s="6" t="s">
        <v>418</v>
      </c>
      <c r="X359" s="6" t="s">
        <v>1643</v>
      </c>
      <c r="Y359" s="6" t="s">
        <v>1643</v>
      </c>
      <c r="Z359" s="6" t="s">
        <v>1643</v>
      </c>
      <c r="AA359" s="8">
        <v>1</v>
      </c>
      <c r="AB359" s="8">
        <v>1</v>
      </c>
      <c r="AC359" s="8">
        <v>1</v>
      </c>
      <c r="AD359" s="8">
        <v>1</v>
      </c>
      <c r="AE359" s="8">
        <v>100</v>
      </c>
      <c r="AF359" s="6" t="s">
        <v>282</v>
      </c>
      <c r="AG359" s="6" t="s">
        <v>283</v>
      </c>
      <c r="AH359" s="6" t="s">
        <v>285</v>
      </c>
      <c r="AI359" s="6" t="s">
        <v>286</v>
      </c>
      <c r="AJ359" s="9">
        <v>40</v>
      </c>
      <c r="AK359" s="8">
        <v>40</v>
      </c>
      <c r="AL359" s="8">
        <v>40</v>
      </c>
      <c r="AM359" s="8">
        <v>40</v>
      </c>
      <c r="AN359" s="8">
        <v>40</v>
      </c>
      <c r="AO359" s="13">
        <v>40</v>
      </c>
      <c r="AP359" s="5"/>
    </row>
    <row r="360" spans="1:42">
      <c r="A360" s="12">
        <v>359</v>
      </c>
      <c r="B360" s="6" t="s">
        <v>1396</v>
      </c>
      <c r="C360" s="6" t="s">
        <v>2077</v>
      </c>
      <c r="D360" s="6" t="s">
        <v>318</v>
      </c>
      <c r="E360" s="6" t="s">
        <v>86</v>
      </c>
      <c r="F360" s="7">
        <v>46045</v>
      </c>
      <c r="G360" s="6" t="s">
        <v>337</v>
      </c>
      <c r="H360" s="6" t="s">
        <v>94</v>
      </c>
      <c r="I360" s="6" t="s">
        <v>536</v>
      </c>
      <c r="J360" s="6" t="s">
        <v>90</v>
      </c>
      <c r="K360" s="6" t="s">
        <v>91</v>
      </c>
      <c r="L360" s="6" t="s">
        <v>92</v>
      </c>
      <c r="M360" s="6" t="s">
        <v>90</v>
      </c>
      <c r="N360" s="6" t="s">
        <v>94</v>
      </c>
      <c r="O360" s="6" t="s">
        <v>94</v>
      </c>
      <c r="P360" s="6" t="s">
        <v>131</v>
      </c>
      <c r="Q360" s="6" t="s">
        <v>95</v>
      </c>
      <c r="R360" s="6" t="s">
        <v>1643</v>
      </c>
      <c r="S360" s="6" t="s">
        <v>94</v>
      </c>
      <c r="T360" s="6" t="s">
        <v>94</v>
      </c>
      <c r="U360" s="6" t="s">
        <v>94</v>
      </c>
      <c r="V360" s="6" t="s">
        <v>94</v>
      </c>
      <c r="W360" s="6" t="s">
        <v>338</v>
      </c>
      <c r="X360" s="6" t="s">
        <v>1643</v>
      </c>
      <c r="Y360" s="6" t="s">
        <v>1643</v>
      </c>
      <c r="Z360" s="6" t="s">
        <v>1643</v>
      </c>
      <c r="AA360" s="8">
        <v>1</v>
      </c>
      <c r="AB360" s="8">
        <v>1</v>
      </c>
      <c r="AC360" s="8">
        <v>1</v>
      </c>
      <c r="AD360" s="8">
        <v>1</v>
      </c>
      <c r="AE360" s="8">
        <v>100</v>
      </c>
      <c r="AF360" s="6" t="s">
        <v>391</v>
      </c>
      <c r="AG360" s="6" t="s">
        <v>386</v>
      </c>
      <c r="AH360" s="6" t="s">
        <v>387</v>
      </c>
      <c r="AI360" s="6" t="s">
        <v>286</v>
      </c>
      <c r="AJ360" s="9">
        <v>40</v>
      </c>
      <c r="AK360" s="8">
        <v>40</v>
      </c>
      <c r="AL360" s="8">
        <v>40</v>
      </c>
      <c r="AM360" s="8">
        <v>40</v>
      </c>
      <c r="AN360" s="8">
        <v>40</v>
      </c>
      <c r="AO360" s="13">
        <v>40</v>
      </c>
      <c r="AP360" s="5"/>
    </row>
    <row r="361" spans="1:42">
      <c r="A361" s="12">
        <v>360</v>
      </c>
      <c r="B361" s="6" t="s">
        <v>1398</v>
      </c>
      <c r="C361" s="6" t="s">
        <v>2078</v>
      </c>
      <c r="D361" s="6" t="s">
        <v>1401</v>
      </c>
      <c r="E361" s="6" t="s">
        <v>86</v>
      </c>
      <c r="F361" s="7">
        <v>45108</v>
      </c>
      <c r="G361" s="6" t="s">
        <v>111</v>
      </c>
      <c r="H361" s="6" t="s">
        <v>389</v>
      </c>
      <c r="I361" s="6" t="s">
        <v>1400</v>
      </c>
      <c r="J361" s="6" t="s">
        <v>90</v>
      </c>
      <c r="K361" s="6" t="s">
        <v>91</v>
      </c>
      <c r="L361" s="6" t="s">
        <v>92</v>
      </c>
      <c r="M361" s="6" t="s">
        <v>90</v>
      </c>
      <c r="N361" s="6" t="s">
        <v>131</v>
      </c>
      <c r="O361" s="6" t="s">
        <v>95</v>
      </c>
      <c r="P361" s="6" t="s">
        <v>117</v>
      </c>
      <c r="Q361" s="6" t="s">
        <v>122</v>
      </c>
      <c r="R361" s="6" t="s">
        <v>1643</v>
      </c>
      <c r="S361" s="6" t="s">
        <v>94</v>
      </c>
      <c r="T361" s="6" t="s">
        <v>94</v>
      </c>
      <c r="U361" s="6" t="s">
        <v>94</v>
      </c>
      <c r="V361" s="6" t="s">
        <v>94</v>
      </c>
      <c r="W361" s="6" t="s">
        <v>418</v>
      </c>
      <c r="X361" s="6" t="s">
        <v>1643</v>
      </c>
      <c r="Y361" s="6" t="s">
        <v>1643</v>
      </c>
      <c r="Z361" s="6" t="s">
        <v>1643</v>
      </c>
      <c r="AA361" s="8">
        <v>1</v>
      </c>
      <c r="AB361" s="8">
        <v>1</v>
      </c>
      <c r="AC361" s="8">
        <v>1</v>
      </c>
      <c r="AD361" s="8">
        <v>1</v>
      </c>
      <c r="AE361" s="8">
        <v>100</v>
      </c>
      <c r="AF361" s="6" t="s">
        <v>308</v>
      </c>
      <c r="AG361" s="6" t="s">
        <v>283</v>
      </c>
      <c r="AH361" s="6" t="s">
        <v>318</v>
      </c>
      <c r="AI361" s="6" t="s">
        <v>286</v>
      </c>
      <c r="AJ361" s="9">
        <v>40</v>
      </c>
      <c r="AK361" s="8">
        <v>40</v>
      </c>
      <c r="AL361" s="8">
        <v>40</v>
      </c>
      <c r="AM361" s="8">
        <v>40</v>
      </c>
      <c r="AN361" s="8">
        <v>40</v>
      </c>
      <c r="AO361" s="13">
        <v>40</v>
      </c>
      <c r="AP361" s="5"/>
    </row>
    <row r="362" spans="1:42">
      <c r="A362" s="12">
        <v>361</v>
      </c>
      <c r="B362" s="6" t="s">
        <v>1402</v>
      </c>
      <c r="C362" s="6" t="s">
        <v>2079</v>
      </c>
      <c r="D362" s="6" t="s">
        <v>305</v>
      </c>
      <c r="E362" s="6" t="s">
        <v>86</v>
      </c>
      <c r="F362" s="7">
        <v>46174</v>
      </c>
      <c r="G362" s="6" t="s">
        <v>288</v>
      </c>
      <c r="H362" s="6" t="s">
        <v>94</v>
      </c>
      <c r="I362" s="6" t="s">
        <v>94</v>
      </c>
      <c r="J362" s="6" t="s">
        <v>90</v>
      </c>
      <c r="K362" s="6" t="s">
        <v>91</v>
      </c>
      <c r="L362" s="6" t="s">
        <v>92</v>
      </c>
      <c r="M362" s="6" t="s">
        <v>90</v>
      </c>
      <c r="N362" s="6" t="s">
        <v>94</v>
      </c>
      <c r="O362" s="6" t="s">
        <v>94</v>
      </c>
      <c r="P362" s="6" t="s">
        <v>117</v>
      </c>
      <c r="Q362" s="6" t="s">
        <v>95</v>
      </c>
      <c r="R362" s="6" t="s">
        <v>1643</v>
      </c>
      <c r="S362" s="6" t="s">
        <v>94</v>
      </c>
      <c r="T362" s="6" t="s">
        <v>94</v>
      </c>
      <c r="U362" s="6" t="s">
        <v>94</v>
      </c>
      <c r="V362" s="6" t="s">
        <v>94</v>
      </c>
      <c r="W362" s="6" t="s">
        <v>291</v>
      </c>
      <c r="X362" s="6" t="s">
        <v>1643</v>
      </c>
      <c r="Y362" s="6" t="s">
        <v>1643</v>
      </c>
      <c r="Z362" s="6" t="s">
        <v>1643</v>
      </c>
      <c r="AA362" s="8">
        <v>1</v>
      </c>
      <c r="AB362" s="8">
        <v>1</v>
      </c>
      <c r="AC362" s="8">
        <v>1</v>
      </c>
      <c r="AD362" s="8">
        <v>1</v>
      </c>
      <c r="AE362" s="8">
        <v>100</v>
      </c>
      <c r="AF362" s="6" t="s">
        <v>652</v>
      </c>
      <c r="AG362" s="6" t="s">
        <v>283</v>
      </c>
      <c r="AH362" s="6" t="s">
        <v>1401</v>
      </c>
      <c r="AI362" s="6" t="s">
        <v>286</v>
      </c>
      <c r="AJ362" s="9">
        <v>40</v>
      </c>
      <c r="AK362" s="8">
        <v>40</v>
      </c>
      <c r="AL362" s="8">
        <v>40</v>
      </c>
      <c r="AM362" s="8">
        <v>40</v>
      </c>
      <c r="AN362" s="8">
        <v>40</v>
      </c>
      <c r="AO362" s="13">
        <v>40</v>
      </c>
      <c r="AP362" s="5"/>
    </row>
    <row r="363" spans="1:42">
      <c r="A363" s="12">
        <v>362</v>
      </c>
      <c r="B363" s="6" t="s">
        <v>1404</v>
      </c>
      <c r="C363" s="6" t="s">
        <v>2080</v>
      </c>
      <c r="D363" s="6" t="s">
        <v>298</v>
      </c>
      <c r="E363" s="6" t="s">
        <v>86</v>
      </c>
      <c r="F363" s="7">
        <v>45901</v>
      </c>
      <c r="G363" s="6" t="s">
        <v>922</v>
      </c>
      <c r="H363" s="6" t="s">
        <v>94</v>
      </c>
      <c r="I363" s="6" t="s">
        <v>94</v>
      </c>
      <c r="J363" s="6" t="s">
        <v>90</v>
      </c>
      <c r="K363" s="6" t="s">
        <v>91</v>
      </c>
      <c r="L363" s="6" t="s">
        <v>92</v>
      </c>
      <c r="M363" s="6" t="s">
        <v>90</v>
      </c>
      <c r="N363" s="6" t="s">
        <v>94</v>
      </c>
      <c r="O363" s="6" t="s">
        <v>94</v>
      </c>
      <c r="P363" s="6" t="s">
        <v>313</v>
      </c>
      <c r="Q363" s="6" t="s">
        <v>104</v>
      </c>
      <c r="R363" s="6" t="s">
        <v>1643</v>
      </c>
      <c r="S363" s="6" t="s">
        <v>94</v>
      </c>
      <c r="T363" s="6" t="s">
        <v>94</v>
      </c>
      <c r="U363" s="6" t="s">
        <v>94</v>
      </c>
      <c r="V363" s="6" t="s">
        <v>94</v>
      </c>
      <c r="W363" s="6" t="s">
        <v>924</v>
      </c>
      <c r="X363" s="6" t="s">
        <v>1643</v>
      </c>
      <c r="Y363" s="6" t="s">
        <v>1643</v>
      </c>
      <c r="Z363" s="6" t="s">
        <v>1643</v>
      </c>
      <c r="AA363" s="8">
        <v>1</v>
      </c>
      <c r="AB363" s="8">
        <v>1</v>
      </c>
      <c r="AC363" s="8">
        <v>1</v>
      </c>
      <c r="AD363" s="8">
        <v>1</v>
      </c>
      <c r="AE363" s="8">
        <v>100</v>
      </c>
      <c r="AF363" s="6" t="s">
        <v>308</v>
      </c>
      <c r="AG363" s="6" t="s">
        <v>283</v>
      </c>
      <c r="AH363" s="6" t="s">
        <v>305</v>
      </c>
      <c r="AI363" s="6" t="s">
        <v>286</v>
      </c>
      <c r="AJ363" s="9">
        <v>40</v>
      </c>
      <c r="AK363" s="8">
        <v>40</v>
      </c>
      <c r="AL363" s="8">
        <v>40</v>
      </c>
      <c r="AM363" s="8">
        <v>40</v>
      </c>
      <c r="AN363" s="8">
        <v>40</v>
      </c>
      <c r="AO363" s="13">
        <v>40</v>
      </c>
      <c r="AP363" s="5"/>
    </row>
    <row r="364" spans="1:42">
      <c r="A364" s="12">
        <v>363</v>
      </c>
      <c r="B364" s="6" t="s">
        <v>1406</v>
      </c>
      <c r="C364" s="6" t="s">
        <v>50</v>
      </c>
      <c r="D364" s="6" t="s">
        <v>392</v>
      </c>
      <c r="E364" s="6" t="s">
        <v>86</v>
      </c>
      <c r="F364" s="7">
        <v>46149</v>
      </c>
      <c r="G364" s="6" t="s">
        <v>155</v>
      </c>
      <c r="H364" s="6" t="s">
        <v>94</v>
      </c>
      <c r="I364" s="6" t="s">
        <v>156</v>
      </c>
      <c r="J364" s="6" t="s">
        <v>213</v>
      </c>
      <c r="K364" s="6" t="s">
        <v>91</v>
      </c>
      <c r="L364" s="6" t="s">
        <v>92</v>
      </c>
      <c r="M364" s="6" t="s">
        <v>213</v>
      </c>
      <c r="N364" s="6" t="s">
        <v>94</v>
      </c>
      <c r="O364" s="6" t="s">
        <v>94</v>
      </c>
      <c r="P364" s="6" t="s">
        <v>27</v>
      </c>
      <c r="Q364" s="6" t="s">
        <v>104</v>
      </c>
      <c r="R364" s="6" t="s">
        <v>1643</v>
      </c>
      <c r="S364" s="6" t="s">
        <v>94</v>
      </c>
      <c r="T364" s="6" t="s">
        <v>94</v>
      </c>
      <c r="U364" s="6" t="s">
        <v>94</v>
      </c>
      <c r="V364" s="6" t="s">
        <v>94</v>
      </c>
      <c r="W364" s="6" t="s">
        <v>369</v>
      </c>
      <c r="X364" s="6" t="s">
        <v>1643</v>
      </c>
      <c r="Y364" s="6" t="s">
        <v>1643</v>
      </c>
      <c r="Z364" s="6" t="s">
        <v>1643</v>
      </c>
      <c r="AA364" s="8">
        <v>1</v>
      </c>
      <c r="AB364" s="8">
        <v>1</v>
      </c>
      <c r="AC364" s="8">
        <v>1</v>
      </c>
      <c r="AD364" s="8">
        <v>1</v>
      </c>
      <c r="AE364" s="8">
        <v>100</v>
      </c>
      <c r="AF364" s="6" t="s">
        <v>300</v>
      </c>
      <c r="AG364" s="6" t="s">
        <v>283</v>
      </c>
      <c r="AH364" s="6" t="s">
        <v>298</v>
      </c>
      <c r="AI364" s="6" t="s">
        <v>286</v>
      </c>
      <c r="AJ364" s="9">
        <v>40</v>
      </c>
      <c r="AK364" s="8">
        <v>40</v>
      </c>
      <c r="AL364" s="8">
        <v>40</v>
      </c>
      <c r="AM364" s="8">
        <v>40</v>
      </c>
      <c r="AN364" s="8">
        <v>40</v>
      </c>
      <c r="AO364" s="13">
        <v>40</v>
      </c>
      <c r="AP364" s="5"/>
    </row>
    <row r="365" spans="1:42">
      <c r="A365" s="12">
        <v>364</v>
      </c>
      <c r="B365" s="6" t="s">
        <v>1408</v>
      </c>
      <c r="C365" s="6" t="s">
        <v>2081</v>
      </c>
      <c r="D365" s="6" t="s">
        <v>348</v>
      </c>
      <c r="E365" s="6" t="s">
        <v>86</v>
      </c>
      <c r="F365" s="7">
        <v>44743</v>
      </c>
      <c r="G365" s="6" t="s">
        <v>204</v>
      </c>
      <c r="H365" s="6" t="s">
        <v>389</v>
      </c>
      <c r="I365" s="6" t="s">
        <v>1410</v>
      </c>
      <c r="J365" s="6" t="s">
        <v>90</v>
      </c>
      <c r="K365" s="6" t="s">
        <v>91</v>
      </c>
      <c r="L365" s="6" t="s">
        <v>92</v>
      </c>
      <c r="M365" s="6" t="s">
        <v>90</v>
      </c>
      <c r="N365" s="6" t="s">
        <v>43</v>
      </c>
      <c r="O365" s="6" t="s">
        <v>94</v>
      </c>
      <c r="P365" s="6" t="s">
        <v>43</v>
      </c>
      <c r="Q365" s="6" t="s">
        <v>95</v>
      </c>
      <c r="R365" s="6" t="s">
        <v>1643</v>
      </c>
      <c r="S365" s="6" t="s">
        <v>94</v>
      </c>
      <c r="T365" s="6" t="s">
        <v>94</v>
      </c>
      <c r="U365" s="6" t="s">
        <v>94</v>
      </c>
      <c r="V365" s="6" t="s">
        <v>94</v>
      </c>
      <c r="W365" s="6" t="s">
        <v>403</v>
      </c>
      <c r="X365" s="6" t="s">
        <v>1643</v>
      </c>
      <c r="Y365" s="6" t="s">
        <v>1643</v>
      </c>
      <c r="Z365" s="6" t="s">
        <v>1652</v>
      </c>
      <c r="AA365" s="8">
        <v>1</v>
      </c>
      <c r="AB365" s="8">
        <v>1</v>
      </c>
      <c r="AC365" s="8">
        <v>1</v>
      </c>
      <c r="AD365" s="8">
        <v>0</v>
      </c>
      <c r="AE365" s="8">
        <v>100</v>
      </c>
      <c r="AF365" s="6" t="s">
        <v>282</v>
      </c>
      <c r="AG365" s="6" t="s">
        <v>283</v>
      </c>
      <c r="AH365" s="6" t="s">
        <v>392</v>
      </c>
      <c r="AI365" s="6" t="s">
        <v>286</v>
      </c>
      <c r="AJ365" s="9">
        <v>40</v>
      </c>
      <c r="AK365" s="8">
        <v>40</v>
      </c>
      <c r="AL365" s="8">
        <v>40</v>
      </c>
      <c r="AM365" s="8">
        <v>40</v>
      </c>
      <c r="AN365" s="8">
        <v>40</v>
      </c>
      <c r="AO365" s="13">
        <v>40</v>
      </c>
      <c r="AP365" s="5"/>
    </row>
    <row r="366" spans="1:42">
      <c r="A366" s="12">
        <v>365</v>
      </c>
      <c r="B366" s="6" t="s">
        <v>1411</v>
      </c>
      <c r="C366" s="6" t="s">
        <v>2082</v>
      </c>
      <c r="D366" s="6" t="s">
        <v>501</v>
      </c>
      <c r="E366" s="6" t="s">
        <v>86</v>
      </c>
      <c r="F366" s="7">
        <v>43335</v>
      </c>
      <c r="G366" s="6" t="s">
        <v>111</v>
      </c>
      <c r="H366" s="6" t="s">
        <v>252</v>
      </c>
      <c r="I366" s="6" t="s">
        <v>1413</v>
      </c>
      <c r="J366" s="6" t="s">
        <v>90</v>
      </c>
      <c r="K366" s="6" t="s">
        <v>91</v>
      </c>
      <c r="L366" s="6" t="s">
        <v>92</v>
      </c>
      <c r="M366" s="6" t="s">
        <v>90</v>
      </c>
      <c r="N366" s="6" t="s">
        <v>131</v>
      </c>
      <c r="O366" s="6" t="s">
        <v>95</v>
      </c>
      <c r="P366" s="6" t="s">
        <v>93</v>
      </c>
      <c r="Q366" s="6" t="s">
        <v>95</v>
      </c>
      <c r="R366" s="6" t="s">
        <v>1643</v>
      </c>
      <c r="S366" s="6" t="s">
        <v>94</v>
      </c>
      <c r="T366" s="6" t="s">
        <v>94</v>
      </c>
      <c r="U366" s="6" t="s">
        <v>94</v>
      </c>
      <c r="V366" s="6" t="s">
        <v>94</v>
      </c>
      <c r="W366" s="6" t="s">
        <v>418</v>
      </c>
      <c r="X366" s="6" t="s">
        <v>1643</v>
      </c>
      <c r="Y366" s="6" t="s">
        <v>1643</v>
      </c>
      <c r="Z366" s="6" t="s">
        <v>1643</v>
      </c>
      <c r="AA366" s="8">
        <v>1</v>
      </c>
      <c r="AB366" s="8">
        <v>1</v>
      </c>
      <c r="AC366" s="8">
        <v>1</v>
      </c>
      <c r="AD366" s="8">
        <v>1</v>
      </c>
      <c r="AE366" s="8">
        <v>100</v>
      </c>
      <c r="AF366" s="6" t="s">
        <v>351</v>
      </c>
      <c r="AG366" s="6" t="s">
        <v>283</v>
      </c>
      <c r="AH366" s="6" t="s">
        <v>348</v>
      </c>
      <c r="AI366" s="6" t="s">
        <v>286</v>
      </c>
      <c r="AJ366" s="9">
        <v>40</v>
      </c>
      <c r="AK366" s="8">
        <v>40</v>
      </c>
      <c r="AL366" s="8">
        <v>40</v>
      </c>
      <c r="AM366" s="8">
        <v>40</v>
      </c>
      <c r="AN366" s="8">
        <v>40</v>
      </c>
      <c r="AO366" s="13">
        <v>40</v>
      </c>
      <c r="AP366" s="5"/>
    </row>
    <row r="367" spans="1:42">
      <c r="A367" s="12">
        <v>366</v>
      </c>
      <c r="B367" s="6" t="s">
        <v>1414</v>
      </c>
      <c r="C367" s="6" t="s">
        <v>2083</v>
      </c>
      <c r="D367" s="6" t="s">
        <v>305</v>
      </c>
      <c r="E367" s="6" t="s">
        <v>86</v>
      </c>
      <c r="F367" s="7">
        <v>45307</v>
      </c>
      <c r="G367" s="6" t="s">
        <v>204</v>
      </c>
      <c r="H367" s="6" t="s">
        <v>107</v>
      </c>
      <c r="I367" s="6" t="s">
        <v>1416</v>
      </c>
      <c r="J367" s="6" t="s">
        <v>90</v>
      </c>
      <c r="K367" s="6" t="s">
        <v>91</v>
      </c>
      <c r="L367" s="6" t="s">
        <v>92</v>
      </c>
      <c r="M367" s="6" t="s">
        <v>90</v>
      </c>
      <c r="N367" s="6" t="s">
        <v>94</v>
      </c>
      <c r="O367" s="6" t="s">
        <v>94</v>
      </c>
      <c r="P367" s="6" t="s">
        <v>43</v>
      </c>
      <c r="Q367" s="6" t="s">
        <v>95</v>
      </c>
      <c r="R367" s="6" t="s">
        <v>1643</v>
      </c>
      <c r="S367" s="6" t="s">
        <v>94</v>
      </c>
      <c r="T367" s="6" t="s">
        <v>94</v>
      </c>
      <c r="U367" s="6" t="s">
        <v>94</v>
      </c>
      <c r="V367" s="6" t="s">
        <v>94</v>
      </c>
      <c r="W367" s="6" t="s">
        <v>403</v>
      </c>
      <c r="X367" s="6" t="s">
        <v>1643</v>
      </c>
      <c r="Y367" s="6" t="s">
        <v>1643</v>
      </c>
      <c r="Z367" s="6" t="s">
        <v>1643</v>
      </c>
      <c r="AA367" s="8">
        <v>1</v>
      </c>
      <c r="AB367" s="8">
        <v>1</v>
      </c>
      <c r="AC367" s="8">
        <v>1</v>
      </c>
      <c r="AD367" s="8">
        <v>1</v>
      </c>
      <c r="AE367" s="8">
        <v>100</v>
      </c>
      <c r="AF367" s="6" t="s">
        <v>334</v>
      </c>
      <c r="AG367" s="6" t="s">
        <v>335</v>
      </c>
      <c r="AH367" s="6" t="s">
        <v>501</v>
      </c>
      <c r="AI367" s="6" t="s">
        <v>286</v>
      </c>
      <c r="AJ367" s="9">
        <v>40</v>
      </c>
      <c r="AK367" s="8">
        <v>40</v>
      </c>
      <c r="AL367" s="8">
        <v>40</v>
      </c>
      <c r="AM367" s="8">
        <v>40</v>
      </c>
      <c r="AN367" s="8">
        <v>40</v>
      </c>
      <c r="AO367" s="13">
        <v>40</v>
      </c>
      <c r="AP367" s="5"/>
    </row>
    <row r="368" spans="1:42">
      <c r="A368" s="12">
        <v>367</v>
      </c>
      <c r="B368" s="6" t="s">
        <v>1417</v>
      </c>
      <c r="C368" s="6" t="s">
        <v>2084</v>
      </c>
      <c r="D368" s="6" t="s">
        <v>318</v>
      </c>
      <c r="E368" s="6" t="s">
        <v>86</v>
      </c>
      <c r="F368" s="7">
        <v>41091</v>
      </c>
      <c r="G368" s="6" t="s">
        <v>111</v>
      </c>
      <c r="H368" s="6" t="s">
        <v>146</v>
      </c>
      <c r="I368" s="6" t="s">
        <v>1419</v>
      </c>
      <c r="J368" s="6" t="s">
        <v>90</v>
      </c>
      <c r="K368" s="6" t="s">
        <v>91</v>
      </c>
      <c r="L368" s="6" t="s">
        <v>92</v>
      </c>
      <c r="M368" s="6" t="s">
        <v>90</v>
      </c>
      <c r="N368" s="6" t="s">
        <v>103</v>
      </c>
      <c r="O368" s="6" t="s">
        <v>95</v>
      </c>
      <c r="P368" s="6" t="s">
        <v>93</v>
      </c>
      <c r="Q368" s="6" t="s">
        <v>104</v>
      </c>
      <c r="R368" s="6" t="s">
        <v>1643</v>
      </c>
      <c r="S368" s="6" t="s">
        <v>94</v>
      </c>
      <c r="T368" s="6" t="s">
        <v>94</v>
      </c>
      <c r="U368" s="6" t="s">
        <v>94</v>
      </c>
      <c r="V368" s="6" t="s">
        <v>94</v>
      </c>
      <c r="W368" s="6" t="s">
        <v>281</v>
      </c>
      <c r="X368" s="6" t="s">
        <v>1643</v>
      </c>
      <c r="Y368" s="6" t="s">
        <v>1643</v>
      </c>
      <c r="Z368" s="6" t="s">
        <v>1643</v>
      </c>
      <c r="AA368" s="8">
        <v>0.91</v>
      </c>
      <c r="AB368" s="8">
        <v>0.91</v>
      </c>
      <c r="AC368" s="8">
        <v>0.91</v>
      </c>
      <c r="AD368" s="8">
        <v>0.42</v>
      </c>
      <c r="AE368" s="8">
        <v>91.5</v>
      </c>
      <c r="AF368" s="6" t="s">
        <v>308</v>
      </c>
      <c r="AG368" s="6" t="s">
        <v>283</v>
      </c>
      <c r="AH368" s="6" t="s">
        <v>305</v>
      </c>
      <c r="AI368" s="6" t="s">
        <v>286</v>
      </c>
      <c r="AJ368" s="9">
        <v>36.599999999999994</v>
      </c>
      <c r="AK368" s="8">
        <v>36.599999999999994</v>
      </c>
      <c r="AL368" s="8">
        <v>36.599999999999994</v>
      </c>
      <c r="AM368" s="8">
        <v>36.599999999999994</v>
      </c>
      <c r="AN368" s="8">
        <v>36.599999999999994</v>
      </c>
      <c r="AO368" s="13">
        <v>36.599999999999994</v>
      </c>
      <c r="AP368" s="5"/>
    </row>
    <row r="369" spans="1:42">
      <c r="A369" s="12">
        <v>368</v>
      </c>
      <c r="B369" s="6" t="s">
        <v>1420</v>
      </c>
      <c r="C369" s="6" t="s">
        <v>2085</v>
      </c>
      <c r="D369" s="6" t="s">
        <v>298</v>
      </c>
      <c r="E369" s="6" t="s">
        <v>86</v>
      </c>
      <c r="F369" s="7">
        <v>46082</v>
      </c>
      <c r="G369" s="6" t="s">
        <v>100</v>
      </c>
      <c r="H369" s="6" t="s">
        <v>94</v>
      </c>
      <c r="I369" s="6" t="s">
        <v>1422</v>
      </c>
      <c r="J369" s="6" t="s">
        <v>213</v>
      </c>
      <c r="K369" s="6" t="s">
        <v>91</v>
      </c>
      <c r="L369" s="6" t="s">
        <v>92</v>
      </c>
      <c r="M369" s="6" t="s">
        <v>213</v>
      </c>
      <c r="N369" s="6" t="s">
        <v>94</v>
      </c>
      <c r="O369" s="6" t="s">
        <v>94</v>
      </c>
      <c r="P369" s="6" t="s">
        <v>93</v>
      </c>
      <c r="Q369" s="6" t="s">
        <v>104</v>
      </c>
      <c r="R369" s="6" t="s">
        <v>1643</v>
      </c>
      <c r="S369" s="6" t="s">
        <v>1690</v>
      </c>
      <c r="T369" s="6" t="s">
        <v>94</v>
      </c>
      <c r="U369" s="6" t="s">
        <v>94</v>
      </c>
      <c r="V369" s="6" t="s">
        <v>94</v>
      </c>
      <c r="W369" s="6" t="s">
        <v>304</v>
      </c>
      <c r="X369" s="6" t="s">
        <v>1643</v>
      </c>
      <c r="Y369" s="6" t="s">
        <v>1643</v>
      </c>
      <c r="Z369" s="6" t="s">
        <v>1643</v>
      </c>
      <c r="AA369" s="8">
        <v>1</v>
      </c>
      <c r="AB369" s="8">
        <v>1</v>
      </c>
      <c r="AC369" s="8">
        <v>1</v>
      </c>
      <c r="AD369" s="8">
        <v>1</v>
      </c>
      <c r="AE369" s="8">
        <v>97.619047620000003</v>
      </c>
      <c r="AF369" s="6" t="s">
        <v>308</v>
      </c>
      <c r="AG369" s="6" t="s">
        <v>283</v>
      </c>
      <c r="AH369" s="6" t="s">
        <v>318</v>
      </c>
      <c r="AI369" s="6" t="s">
        <v>286</v>
      </c>
      <c r="AJ369" s="9">
        <v>40</v>
      </c>
      <c r="AK369" s="8">
        <v>40</v>
      </c>
      <c r="AL369" s="8">
        <v>40</v>
      </c>
      <c r="AM369" s="8">
        <v>40</v>
      </c>
      <c r="AN369" s="8">
        <v>40</v>
      </c>
      <c r="AO369" s="13">
        <v>40</v>
      </c>
      <c r="AP369" s="5"/>
    </row>
    <row r="370" spans="1:42">
      <c r="A370" s="12">
        <v>369</v>
      </c>
      <c r="B370" s="6" t="s">
        <v>1423</v>
      </c>
      <c r="C370" s="6" t="s">
        <v>8</v>
      </c>
      <c r="D370" s="6" t="s">
        <v>327</v>
      </c>
      <c r="E370" s="6" t="s">
        <v>86</v>
      </c>
      <c r="F370" s="7">
        <v>43062</v>
      </c>
      <c r="G370" s="6" t="s">
        <v>4</v>
      </c>
      <c r="H370" s="6" t="s">
        <v>107</v>
      </c>
      <c r="I370" s="6" t="s">
        <v>108</v>
      </c>
      <c r="J370" s="6" t="s">
        <v>90</v>
      </c>
      <c r="K370" s="6" t="s">
        <v>91</v>
      </c>
      <c r="L370" s="6" t="s">
        <v>92</v>
      </c>
      <c r="M370" s="6" t="s">
        <v>90</v>
      </c>
      <c r="N370" s="6" t="s">
        <v>93</v>
      </c>
      <c r="O370" s="6" t="s">
        <v>94</v>
      </c>
      <c r="P370" s="6" t="s">
        <v>93</v>
      </c>
      <c r="Q370" s="6" t="s">
        <v>104</v>
      </c>
      <c r="R370" s="6" t="s">
        <v>1643</v>
      </c>
      <c r="S370" s="6" t="s">
        <v>2086</v>
      </c>
      <c r="T370" s="6" t="s">
        <v>1848</v>
      </c>
      <c r="U370" s="7">
        <v>46372.291666666664</v>
      </c>
      <c r="V370" s="6" t="s">
        <v>94</v>
      </c>
      <c r="W370" s="6" t="s">
        <v>399</v>
      </c>
      <c r="X370" s="6" t="s">
        <v>1643</v>
      </c>
      <c r="Y370" s="6" t="s">
        <v>1643</v>
      </c>
      <c r="Z370" s="6" t="s">
        <v>1643</v>
      </c>
      <c r="AA370" s="8">
        <v>0.51</v>
      </c>
      <c r="AB370" s="8">
        <v>0.51</v>
      </c>
      <c r="AC370" s="8">
        <v>0.51</v>
      </c>
      <c r="AD370" s="8">
        <v>0.5</v>
      </c>
      <c r="AE370" s="8">
        <v>51.25</v>
      </c>
      <c r="AF370" s="6" t="s">
        <v>300</v>
      </c>
      <c r="AG370" s="6" t="s">
        <v>283</v>
      </c>
      <c r="AH370" s="6" t="s">
        <v>298</v>
      </c>
      <c r="AI370" s="6" t="s">
        <v>286</v>
      </c>
      <c r="AJ370" s="9">
        <v>20.5</v>
      </c>
      <c r="AK370" s="8">
        <v>20.5</v>
      </c>
      <c r="AL370" s="8">
        <v>20.5</v>
      </c>
      <c r="AM370" s="8">
        <v>20.5</v>
      </c>
      <c r="AN370" s="8">
        <v>20.5</v>
      </c>
      <c r="AO370" s="13">
        <v>20.5</v>
      </c>
      <c r="AP370" s="5"/>
    </row>
    <row r="371" spans="1:42">
      <c r="A371" s="12">
        <v>370</v>
      </c>
      <c r="B371" s="6" t="s">
        <v>1425</v>
      </c>
      <c r="C371" s="6" t="s">
        <v>2087</v>
      </c>
      <c r="D371" s="6" t="s">
        <v>387</v>
      </c>
      <c r="E371" s="6" t="s">
        <v>86</v>
      </c>
      <c r="F371" s="7">
        <v>44577</v>
      </c>
      <c r="G371" s="6" t="s">
        <v>288</v>
      </c>
      <c r="H371" s="6" t="s">
        <v>359</v>
      </c>
      <c r="I371" s="6" t="s">
        <v>1427</v>
      </c>
      <c r="J371" s="6" t="s">
        <v>90</v>
      </c>
      <c r="K371" s="6" t="s">
        <v>91</v>
      </c>
      <c r="L371" s="6" t="s">
        <v>92</v>
      </c>
      <c r="M371" s="6" t="s">
        <v>90</v>
      </c>
      <c r="N371" s="6" t="s">
        <v>103</v>
      </c>
      <c r="O371" s="6" t="s">
        <v>94</v>
      </c>
      <c r="P371" s="6" t="s">
        <v>103</v>
      </c>
      <c r="Q371" s="6" t="s">
        <v>95</v>
      </c>
      <c r="R371" s="6" t="s">
        <v>1643</v>
      </c>
      <c r="S371" s="6" t="s">
        <v>1882</v>
      </c>
      <c r="T371" s="6" t="s">
        <v>94</v>
      </c>
      <c r="U371" s="6" t="s">
        <v>94</v>
      </c>
      <c r="V371" s="6" t="s">
        <v>94</v>
      </c>
      <c r="W371" s="6" t="s">
        <v>291</v>
      </c>
      <c r="X371" s="6" t="s">
        <v>1643</v>
      </c>
      <c r="Y371" s="6" t="s">
        <v>1643</v>
      </c>
      <c r="Z371" s="6" t="s">
        <v>1643</v>
      </c>
      <c r="AA371" s="8">
        <v>1</v>
      </c>
      <c r="AB371" s="8">
        <v>1</v>
      </c>
      <c r="AC371" s="8">
        <v>1</v>
      </c>
      <c r="AD371" s="8">
        <v>1</v>
      </c>
      <c r="AE371" s="8">
        <v>100</v>
      </c>
      <c r="AF371" s="6" t="s">
        <v>330</v>
      </c>
      <c r="AG371" s="6" t="s">
        <v>283</v>
      </c>
      <c r="AH371" s="6" t="s">
        <v>327</v>
      </c>
      <c r="AI371" s="6" t="s">
        <v>286</v>
      </c>
      <c r="AJ371" s="9">
        <v>40</v>
      </c>
      <c r="AK371" s="8">
        <v>40</v>
      </c>
      <c r="AL371" s="8">
        <v>40</v>
      </c>
      <c r="AM371" s="8">
        <v>40</v>
      </c>
      <c r="AN371" s="8">
        <v>40</v>
      </c>
      <c r="AO371" s="13">
        <v>40</v>
      </c>
      <c r="AP371" s="5"/>
    </row>
    <row r="372" spans="1:42">
      <c r="A372" s="12">
        <v>371</v>
      </c>
      <c r="B372" s="6" t="s">
        <v>1428</v>
      </c>
      <c r="C372" s="6" t="s">
        <v>2088</v>
      </c>
      <c r="D372" s="6" t="s">
        <v>305</v>
      </c>
      <c r="E372" s="6" t="s">
        <v>86</v>
      </c>
      <c r="F372" s="7">
        <v>45215</v>
      </c>
      <c r="G372" s="6" t="s">
        <v>204</v>
      </c>
      <c r="H372" s="6" t="s">
        <v>126</v>
      </c>
      <c r="I372" s="6" t="s">
        <v>1430</v>
      </c>
      <c r="J372" s="6" t="s">
        <v>90</v>
      </c>
      <c r="K372" s="6" t="s">
        <v>91</v>
      </c>
      <c r="L372" s="6" t="s">
        <v>92</v>
      </c>
      <c r="M372" s="6" t="s">
        <v>90</v>
      </c>
      <c r="N372" s="6" t="s">
        <v>43</v>
      </c>
      <c r="O372" s="6" t="s">
        <v>94</v>
      </c>
      <c r="P372" s="6" t="s">
        <v>43</v>
      </c>
      <c r="Q372" s="6" t="s">
        <v>104</v>
      </c>
      <c r="R372" s="6" t="s">
        <v>1643</v>
      </c>
      <c r="S372" s="6" t="s">
        <v>2089</v>
      </c>
      <c r="T372" s="6" t="s">
        <v>94</v>
      </c>
      <c r="U372" s="6" t="s">
        <v>94</v>
      </c>
      <c r="V372" s="6" t="s">
        <v>94</v>
      </c>
      <c r="W372" s="6" t="s">
        <v>403</v>
      </c>
      <c r="X372" s="6" t="s">
        <v>1643</v>
      </c>
      <c r="Y372" s="6" t="s">
        <v>1643</v>
      </c>
      <c r="Z372" s="6" t="s">
        <v>1643</v>
      </c>
      <c r="AA372" s="8">
        <v>1</v>
      </c>
      <c r="AB372" s="8">
        <v>1</v>
      </c>
      <c r="AC372" s="8">
        <v>1</v>
      </c>
      <c r="AD372" s="8">
        <v>1</v>
      </c>
      <c r="AE372" s="8">
        <v>100</v>
      </c>
      <c r="AF372" s="6" t="s">
        <v>391</v>
      </c>
      <c r="AG372" s="6" t="s">
        <v>386</v>
      </c>
      <c r="AH372" s="6" t="s">
        <v>387</v>
      </c>
      <c r="AI372" s="6" t="s">
        <v>286</v>
      </c>
      <c r="AJ372" s="9">
        <v>40</v>
      </c>
      <c r="AK372" s="8">
        <v>40</v>
      </c>
      <c r="AL372" s="8">
        <v>40</v>
      </c>
      <c r="AM372" s="8">
        <v>40</v>
      </c>
      <c r="AN372" s="8">
        <v>40</v>
      </c>
      <c r="AO372" s="13">
        <v>40</v>
      </c>
      <c r="AP372" s="5"/>
    </row>
    <row r="373" spans="1:42">
      <c r="A373" s="12">
        <v>372</v>
      </c>
      <c r="B373" s="6" t="s">
        <v>1431</v>
      </c>
      <c r="C373" s="6" t="s">
        <v>2090</v>
      </c>
      <c r="D373" s="6" t="s">
        <v>305</v>
      </c>
      <c r="E373" s="6" t="s">
        <v>86</v>
      </c>
      <c r="F373" s="7">
        <v>45892</v>
      </c>
      <c r="G373" s="6" t="s">
        <v>4</v>
      </c>
      <c r="H373" s="6" t="s">
        <v>94</v>
      </c>
      <c r="I373" s="6" t="s">
        <v>94</v>
      </c>
      <c r="J373" s="6" t="s">
        <v>90</v>
      </c>
      <c r="K373" s="6" t="s">
        <v>91</v>
      </c>
      <c r="L373" s="6" t="s">
        <v>92</v>
      </c>
      <c r="M373" s="6" t="s">
        <v>90</v>
      </c>
      <c r="N373" s="6" t="s">
        <v>94</v>
      </c>
      <c r="O373" s="6" t="s">
        <v>94</v>
      </c>
      <c r="P373" s="6" t="s">
        <v>93</v>
      </c>
      <c r="Q373" s="6" t="s">
        <v>95</v>
      </c>
      <c r="R373" s="6" t="s">
        <v>1643</v>
      </c>
      <c r="S373" s="6" t="s">
        <v>94</v>
      </c>
      <c r="T373" s="6" t="s">
        <v>94</v>
      </c>
      <c r="U373" s="6" t="s">
        <v>94</v>
      </c>
      <c r="V373" s="6" t="s">
        <v>94</v>
      </c>
      <c r="W373" s="6" t="s">
        <v>399</v>
      </c>
      <c r="X373" s="6" t="s">
        <v>1643</v>
      </c>
      <c r="Y373" s="6" t="s">
        <v>1643</v>
      </c>
      <c r="Z373" s="6" t="s">
        <v>1643</v>
      </c>
      <c r="AA373" s="8">
        <v>1</v>
      </c>
      <c r="AB373" s="8">
        <v>1</v>
      </c>
      <c r="AC373" s="8">
        <v>1</v>
      </c>
      <c r="AD373" s="8">
        <v>1</v>
      </c>
      <c r="AE373" s="8">
        <v>100</v>
      </c>
      <c r="AF373" s="6" t="s">
        <v>308</v>
      </c>
      <c r="AG373" s="6" t="s">
        <v>283</v>
      </c>
      <c r="AH373" s="6" t="s">
        <v>305</v>
      </c>
      <c r="AI373" s="6" t="s">
        <v>286</v>
      </c>
      <c r="AJ373" s="9">
        <v>40</v>
      </c>
      <c r="AK373" s="8">
        <v>40</v>
      </c>
      <c r="AL373" s="8">
        <v>40</v>
      </c>
      <c r="AM373" s="8">
        <v>40</v>
      </c>
      <c r="AN373" s="8">
        <v>40</v>
      </c>
      <c r="AO373" s="13">
        <v>40</v>
      </c>
      <c r="AP373" s="5"/>
    </row>
    <row r="374" spans="1:42">
      <c r="A374" s="12">
        <v>373</v>
      </c>
      <c r="B374" s="6" t="s">
        <v>1433</v>
      </c>
      <c r="C374" s="6" t="s">
        <v>2091</v>
      </c>
      <c r="D374" s="6" t="s">
        <v>284</v>
      </c>
      <c r="E374" s="6" t="s">
        <v>86</v>
      </c>
      <c r="F374" s="7">
        <v>45253</v>
      </c>
      <c r="G374" s="6" t="s">
        <v>111</v>
      </c>
      <c r="H374" s="6" t="s">
        <v>311</v>
      </c>
      <c r="I374" s="6" t="s">
        <v>1435</v>
      </c>
      <c r="J374" s="6" t="s">
        <v>90</v>
      </c>
      <c r="K374" s="6" t="s">
        <v>91</v>
      </c>
      <c r="L374" s="6" t="s">
        <v>92</v>
      </c>
      <c r="M374" s="6" t="s">
        <v>90</v>
      </c>
      <c r="N374" s="6" t="s">
        <v>94</v>
      </c>
      <c r="O374" s="6" t="s">
        <v>94</v>
      </c>
      <c r="P374" s="6" t="s">
        <v>438</v>
      </c>
      <c r="Q374" s="6" t="s">
        <v>95</v>
      </c>
      <c r="R374" s="6" t="s">
        <v>1643</v>
      </c>
      <c r="S374" s="6" t="s">
        <v>94</v>
      </c>
      <c r="T374" s="6" t="s">
        <v>94</v>
      </c>
      <c r="U374" s="6" t="s">
        <v>94</v>
      </c>
      <c r="V374" s="6" t="s">
        <v>94</v>
      </c>
      <c r="W374" s="6" t="s">
        <v>281</v>
      </c>
      <c r="X374" s="6" t="s">
        <v>1643</v>
      </c>
      <c r="Y374" s="6" t="s">
        <v>1643</v>
      </c>
      <c r="Z374" s="6" t="s">
        <v>1643</v>
      </c>
      <c r="AA374" s="8">
        <v>1</v>
      </c>
      <c r="AB374" s="8">
        <v>1</v>
      </c>
      <c r="AC374" s="8">
        <v>1</v>
      </c>
      <c r="AD374" s="8">
        <v>1</v>
      </c>
      <c r="AE374" s="8">
        <v>100</v>
      </c>
      <c r="AF374" s="6" t="s">
        <v>308</v>
      </c>
      <c r="AG374" s="6" t="s">
        <v>283</v>
      </c>
      <c r="AH374" s="6" t="s">
        <v>305</v>
      </c>
      <c r="AI374" s="6" t="s">
        <v>286</v>
      </c>
      <c r="AJ374" s="9">
        <v>40</v>
      </c>
      <c r="AK374" s="8">
        <v>40</v>
      </c>
      <c r="AL374" s="8">
        <v>40</v>
      </c>
      <c r="AM374" s="8">
        <v>40</v>
      </c>
      <c r="AN374" s="8">
        <v>40</v>
      </c>
      <c r="AO374" s="13">
        <v>40</v>
      </c>
      <c r="AP374" s="5"/>
    </row>
    <row r="375" spans="1:42">
      <c r="A375" s="12">
        <v>374</v>
      </c>
      <c r="B375" s="6" t="s">
        <v>1436</v>
      </c>
      <c r="C375" s="6" t="s">
        <v>2092</v>
      </c>
      <c r="D375" s="6" t="s">
        <v>285</v>
      </c>
      <c r="E375" s="6" t="s">
        <v>86</v>
      </c>
      <c r="F375" s="7">
        <v>44172</v>
      </c>
      <c r="G375" s="6" t="s">
        <v>111</v>
      </c>
      <c r="H375" s="6" t="s">
        <v>146</v>
      </c>
      <c r="I375" s="6" t="s">
        <v>1438</v>
      </c>
      <c r="J375" s="6" t="s">
        <v>90</v>
      </c>
      <c r="K375" s="6" t="s">
        <v>91</v>
      </c>
      <c r="L375" s="6" t="s">
        <v>92</v>
      </c>
      <c r="M375" s="6" t="s">
        <v>90</v>
      </c>
      <c r="N375" s="6" t="s">
        <v>136</v>
      </c>
      <c r="O375" s="6" t="s">
        <v>95</v>
      </c>
      <c r="P375" s="6" t="s">
        <v>131</v>
      </c>
      <c r="Q375" s="6" t="s">
        <v>95</v>
      </c>
      <c r="R375" s="6" t="s">
        <v>1643</v>
      </c>
      <c r="S375" s="6" t="s">
        <v>1779</v>
      </c>
      <c r="T375" s="6" t="s">
        <v>94</v>
      </c>
      <c r="U375" s="6" t="s">
        <v>94</v>
      </c>
      <c r="V375" s="6" t="s">
        <v>94</v>
      </c>
      <c r="W375" s="6" t="s">
        <v>281</v>
      </c>
      <c r="X375" s="6" t="s">
        <v>1643</v>
      </c>
      <c r="Y375" s="6" t="s">
        <v>1643</v>
      </c>
      <c r="Z375" s="6" t="s">
        <v>1643</v>
      </c>
      <c r="AA375" s="8">
        <v>1</v>
      </c>
      <c r="AB375" s="8">
        <v>1</v>
      </c>
      <c r="AC375" s="8">
        <v>1</v>
      </c>
      <c r="AD375" s="8">
        <v>1</v>
      </c>
      <c r="AE375" s="8">
        <v>100</v>
      </c>
      <c r="AF375" s="6" t="s">
        <v>282</v>
      </c>
      <c r="AG375" s="6" t="s">
        <v>283</v>
      </c>
      <c r="AH375" s="6" t="s">
        <v>284</v>
      </c>
      <c r="AI375" s="6" t="s">
        <v>286</v>
      </c>
      <c r="AJ375" s="9">
        <v>40</v>
      </c>
      <c r="AK375" s="8">
        <v>40</v>
      </c>
      <c r="AL375" s="8">
        <v>40</v>
      </c>
      <c r="AM375" s="8">
        <v>40</v>
      </c>
      <c r="AN375" s="8">
        <v>40</v>
      </c>
      <c r="AO375" s="13">
        <v>40</v>
      </c>
      <c r="AP375" s="5"/>
    </row>
    <row r="376" spans="1:42">
      <c r="A376" s="12">
        <v>375</v>
      </c>
      <c r="B376" s="6" t="s">
        <v>1439</v>
      </c>
      <c r="C376" s="6" t="s">
        <v>2093</v>
      </c>
      <c r="D376" s="6" t="s">
        <v>348</v>
      </c>
      <c r="E376" s="6" t="s">
        <v>86</v>
      </c>
      <c r="F376" s="7">
        <v>45108</v>
      </c>
      <c r="G376" s="6" t="s">
        <v>111</v>
      </c>
      <c r="H376" s="6" t="s">
        <v>252</v>
      </c>
      <c r="I376" s="6" t="s">
        <v>1441</v>
      </c>
      <c r="J376" s="6" t="s">
        <v>90</v>
      </c>
      <c r="K376" s="6" t="s">
        <v>91</v>
      </c>
      <c r="L376" s="6" t="s">
        <v>92</v>
      </c>
      <c r="M376" s="6" t="s">
        <v>90</v>
      </c>
      <c r="N376" s="6" t="s">
        <v>136</v>
      </c>
      <c r="O376" s="6" t="s">
        <v>95</v>
      </c>
      <c r="P376" s="6" t="s">
        <v>412</v>
      </c>
      <c r="Q376" s="6" t="s">
        <v>122</v>
      </c>
      <c r="R376" s="6" t="s">
        <v>1643</v>
      </c>
      <c r="S376" s="6" t="s">
        <v>1649</v>
      </c>
      <c r="T376" s="6" t="s">
        <v>94</v>
      </c>
      <c r="U376" s="6" t="s">
        <v>94</v>
      </c>
      <c r="V376" s="6" t="s">
        <v>94</v>
      </c>
      <c r="W376" s="6" t="s">
        <v>281</v>
      </c>
      <c r="X376" s="6" t="s">
        <v>1643</v>
      </c>
      <c r="Y376" s="6" t="s">
        <v>1643</v>
      </c>
      <c r="Z376" s="6" t="s">
        <v>1643</v>
      </c>
      <c r="AA376" s="8">
        <v>1</v>
      </c>
      <c r="AB376" s="8">
        <v>1</v>
      </c>
      <c r="AC376" s="8">
        <v>1</v>
      </c>
      <c r="AD376" s="8">
        <v>1</v>
      </c>
      <c r="AE376" s="8">
        <v>100</v>
      </c>
      <c r="AF376" s="6" t="s">
        <v>282</v>
      </c>
      <c r="AG376" s="6" t="s">
        <v>283</v>
      </c>
      <c r="AH376" s="6" t="s">
        <v>285</v>
      </c>
      <c r="AI376" s="6" t="s">
        <v>286</v>
      </c>
      <c r="AJ376" s="9">
        <v>40</v>
      </c>
      <c r="AK376" s="8">
        <v>40</v>
      </c>
      <c r="AL376" s="8">
        <v>40</v>
      </c>
      <c r="AM376" s="8">
        <v>40</v>
      </c>
      <c r="AN376" s="8">
        <v>40</v>
      </c>
      <c r="AO376" s="13">
        <v>40</v>
      </c>
      <c r="AP376" s="5"/>
    </row>
    <row r="377" spans="1:42">
      <c r="A377" s="12">
        <v>376</v>
      </c>
      <c r="B377" s="6" t="s">
        <v>1442</v>
      </c>
      <c r="C377" s="6" t="s">
        <v>2094</v>
      </c>
      <c r="D377" s="6" t="s">
        <v>327</v>
      </c>
      <c r="E377" s="6" t="s">
        <v>86</v>
      </c>
      <c r="F377" s="7">
        <v>45542</v>
      </c>
      <c r="G377" s="6" t="s">
        <v>430</v>
      </c>
      <c r="H377" s="6" t="s">
        <v>94</v>
      </c>
      <c r="I377" s="6" t="s">
        <v>94</v>
      </c>
      <c r="J377" s="6" t="s">
        <v>90</v>
      </c>
      <c r="K377" s="6" t="s">
        <v>91</v>
      </c>
      <c r="L377" s="6" t="s">
        <v>92</v>
      </c>
      <c r="M377" s="6" t="s">
        <v>90</v>
      </c>
      <c r="N377" s="6" t="s">
        <v>94</v>
      </c>
      <c r="O377" s="6" t="s">
        <v>94</v>
      </c>
      <c r="P377" s="6" t="s">
        <v>103</v>
      </c>
      <c r="Q377" s="6" t="s">
        <v>122</v>
      </c>
      <c r="R377" s="6" t="s">
        <v>1643</v>
      </c>
      <c r="S377" s="6" t="s">
        <v>94</v>
      </c>
      <c r="T377" s="6" t="s">
        <v>94</v>
      </c>
      <c r="U377" s="6" t="s">
        <v>94</v>
      </c>
      <c r="V377" s="6" t="s">
        <v>94</v>
      </c>
      <c r="W377" s="6" t="s">
        <v>433</v>
      </c>
      <c r="X377" s="6" t="s">
        <v>1643</v>
      </c>
      <c r="Y377" s="6" t="s">
        <v>1643</v>
      </c>
      <c r="Z377" s="6" t="s">
        <v>1643</v>
      </c>
      <c r="AA377" s="8">
        <v>1</v>
      </c>
      <c r="AB377" s="8">
        <v>1</v>
      </c>
      <c r="AC377" s="8">
        <v>1</v>
      </c>
      <c r="AD377" s="8">
        <v>1</v>
      </c>
      <c r="AE377" s="8">
        <v>100</v>
      </c>
      <c r="AF377" s="6" t="s">
        <v>351</v>
      </c>
      <c r="AG377" s="6" t="s">
        <v>283</v>
      </c>
      <c r="AH377" s="6" t="s">
        <v>348</v>
      </c>
      <c r="AI377" s="6" t="s">
        <v>286</v>
      </c>
      <c r="AJ377" s="9">
        <v>40</v>
      </c>
      <c r="AK377" s="8">
        <v>40</v>
      </c>
      <c r="AL377" s="8">
        <v>40</v>
      </c>
      <c r="AM377" s="8">
        <v>40</v>
      </c>
      <c r="AN377" s="8">
        <v>40</v>
      </c>
      <c r="AO377" s="13">
        <v>40</v>
      </c>
      <c r="AP377" s="5"/>
    </row>
    <row r="378" spans="1:42">
      <c r="A378" s="12">
        <v>377</v>
      </c>
      <c r="B378" s="6" t="s">
        <v>1444</v>
      </c>
      <c r="C378" s="6" t="s">
        <v>2095</v>
      </c>
      <c r="D378" s="6" t="s">
        <v>373</v>
      </c>
      <c r="E378" s="6" t="s">
        <v>86</v>
      </c>
      <c r="F378" s="7">
        <v>45901</v>
      </c>
      <c r="G378" s="6" t="s">
        <v>922</v>
      </c>
      <c r="H378" s="6" t="s">
        <v>94</v>
      </c>
      <c r="I378" s="6" t="s">
        <v>1446</v>
      </c>
      <c r="J378" s="6" t="s">
        <v>90</v>
      </c>
      <c r="K378" s="6" t="s">
        <v>91</v>
      </c>
      <c r="L378" s="6" t="s">
        <v>92</v>
      </c>
      <c r="M378" s="6" t="s">
        <v>90</v>
      </c>
      <c r="N378" s="6" t="s">
        <v>94</v>
      </c>
      <c r="O378" s="6" t="s">
        <v>94</v>
      </c>
      <c r="P378" s="6" t="s">
        <v>117</v>
      </c>
      <c r="Q378" s="6" t="s">
        <v>104</v>
      </c>
      <c r="R378" s="6" t="s">
        <v>1643</v>
      </c>
      <c r="S378" s="6" t="s">
        <v>2096</v>
      </c>
      <c r="T378" s="6" t="s">
        <v>94</v>
      </c>
      <c r="U378" s="6" t="s">
        <v>94</v>
      </c>
      <c r="V378" s="6" t="s">
        <v>94</v>
      </c>
      <c r="W378" s="6" t="s">
        <v>924</v>
      </c>
      <c r="X378" s="6" t="s">
        <v>1643</v>
      </c>
      <c r="Y378" s="6" t="s">
        <v>1643</v>
      </c>
      <c r="Z378" s="6" t="s">
        <v>1643</v>
      </c>
      <c r="AA378" s="8">
        <v>1</v>
      </c>
      <c r="AB378" s="8">
        <v>1</v>
      </c>
      <c r="AC378" s="8">
        <v>1</v>
      </c>
      <c r="AD378" s="8">
        <v>1</v>
      </c>
      <c r="AE378" s="8">
        <v>100</v>
      </c>
      <c r="AF378" s="6" t="s">
        <v>330</v>
      </c>
      <c r="AG378" s="6" t="s">
        <v>283</v>
      </c>
      <c r="AH378" s="6" t="s">
        <v>327</v>
      </c>
      <c r="AI378" s="6" t="s">
        <v>286</v>
      </c>
      <c r="AJ378" s="9">
        <v>40</v>
      </c>
      <c r="AK378" s="8">
        <v>40</v>
      </c>
      <c r="AL378" s="8">
        <v>40</v>
      </c>
      <c r="AM378" s="8">
        <v>40</v>
      </c>
      <c r="AN378" s="8">
        <v>40</v>
      </c>
      <c r="AO378" s="13">
        <v>40</v>
      </c>
      <c r="AP378" s="5"/>
    </row>
    <row r="379" spans="1:42">
      <c r="A379" s="12">
        <v>378</v>
      </c>
      <c r="B379" s="6" t="s">
        <v>1447</v>
      </c>
      <c r="C379" s="6" t="s">
        <v>2097</v>
      </c>
      <c r="D379" s="6" t="s">
        <v>305</v>
      </c>
      <c r="E379" s="6" t="s">
        <v>86</v>
      </c>
      <c r="F379" s="7">
        <v>44667</v>
      </c>
      <c r="G379" s="6" t="s">
        <v>288</v>
      </c>
      <c r="H379" s="6" t="s">
        <v>495</v>
      </c>
      <c r="I379" s="6" t="s">
        <v>1449</v>
      </c>
      <c r="J379" s="6" t="s">
        <v>90</v>
      </c>
      <c r="K379" s="6" t="s">
        <v>91</v>
      </c>
      <c r="L379" s="6" t="s">
        <v>92</v>
      </c>
      <c r="M379" s="6" t="s">
        <v>90</v>
      </c>
      <c r="N379" s="6" t="s">
        <v>131</v>
      </c>
      <c r="O379" s="6" t="s">
        <v>104</v>
      </c>
      <c r="P379" s="6" t="s">
        <v>131</v>
      </c>
      <c r="Q379" s="6" t="s">
        <v>95</v>
      </c>
      <c r="R379" s="6" t="s">
        <v>1643</v>
      </c>
      <c r="S379" s="6" t="s">
        <v>94</v>
      </c>
      <c r="T379" s="6" t="s">
        <v>94</v>
      </c>
      <c r="U379" s="6" t="s">
        <v>94</v>
      </c>
      <c r="V379" s="6" t="s">
        <v>94</v>
      </c>
      <c r="W379" s="6" t="s">
        <v>291</v>
      </c>
      <c r="X379" s="6" t="s">
        <v>1643</v>
      </c>
      <c r="Y379" s="6" t="s">
        <v>1643</v>
      </c>
      <c r="Z379" s="6" t="s">
        <v>1643</v>
      </c>
      <c r="AA379" s="8">
        <v>1</v>
      </c>
      <c r="AB379" s="8">
        <v>1</v>
      </c>
      <c r="AC379" s="8">
        <v>1</v>
      </c>
      <c r="AD379" s="8">
        <v>1</v>
      </c>
      <c r="AE379" s="8">
        <v>100</v>
      </c>
      <c r="AF379" s="6" t="s">
        <v>334</v>
      </c>
      <c r="AG379" s="6" t="s">
        <v>335</v>
      </c>
      <c r="AH379" s="6" t="s">
        <v>373</v>
      </c>
      <c r="AI379" s="6" t="s">
        <v>286</v>
      </c>
      <c r="AJ379" s="9">
        <v>40</v>
      </c>
      <c r="AK379" s="8">
        <v>40</v>
      </c>
      <c r="AL379" s="8">
        <v>40</v>
      </c>
      <c r="AM379" s="8">
        <v>40</v>
      </c>
      <c r="AN379" s="8">
        <v>40</v>
      </c>
      <c r="AO379" s="13">
        <v>40</v>
      </c>
      <c r="AP379" s="5"/>
    </row>
    <row r="380" spans="1:42">
      <c r="A380" s="12">
        <v>379</v>
      </c>
      <c r="B380" s="6" t="s">
        <v>1450</v>
      </c>
      <c r="C380" s="6" t="s">
        <v>2098</v>
      </c>
      <c r="D380" s="6" t="s">
        <v>323</v>
      </c>
      <c r="E380" s="6" t="s">
        <v>86</v>
      </c>
      <c r="F380" s="7">
        <v>46180</v>
      </c>
      <c r="G380" s="6" t="s">
        <v>337</v>
      </c>
      <c r="H380" s="6" t="s">
        <v>94</v>
      </c>
      <c r="I380" s="6" t="s">
        <v>94</v>
      </c>
      <c r="J380" s="6" t="s">
        <v>90</v>
      </c>
      <c r="K380" s="6" t="s">
        <v>91</v>
      </c>
      <c r="L380" s="6" t="s">
        <v>92</v>
      </c>
      <c r="M380" s="6" t="s">
        <v>90</v>
      </c>
      <c r="N380" s="6" t="s">
        <v>94</v>
      </c>
      <c r="O380" s="6" t="s">
        <v>94</v>
      </c>
      <c r="P380" s="6" t="s">
        <v>131</v>
      </c>
      <c r="Q380" s="6" t="s">
        <v>104</v>
      </c>
      <c r="R380" s="6" t="s">
        <v>1643</v>
      </c>
      <c r="S380" s="6" t="s">
        <v>94</v>
      </c>
      <c r="T380" s="6" t="s">
        <v>94</v>
      </c>
      <c r="U380" s="6" t="s">
        <v>94</v>
      </c>
      <c r="V380" s="6" t="s">
        <v>94</v>
      </c>
      <c r="W380" s="6" t="s">
        <v>338</v>
      </c>
      <c r="X380" s="6" t="s">
        <v>1643</v>
      </c>
      <c r="Y380" s="6" t="s">
        <v>1643</v>
      </c>
      <c r="Z380" s="6" t="s">
        <v>1643</v>
      </c>
      <c r="AA380" s="8">
        <v>1</v>
      </c>
      <c r="AB380" s="8">
        <v>1</v>
      </c>
      <c r="AC380" s="8">
        <v>1</v>
      </c>
      <c r="AD380" s="8">
        <v>1</v>
      </c>
      <c r="AE380" s="8">
        <v>100</v>
      </c>
      <c r="AF380" s="6" t="s">
        <v>308</v>
      </c>
      <c r="AG380" s="6" t="s">
        <v>283</v>
      </c>
      <c r="AH380" s="6" t="s">
        <v>305</v>
      </c>
      <c r="AI380" s="6" t="s">
        <v>286</v>
      </c>
      <c r="AJ380" s="9">
        <v>40</v>
      </c>
      <c r="AK380" s="8">
        <v>40</v>
      </c>
      <c r="AL380" s="8">
        <v>40</v>
      </c>
      <c r="AM380" s="8">
        <v>40</v>
      </c>
      <c r="AN380" s="8">
        <v>40</v>
      </c>
      <c r="AO380" s="13">
        <v>40</v>
      </c>
      <c r="AP380" s="5"/>
    </row>
    <row r="381" spans="1:42">
      <c r="A381" s="12">
        <v>380</v>
      </c>
      <c r="B381" s="6" t="s">
        <v>1452</v>
      </c>
      <c r="C381" s="6" t="s">
        <v>2099</v>
      </c>
      <c r="D381" s="6" t="s">
        <v>392</v>
      </c>
      <c r="E381" s="6" t="s">
        <v>86</v>
      </c>
      <c r="F381" s="7">
        <v>45581</v>
      </c>
      <c r="G381" s="6" t="s">
        <v>362</v>
      </c>
      <c r="H381" s="6" t="s">
        <v>359</v>
      </c>
      <c r="I381" s="6" t="s">
        <v>1454</v>
      </c>
      <c r="J381" s="6" t="s">
        <v>90</v>
      </c>
      <c r="K381" s="6" t="s">
        <v>91</v>
      </c>
      <c r="L381" s="6" t="s">
        <v>92</v>
      </c>
      <c r="M381" s="6" t="s">
        <v>90</v>
      </c>
      <c r="N381" s="6" t="s">
        <v>94</v>
      </c>
      <c r="O381" s="6" t="s">
        <v>94</v>
      </c>
      <c r="P381" s="6" t="s">
        <v>364</v>
      </c>
      <c r="Q381" s="6" t="s">
        <v>104</v>
      </c>
      <c r="R381" s="6" t="s">
        <v>1643</v>
      </c>
      <c r="S381" s="6" t="s">
        <v>94</v>
      </c>
      <c r="T381" s="6" t="s">
        <v>94</v>
      </c>
      <c r="U381" s="6" t="s">
        <v>94</v>
      </c>
      <c r="V381" s="6" t="s">
        <v>94</v>
      </c>
      <c r="W381" s="6" t="s">
        <v>365</v>
      </c>
      <c r="X381" s="6" t="s">
        <v>1643</v>
      </c>
      <c r="Y381" s="6" t="s">
        <v>1643</v>
      </c>
      <c r="Z381" s="6" t="s">
        <v>1643</v>
      </c>
      <c r="AA381" s="8">
        <v>1</v>
      </c>
      <c r="AB381" s="8">
        <v>1</v>
      </c>
      <c r="AC381" s="8">
        <v>1</v>
      </c>
      <c r="AD381" s="8">
        <v>1</v>
      </c>
      <c r="AE381" s="8">
        <v>100</v>
      </c>
      <c r="AF381" s="6" t="s">
        <v>326</v>
      </c>
      <c r="AG381" s="6" t="s">
        <v>283</v>
      </c>
      <c r="AH381" s="6" t="s">
        <v>323</v>
      </c>
      <c r="AI381" s="6" t="s">
        <v>286</v>
      </c>
      <c r="AJ381" s="9">
        <v>40</v>
      </c>
      <c r="AK381" s="8">
        <v>40</v>
      </c>
      <c r="AL381" s="8">
        <v>40</v>
      </c>
      <c r="AM381" s="8">
        <v>40</v>
      </c>
      <c r="AN381" s="8">
        <v>40</v>
      </c>
      <c r="AO381" s="13">
        <v>40</v>
      </c>
      <c r="AP381" s="5"/>
    </row>
    <row r="382" spans="1:42">
      <c r="A382" s="12">
        <v>381</v>
      </c>
      <c r="B382" s="6" t="s">
        <v>1455</v>
      </c>
      <c r="C382" s="6" t="s">
        <v>2100</v>
      </c>
      <c r="D382" s="6" t="s">
        <v>298</v>
      </c>
      <c r="E382" s="6" t="s">
        <v>86</v>
      </c>
      <c r="F382" s="7">
        <v>45717</v>
      </c>
      <c r="G382" s="6" t="s">
        <v>111</v>
      </c>
      <c r="H382" s="6" t="s">
        <v>94</v>
      </c>
      <c r="I382" s="6" t="s">
        <v>94</v>
      </c>
      <c r="J382" s="6" t="s">
        <v>90</v>
      </c>
      <c r="K382" s="6" t="s">
        <v>91</v>
      </c>
      <c r="L382" s="6" t="s">
        <v>92</v>
      </c>
      <c r="M382" s="6" t="s">
        <v>90</v>
      </c>
      <c r="N382" s="6" t="s">
        <v>94</v>
      </c>
      <c r="O382" s="6" t="s">
        <v>94</v>
      </c>
      <c r="P382" s="6" t="s">
        <v>184</v>
      </c>
      <c r="Q382" s="6" t="s">
        <v>122</v>
      </c>
      <c r="R382" s="6" t="s">
        <v>1643</v>
      </c>
      <c r="S382" s="6" t="s">
        <v>2101</v>
      </c>
      <c r="T382" s="6" t="s">
        <v>94</v>
      </c>
      <c r="U382" s="6" t="s">
        <v>94</v>
      </c>
      <c r="V382" s="6" t="s">
        <v>94</v>
      </c>
      <c r="W382" s="6" t="s">
        <v>418</v>
      </c>
      <c r="X382" s="6" t="s">
        <v>1643</v>
      </c>
      <c r="Y382" s="6" t="s">
        <v>1643</v>
      </c>
      <c r="Z382" s="6" t="s">
        <v>1652</v>
      </c>
      <c r="AA382" s="8">
        <v>1</v>
      </c>
      <c r="AB382" s="8">
        <v>1</v>
      </c>
      <c r="AC382" s="8">
        <v>1</v>
      </c>
      <c r="AD382" s="8">
        <v>0</v>
      </c>
      <c r="AE382" s="8">
        <v>100</v>
      </c>
      <c r="AF382" s="6" t="s">
        <v>282</v>
      </c>
      <c r="AG382" s="6" t="s">
        <v>283</v>
      </c>
      <c r="AH382" s="6" t="s">
        <v>392</v>
      </c>
      <c r="AI382" s="6" t="s">
        <v>286</v>
      </c>
      <c r="AJ382" s="9">
        <v>40</v>
      </c>
      <c r="AK382" s="8">
        <v>40</v>
      </c>
      <c r="AL382" s="8">
        <v>40</v>
      </c>
      <c r="AM382" s="8">
        <v>40</v>
      </c>
      <c r="AN382" s="8">
        <v>40</v>
      </c>
      <c r="AO382" s="13">
        <v>40</v>
      </c>
      <c r="AP382" s="5"/>
    </row>
    <row r="383" spans="1:42">
      <c r="A383" s="12">
        <v>382</v>
      </c>
      <c r="B383" s="6" t="s">
        <v>1457</v>
      </c>
      <c r="C383" s="6" t="s">
        <v>15</v>
      </c>
      <c r="D383" s="6" t="s">
        <v>305</v>
      </c>
      <c r="E383" s="6" t="s">
        <v>86</v>
      </c>
      <c r="F383" s="7">
        <v>43983</v>
      </c>
      <c r="G383" s="6" t="s">
        <v>14</v>
      </c>
      <c r="H383" s="6" t="s">
        <v>120</v>
      </c>
      <c r="I383" s="6" t="s">
        <v>121</v>
      </c>
      <c r="J383" s="6" t="s">
        <v>90</v>
      </c>
      <c r="K383" s="6" t="s">
        <v>91</v>
      </c>
      <c r="L383" s="6" t="s">
        <v>92</v>
      </c>
      <c r="M383" s="6" t="s">
        <v>90</v>
      </c>
      <c r="N383" s="6" t="s">
        <v>103</v>
      </c>
      <c r="O383" s="6" t="s">
        <v>95</v>
      </c>
      <c r="P383" s="6" t="s">
        <v>117</v>
      </c>
      <c r="Q383" s="6" t="s">
        <v>122</v>
      </c>
      <c r="R383" s="6" t="s">
        <v>1643</v>
      </c>
      <c r="S383" s="6" t="s">
        <v>94</v>
      </c>
      <c r="T383" s="6" t="s">
        <v>94</v>
      </c>
      <c r="U383" s="6" t="s">
        <v>94</v>
      </c>
      <c r="V383" s="6" t="s">
        <v>94</v>
      </c>
      <c r="W383" s="6" t="s">
        <v>422</v>
      </c>
      <c r="X383" s="6" t="s">
        <v>1643</v>
      </c>
      <c r="Y383" s="6" t="s">
        <v>1643</v>
      </c>
      <c r="Z383" s="6" t="s">
        <v>1643</v>
      </c>
      <c r="AA383" s="8">
        <v>1</v>
      </c>
      <c r="AB383" s="8">
        <v>1</v>
      </c>
      <c r="AC383" s="8">
        <v>1</v>
      </c>
      <c r="AD383" s="8">
        <v>1</v>
      </c>
      <c r="AE383" s="8">
        <v>100</v>
      </c>
      <c r="AF383" s="6" t="s">
        <v>300</v>
      </c>
      <c r="AG383" s="6" t="s">
        <v>283</v>
      </c>
      <c r="AH383" s="6" t="s">
        <v>298</v>
      </c>
      <c r="AI383" s="6" t="s">
        <v>286</v>
      </c>
      <c r="AJ383" s="9">
        <v>40</v>
      </c>
      <c r="AK383" s="8">
        <v>40</v>
      </c>
      <c r="AL383" s="8">
        <v>40</v>
      </c>
      <c r="AM383" s="8">
        <v>40</v>
      </c>
      <c r="AN383" s="8">
        <v>40</v>
      </c>
      <c r="AO383" s="13">
        <v>40</v>
      </c>
      <c r="AP383" s="5"/>
    </row>
    <row r="384" spans="1:42">
      <c r="A384" s="12">
        <v>383</v>
      </c>
      <c r="B384" s="6" t="s">
        <v>1459</v>
      </c>
      <c r="C384" s="6" t="s">
        <v>2102</v>
      </c>
      <c r="D384" s="6" t="s">
        <v>339</v>
      </c>
      <c r="E384" s="6" t="s">
        <v>86</v>
      </c>
      <c r="F384" s="7">
        <v>46189</v>
      </c>
      <c r="G384" s="6" t="s">
        <v>337</v>
      </c>
      <c r="H384" s="6" t="s">
        <v>94</v>
      </c>
      <c r="I384" s="6" t="s">
        <v>94</v>
      </c>
      <c r="J384" s="6" t="s">
        <v>90</v>
      </c>
      <c r="K384" s="6" t="s">
        <v>91</v>
      </c>
      <c r="L384" s="6" t="s">
        <v>92</v>
      </c>
      <c r="M384" s="6" t="s">
        <v>90</v>
      </c>
      <c r="N384" s="6" t="s">
        <v>94</v>
      </c>
      <c r="O384" s="6" t="s">
        <v>94</v>
      </c>
      <c r="P384" s="6" t="s">
        <v>131</v>
      </c>
      <c r="Q384" s="6" t="s">
        <v>104</v>
      </c>
      <c r="R384" s="6" t="s">
        <v>1643</v>
      </c>
      <c r="S384" s="6" t="s">
        <v>94</v>
      </c>
      <c r="T384" s="6" t="s">
        <v>94</v>
      </c>
      <c r="U384" s="6" t="s">
        <v>94</v>
      </c>
      <c r="V384" s="6" t="s">
        <v>94</v>
      </c>
      <c r="W384" s="6" t="s">
        <v>338</v>
      </c>
      <c r="X384" s="6" t="s">
        <v>1643</v>
      </c>
      <c r="Y384" s="6" t="s">
        <v>1643</v>
      </c>
      <c r="Z384" s="6" t="s">
        <v>1643</v>
      </c>
      <c r="AA384" s="8">
        <v>1</v>
      </c>
      <c r="AB384" s="8">
        <v>1</v>
      </c>
      <c r="AC384" s="8">
        <v>1</v>
      </c>
      <c r="AD384" s="8">
        <v>1</v>
      </c>
      <c r="AE384" s="8">
        <v>100</v>
      </c>
      <c r="AF384" s="6" t="s">
        <v>308</v>
      </c>
      <c r="AG384" s="6" t="s">
        <v>283</v>
      </c>
      <c r="AH384" s="6" t="s">
        <v>305</v>
      </c>
      <c r="AI384" s="6" t="s">
        <v>286</v>
      </c>
      <c r="AJ384" s="9">
        <v>40</v>
      </c>
      <c r="AK384" s="8">
        <v>40</v>
      </c>
      <c r="AL384" s="8">
        <v>40</v>
      </c>
      <c r="AM384" s="8">
        <v>40</v>
      </c>
      <c r="AN384" s="8">
        <v>40</v>
      </c>
      <c r="AO384" s="13">
        <v>40</v>
      </c>
      <c r="AP384" s="5"/>
    </row>
    <row r="385" spans="1:42">
      <c r="A385" s="12">
        <v>384</v>
      </c>
      <c r="B385" s="6" t="s">
        <v>1461</v>
      </c>
      <c r="C385" s="6" t="s">
        <v>2103</v>
      </c>
      <c r="D385" s="6" t="s">
        <v>285</v>
      </c>
      <c r="E385" s="6" t="s">
        <v>86</v>
      </c>
      <c r="F385" s="7">
        <v>45572</v>
      </c>
      <c r="G385" s="6" t="s">
        <v>111</v>
      </c>
      <c r="H385" s="6" t="s">
        <v>94</v>
      </c>
      <c r="I385" s="6" t="s">
        <v>94</v>
      </c>
      <c r="J385" s="6" t="s">
        <v>90</v>
      </c>
      <c r="K385" s="6" t="s">
        <v>91</v>
      </c>
      <c r="L385" s="6" t="s">
        <v>92</v>
      </c>
      <c r="M385" s="6" t="s">
        <v>90</v>
      </c>
      <c r="N385" s="6" t="s">
        <v>94</v>
      </c>
      <c r="O385" s="6" t="s">
        <v>94</v>
      </c>
      <c r="P385" s="6" t="s">
        <v>184</v>
      </c>
      <c r="Q385" s="6" t="s">
        <v>104</v>
      </c>
      <c r="R385" s="6" t="s">
        <v>1643</v>
      </c>
      <c r="S385" s="6" t="s">
        <v>94</v>
      </c>
      <c r="T385" s="6" t="s">
        <v>94</v>
      </c>
      <c r="U385" s="6" t="s">
        <v>94</v>
      </c>
      <c r="V385" s="6" t="s">
        <v>94</v>
      </c>
      <c r="W385" s="6" t="s">
        <v>418</v>
      </c>
      <c r="X385" s="6" t="s">
        <v>1643</v>
      </c>
      <c r="Y385" s="6" t="s">
        <v>1643</v>
      </c>
      <c r="Z385" s="6" t="s">
        <v>1643</v>
      </c>
      <c r="AA385" s="8">
        <v>1</v>
      </c>
      <c r="AB385" s="8">
        <v>1</v>
      </c>
      <c r="AC385" s="8">
        <v>1</v>
      </c>
      <c r="AD385" s="8">
        <v>1</v>
      </c>
      <c r="AE385" s="8">
        <v>100</v>
      </c>
      <c r="AF385" s="6" t="s">
        <v>334</v>
      </c>
      <c r="AG385" s="6" t="s">
        <v>335</v>
      </c>
      <c r="AH385" s="6" t="s">
        <v>339</v>
      </c>
      <c r="AI385" s="6" t="s">
        <v>286</v>
      </c>
      <c r="AJ385" s="9">
        <v>40</v>
      </c>
      <c r="AK385" s="8">
        <v>40</v>
      </c>
      <c r="AL385" s="8">
        <v>40</v>
      </c>
      <c r="AM385" s="8">
        <v>40</v>
      </c>
      <c r="AN385" s="8">
        <v>40</v>
      </c>
      <c r="AO385" s="13">
        <v>40</v>
      </c>
      <c r="AP385" s="5"/>
    </row>
    <row r="386" spans="1:42">
      <c r="A386" s="12">
        <v>385</v>
      </c>
      <c r="B386" s="6" t="s">
        <v>1463</v>
      </c>
      <c r="C386" s="6" t="s">
        <v>2104</v>
      </c>
      <c r="D386" s="6" t="s">
        <v>378</v>
      </c>
      <c r="E386" s="6" t="s">
        <v>86</v>
      </c>
      <c r="F386" s="7">
        <v>45419</v>
      </c>
      <c r="G386" s="6" t="s">
        <v>111</v>
      </c>
      <c r="H386" s="6" t="s">
        <v>101</v>
      </c>
      <c r="I386" s="6" t="s">
        <v>135</v>
      </c>
      <c r="J386" s="6" t="s">
        <v>90</v>
      </c>
      <c r="K386" s="6" t="s">
        <v>91</v>
      </c>
      <c r="L386" s="6" t="s">
        <v>92</v>
      </c>
      <c r="M386" s="6" t="s">
        <v>90</v>
      </c>
      <c r="N386" s="6" t="s">
        <v>94</v>
      </c>
      <c r="O386" s="6" t="s">
        <v>94</v>
      </c>
      <c r="P386" s="6" t="s">
        <v>412</v>
      </c>
      <c r="Q386" s="6" t="s">
        <v>122</v>
      </c>
      <c r="R386" s="6" t="s">
        <v>1643</v>
      </c>
      <c r="S386" s="6" t="s">
        <v>94</v>
      </c>
      <c r="T386" s="6" t="s">
        <v>94</v>
      </c>
      <c r="U386" s="6" t="s">
        <v>94</v>
      </c>
      <c r="V386" s="6" t="s">
        <v>94</v>
      </c>
      <c r="W386" s="6" t="s">
        <v>281</v>
      </c>
      <c r="X386" s="6" t="s">
        <v>1643</v>
      </c>
      <c r="Y386" s="6" t="s">
        <v>1643</v>
      </c>
      <c r="Z386" s="6" t="s">
        <v>1643</v>
      </c>
      <c r="AA386" s="8">
        <v>1</v>
      </c>
      <c r="AB386" s="8">
        <v>1</v>
      </c>
      <c r="AC386" s="8">
        <v>1</v>
      </c>
      <c r="AD386" s="8">
        <v>1</v>
      </c>
      <c r="AE386" s="8">
        <v>100</v>
      </c>
      <c r="AF386" s="6" t="s">
        <v>282</v>
      </c>
      <c r="AG386" s="6" t="s">
        <v>283</v>
      </c>
      <c r="AH386" s="6" t="s">
        <v>285</v>
      </c>
      <c r="AI386" s="6" t="s">
        <v>286</v>
      </c>
      <c r="AJ386" s="9">
        <v>40</v>
      </c>
      <c r="AK386" s="8">
        <v>40</v>
      </c>
      <c r="AL386" s="8">
        <v>40</v>
      </c>
      <c r="AM386" s="8">
        <v>40</v>
      </c>
      <c r="AN386" s="8">
        <v>40</v>
      </c>
      <c r="AO386" s="13">
        <v>40</v>
      </c>
      <c r="AP386" s="5"/>
    </row>
    <row r="387" spans="1:42">
      <c r="A387" s="12">
        <v>386</v>
      </c>
      <c r="B387" s="6" t="s">
        <v>1465</v>
      </c>
      <c r="C387" s="6" t="s">
        <v>2105</v>
      </c>
      <c r="D387" s="6" t="s">
        <v>94</v>
      </c>
      <c r="E387" s="6" t="s">
        <v>86</v>
      </c>
      <c r="F387" s="7">
        <v>44735</v>
      </c>
      <c r="G387" s="6" t="s">
        <v>204</v>
      </c>
      <c r="H387" s="6" t="s">
        <v>371</v>
      </c>
      <c r="I387" s="6" t="s">
        <v>1467</v>
      </c>
      <c r="J387" s="6" t="s">
        <v>90</v>
      </c>
      <c r="K387" s="6" t="s">
        <v>91</v>
      </c>
      <c r="L387" s="6" t="s">
        <v>92</v>
      </c>
      <c r="M387" s="6" t="s">
        <v>90</v>
      </c>
      <c r="N387" s="6" t="s">
        <v>43</v>
      </c>
      <c r="O387" s="6" t="s">
        <v>104</v>
      </c>
      <c r="P387" s="6" t="s">
        <v>43</v>
      </c>
      <c r="Q387" s="6" t="s">
        <v>104</v>
      </c>
      <c r="R387" s="6" t="s">
        <v>1643</v>
      </c>
      <c r="S387" s="6" t="s">
        <v>94</v>
      </c>
      <c r="T387" s="6" t="s">
        <v>94</v>
      </c>
      <c r="U387" s="6" t="s">
        <v>94</v>
      </c>
      <c r="V387" s="6" t="s">
        <v>94</v>
      </c>
      <c r="W387" s="6" t="s">
        <v>403</v>
      </c>
      <c r="X387" s="6" t="s">
        <v>1643</v>
      </c>
      <c r="Y387" s="6" t="s">
        <v>1643</v>
      </c>
      <c r="Z387" s="6" t="s">
        <v>1643</v>
      </c>
      <c r="AA387" s="8">
        <v>1</v>
      </c>
      <c r="AB387" s="8">
        <v>1</v>
      </c>
      <c r="AC387" s="8">
        <v>1</v>
      </c>
      <c r="AD387" s="8">
        <v>1</v>
      </c>
      <c r="AE387" s="8">
        <v>100</v>
      </c>
      <c r="AF387" s="6" t="s">
        <v>381</v>
      </c>
      <c r="AG387" s="6" t="s">
        <v>283</v>
      </c>
      <c r="AH387" s="6" t="s">
        <v>378</v>
      </c>
      <c r="AI387" s="6" t="s">
        <v>286</v>
      </c>
      <c r="AJ387" s="9">
        <v>40</v>
      </c>
      <c r="AK387" s="8">
        <v>40</v>
      </c>
      <c r="AL387" s="8">
        <v>40</v>
      </c>
      <c r="AM387" s="8">
        <v>40</v>
      </c>
      <c r="AN387" s="8">
        <v>40</v>
      </c>
      <c r="AO387" s="13">
        <v>40</v>
      </c>
      <c r="AP387" s="5"/>
    </row>
    <row r="388" spans="1:42">
      <c r="A388" s="12">
        <v>387</v>
      </c>
      <c r="B388" s="6" t="s">
        <v>1468</v>
      </c>
      <c r="C388" s="6" t="s">
        <v>2106</v>
      </c>
      <c r="D388" s="6" t="s">
        <v>305</v>
      </c>
      <c r="E388" s="6" t="s">
        <v>251</v>
      </c>
      <c r="F388" s="7">
        <v>46257</v>
      </c>
      <c r="G388" s="6" t="s">
        <v>430</v>
      </c>
      <c r="H388" s="6" t="s">
        <v>94</v>
      </c>
      <c r="I388" s="6" t="s">
        <v>94</v>
      </c>
      <c r="J388" s="6" t="s">
        <v>90</v>
      </c>
      <c r="K388" s="6" t="s">
        <v>91</v>
      </c>
      <c r="L388" s="6" t="s">
        <v>92</v>
      </c>
      <c r="M388" s="6" t="s">
        <v>90</v>
      </c>
      <c r="N388" s="6" t="s">
        <v>94</v>
      </c>
      <c r="O388" s="6" t="s">
        <v>94</v>
      </c>
      <c r="P388" s="6" t="s">
        <v>94</v>
      </c>
      <c r="Q388" s="6" t="s">
        <v>94</v>
      </c>
      <c r="R388" s="11" t="s">
        <v>1838</v>
      </c>
      <c r="S388" s="6" t="s">
        <v>94</v>
      </c>
      <c r="T388" s="6" t="s">
        <v>94</v>
      </c>
      <c r="U388" s="6" t="s">
        <v>94</v>
      </c>
      <c r="V388" s="6" t="s">
        <v>94</v>
      </c>
      <c r="W388" s="6" t="s">
        <v>433</v>
      </c>
      <c r="X388" s="6" t="s">
        <v>1652</v>
      </c>
      <c r="Y388" s="6" t="s">
        <v>1652</v>
      </c>
      <c r="Z388" s="6" t="s">
        <v>1652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6" t="s">
        <v>94</v>
      </c>
      <c r="AG388" s="6" t="s">
        <v>94</v>
      </c>
      <c r="AH388" s="6" t="s">
        <v>94</v>
      </c>
      <c r="AI388" s="6" t="s">
        <v>94</v>
      </c>
      <c r="AJ388" s="9">
        <v>0</v>
      </c>
      <c r="AK388" s="8">
        <v>0</v>
      </c>
      <c r="AL388" s="8">
        <v>0</v>
      </c>
      <c r="AM388" s="8">
        <v>0</v>
      </c>
      <c r="AN388" s="8">
        <v>0</v>
      </c>
      <c r="AO388" s="13">
        <v>0</v>
      </c>
      <c r="AP388" s="5"/>
    </row>
    <row r="389" spans="1:42">
      <c r="A389" s="12">
        <v>388</v>
      </c>
      <c r="B389" s="6" t="s">
        <v>1470</v>
      </c>
      <c r="C389" s="6" t="s">
        <v>2107</v>
      </c>
      <c r="D389" s="18" t="s">
        <v>1473</v>
      </c>
      <c r="E389" s="6" t="s">
        <v>86</v>
      </c>
      <c r="F389" s="7">
        <v>44796</v>
      </c>
      <c r="G389" s="6" t="s">
        <v>204</v>
      </c>
      <c r="H389" s="6" t="s">
        <v>526</v>
      </c>
      <c r="I389" s="6" t="s">
        <v>1472</v>
      </c>
      <c r="J389" s="6" t="s">
        <v>90</v>
      </c>
      <c r="K389" s="6" t="s">
        <v>91</v>
      </c>
      <c r="L389" s="6" t="s">
        <v>92</v>
      </c>
      <c r="M389" s="6" t="s">
        <v>90</v>
      </c>
      <c r="N389" s="6" t="s">
        <v>43</v>
      </c>
      <c r="O389" s="6" t="s">
        <v>122</v>
      </c>
      <c r="P389" s="6" t="s">
        <v>43</v>
      </c>
      <c r="Q389" s="6" t="s">
        <v>104</v>
      </c>
      <c r="R389" s="6" t="s">
        <v>1643</v>
      </c>
      <c r="S389" s="6" t="s">
        <v>2108</v>
      </c>
      <c r="T389" s="6" t="s">
        <v>94</v>
      </c>
      <c r="U389" s="6" t="s">
        <v>94</v>
      </c>
      <c r="V389" s="6" t="s">
        <v>94</v>
      </c>
      <c r="W389" s="6" t="s">
        <v>403</v>
      </c>
      <c r="X389" s="6" t="s">
        <v>1929</v>
      </c>
      <c r="Y389" s="6" t="s">
        <v>1929</v>
      </c>
      <c r="Z389" s="6" t="s">
        <v>1929</v>
      </c>
      <c r="AA389" s="8">
        <v>0.76</v>
      </c>
      <c r="AB389" s="8">
        <v>0</v>
      </c>
      <c r="AC389" s="8">
        <v>0</v>
      </c>
      <c r="AD389" s="8">
        <v>0</v>
      </c>
      <c r="AE389" s="8">
        <v>80.952380950000006</v>
      </c>
      <c r="AF389" s="6" t="s">
        <v>308</v>
      </c>
      <c r="AG389" s="6" t="s">
        <v>283</v>
      </c>
      <c r="AH389" s="6" t="s">
        <v>305</v>
      </c>
      <c r="AI389" s="6" t="s">
        <v>286</v>
      </c>
      <c r="AJ389" s="9">
        <v>40</v>
      </c>
      <c r="AK389" s="8">
        <v>8</v>
      </c>
      <c r="AL389" s="8">
        <v>0</v>
      </c>
      <c r="AM389" s="8">
        <v>0</v>
      </c>
      <c r="AN389" s="8">
        <v>0</v>
      </c>
      <c r="AO389" s="13">
        <v>0</v>
      </c>
      <c r="AP389" s="5"/>
    </row>
    <row r="390" spans="1:42">
      <c r="A390" s="17">
        <v>389</v>
      </c>
      <c r="B390" s="18" t="s">
        <v>1474</v>
      </c>
      <c r="C390" s="18" t="s">
        <v>2109</v>
      </c>
      <c r="D390" s="18"/>
      <c r="E390" s="18" t="s">
        <v>86</v>
      </c>
      <c r="F390" s="19">
        <v>45695</v>
      </c>
      <c r="G390" s="18" t="s">
        <v>150</v>
      </c>
      <c r="H390" s="18" t="s">
        <v>94</v>
      </c>
      <c r="I390" s="18" t="s">
        <v>1476</v>
      </c>
      <c r="J390" s="18" t="s">
        <v>213</v>
      </c>
      <c r="K390" s="18" t="s">
        <v>91</v>
      </c>
      <c r="L390" s="18" t="s">
        <v>92</v>
      </c>
      <c r="M390" s="18" t="s">
        <v>213</v>
      </c>
      <c r="N390" s="18" t="s">
        <v>94</v>
      </c>
      <c r="O390" s="18" t="s">
        <v>94</v>
      </c>
      <c r="P390" s="18" t="s">
        <v>93</v>
      </c>
      <c r="Q390" s="18" t="s">
        <v>95</v>
      </c>
      <c r="R390" s="18" t="s">
        <v>1643</v>
      </c>
      <c r="S390" s="18" t="s">
        <v>94</v>
      </c>
      <c r="T390" s="18" t="s">
        <v>94</v>
      </c>
      <c r="U390" s="18" t="s">
        <v>94</v>
      </c>
      <c r="V390" s="18" t="s">
        <v>94</v>
      </c>
      <c r="W390" s="18" t="s">
        <v>445</v>
      </c>
      <c r="X390" s="18" t="s">
        <v>1643</v>
      </c>
      <c r="Y390" s="18" t="s">
        <v>1643</v>
      </c>
      <c r="Z390" s="18" t="s">
        <v>1652</v>
      </c>
      <c r="AA390" s="20">
        <v>1</v>
      </c>
      <c r="AB390" s="20">
        <v>1</v>
      </c>
      <c r="AC390" s="20">
        <v>1</v>
      </c>
      <c r="AD390" s="20">
        <v>0</v>
      </c>
      <c r="AE390" s="20">
        <v>100</v>
      </c>
      <c r="AF390" s="18" t="s">
        <v>385</v>
      </c>
      <c r="AG390" s="18" t="s">
        <v>386</v>
      </c>
      <c r="AH390" s="18" t="s">
        <v>1473</v>
      </c>
      <c r="AI390" s="18" t="s">
        <v>286</v>
      </c>
      <c r="AJ390" s="21">
        <v>40</v>
      </c>
      <c r="AK390" s="20">
        <v>40</v>
      </c>
      <c r="AL390" s="20">
        <v>40</v>
      </c>
      <c r="AM390" s="20">
        <v>40</v>
      </c>
      <c r="AN390" s="20">
        <v>40</v>
      </c>
      <c r="AO390" s="22">
        <v>40</v>
      </c>
      <c r="AP390" s="5"/>
    </row>
    <row r="391" spans="1:4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57DA-FC20-4039-8393-92B0046FDE2D}">
  <dimension ref="A1:B87"/>
  <sheetViews>
    <sheetView topLeftCell="A31" workbookViewId="0">
      <selection activeCell="F13" sqref="F13"/>
    </sheetView>
  </sheetViews>
  <sheetFormatPr defaultRowHeight="15"/>
  <cols>
    <col min="1" max="4" width="19" customWidth="1"/>
  </cols>
  <sheetData>
    <row r="1" spans="1:2">
      <c r="A1" t="s">
        <v>284</v>
      </c>
      <c r="B1" t="s">
        <v>2110</v>
      </c>
    </row>
    <row r="2" spans="1:2">
      <c r="A2" t="s">
        <v>292</v>
      </c>
      <c r="B2" t="s">
        <v>2111</v>
      </c>
    </row>
    <row r="3" spans="1:2">
      <c r="A3" t="s">
        <v>298</v>
      </c>
      <c r="B3" t="s">
        <v>2112</v>
      </c>
    </row>
    <row r="4" spans="1:2">
      <c r="A4" t="s">
        <v>301</v>
      </c>
      <c r="B4" t="s">
        <v>2113</v>
      </c>
    </row>
    <row r="5" spans="1:2">
      <c r="A5" t="s">
        <v>305</v>
      </c>
      <c r="B5" t="s">
        <v>2114</v>
      </c>
    </row>
    <row r="6" spans="1:2">
      <c r="A6" t="s">
        <v>309</v>
      </c>
      <c r="B6" t="s">
        <v>2115</v>
      </c>
    </row>
    <row r="7" spans="1:2">
      <c r="A7" t="s">
        <v>315</v>
      </c>
      <c r="B7" t="s">
        <v>2116</v>
      </c>
    </row>
    <row r="8" spans="1:2">
      <c r="A8" t="s">
        <v>318</v>
      </c>
      <c r="B8" t="s">
        <v>2117</v>
      </c>
    </row>
    <row r="9" spans="1:2">
      <c r="A9" t="s">
        <v>323</v>
      </c>
      <c r="B9" t="s">
        <v>2118</v>
      </c>
    </row>
    <row r="10" spans="1:2">
      <c r="A10" t="s">
        <v>327</v>
      </c>
      <c r="B10" t="s">
        <v>2119</v>
      </c>
    </row>
    <row r="11" spans="1:2">
      <c r="A11" t="s">
        <v>331</v>
      </c>
      <c r="B11" t="s">
        <v>2120</v>
      </c>
    </row>
    <row r="12" spans="1:2">
      <c r="A12" t="s">
        <v>339</v>
      </c>
      <c r="B12" t="s">
        <v>2121</v>
      </c>
    </row>
    <row r="13" spans="1:2">
      <c r="A13" t="s">
        <v>341</v>
      </c>
      <c r="B13" t="s">
        <v>2122</v>
      </c>
    </row>
    <row r="14" spans="1:2">
      <c r="A14" t="s">
        <v>348</v>
      </c>
      <c r="B14" t="s">
        <v>2123</v>
      </c>
    </row>
    <row r="15" spans="1:2">
      <c r="A15" t="s">
        <v>354</v>
      </c>
      <c r="B15" t="s">
        <v>2124</v>
      </c>
    </row>
    <row r="16" spans="1:2">
      <c r="A16" t="s">
        <v>373</v>
      </c>
      <c r="B16" t="s">
        <v>2125</v>
      </c>
    </row>
    <row r="17" spans="1:2">
      <c r="A17" t="s">
        <v>285</v>
      </c>
      <c r="B17" t="s">
        <v>2126</v>
      </c>
    </row>
    <row r="18" spans="1:2">
      <c r="A18" t="s">
        <v>378</v>
      </c>
      <c r="B18" t="s">
        <v>2127</v>
      </c>
    </row>
    <row r="19" spans="1:2">
      <c r="A19" t="s">
        <v>382</v>
      </c>
      <c r="B19" t="s">
        <v>2128</v>
      </c>
    </row>
    <row r="20" spans="1:2">
      <c r="A20" t="s">
        <v>387</v>
      </c>
      <c r="B20" t="s">
        <v>2129</v>
      </c>
    </row>
    <row r="21" spans="1:2">
      <c r="A21" t="s">
        <v>392</v>
      </c>
      <c r="B21" t="s">
        <v>2130</v>
      </c>
    </row>
    <row r="22" spans="1:2">
      <c r="A22" t="s">
        <v>396</v>
      </c>
      <c r="B22" t="s">
        <v>2131</v>
      </c>
    </row>
    <row r="23" spans="1:2">
      <c r="A23" t="s">
        <v>413</v>
      </c>
      <c r="B23" t="s">
        <v>2132</v>
      </c>
    </row>
    <row r="24" spans="1:2">
      <c r="A24" t="s">
        <v>434</v>
      </c>
      <c r="B24" t="s">
        <v>2133</v>
      </c>
    </row>
    <row r="25" spans="1:2">
      <c r="A25" t="s">
        <v>442</v>
      </c>
      <c r="B25" t="s">
        <v>2134</v>
      </c>
    </row>
    <row r="26" spans="1:2">
      <c r="A26" t="s">
        <v>464</v>
      </c>
      <c r="B26" t="s">
        <v>2135</v>
      </c>
    </row>
    <row r="27" spans="1:2">
      <c r="A27" t="s">
        <v>468</v>
      </c>
      <c r="B27" t="s">
        <v>2136</v>
      </c>
    </row>
    <row r="28" spans="1:2">
      <c r="A28" t="s">
        <v>486</v>
      </c>
      <c r="B28" t="s">
        <v>2137</v>
      </c>
    </row>
    <row r="29" spans="1:2">
      <c r="A29" t="s">
        <v>501</v>
      </c>
      <c r="B29" t="s">
        <v>2138</v>
      </c>
    </row>
    <row r="30" spans="1:2">
      <c r="A30" t="s">
        <v>510</v>
      </c>
      <c r="B30" t="s">
        <v>2139</v>
      </c>
    </row>
    <row r="31" spans="1:2">
      <c r="A31" t="s">
        <v>537</v>
      </c>
      <c r="B31" t="s">
        <v>2140</v>
      </c>
    </row>
    <row r="32" spans="1:2">
      <c r="A32" t="s">
        <v>546</v>
      </c>
      <c r="B32" t="s">
        <v>2141</v>
      </c>
    </row>
    <row r="33" spans="1:2">
      <c r="A33" t="s">
        <v>575</v>
      </c>
      <c r="B33" t="s">
        <v>2142</v>
      </c>
    </row>
    <row r="34" spans="1:2">
      <c r="A34" t="s">
        <v>626</v>
      </c>
      <c r="B34" t="s">
        <v>2143</v>
      </c>
    </row>
    <row r="35" spans="1:2">
      <c r="A35" t="s">
        <v>648</v>
      </c>
      <c r="B35" t="s">
        <v>2144</v>
      </c>
    </row>
    <row r="36" spans="1:2">
      <c r="A36" t="s">
        <v>653</v>
      </c>
      <c r="B36" t="s">
        <v>2145</v>
      </c>
    </row>
    <row r="37" spans="1:2">
      <c r="A37" t="s">
        <v>668</v>
      </c>
      <c r="B37" t="s">
        <v>2146</v>
      </c>
    </row>
    <row r="38" spans="1:2">
      <c r="A38" t="s">
        <v>679</v>
      </c>
      <c r="B38" t="s">
        <v>2147</v>
      </c>
    </row>
    <row r="39" spans="1:2">
      <c r="A39" t="s">
        <v>708</v>
      </c>
      <c r="B39" t="s">
        <v>2148</v>
      </c>
    </row>
    <row r="40" spans="1:2">
      <c r="A40" t="s">
        <v>763</v>
      </c>
      <c r="B40" t="s">
        <v>2149</v>
      </c>
    </row>
    <row r="41" spans="1:2">
      <c r="A41" t="s">
        <v>771</v>
      </c>
      <c r="B41" t="s">
        <v>2150</v>
      </c>
    </row>
    <row r="42" spans="1:2">
      <c r="A42" t="s">
        <v>789</v>
      </c>
      <c r="B42" t="s">
        <v>2151</v>
      </c>
    </row>
    <row r="43" spans="1:2">
      <c r="A43" t="s">
        <v>814</v>
      </c>
      <c r="B43" t="s">
        <v>2152</v>
      </c>
    </row>
    <row r="44" spans="1:2">
      <c r="A44" t="s">
        <v>957</v>
      </c>
      <c r="B44" t="s">
        <v>2153</v>
      </c>
    </row>
    <row r="45" spans="1:2">
      <c r="A45" t="s">
        <v>1092</v>
      </c>
      <c r="B45" t="s">
        <v>2154</v>
      </c>
    </row>
    <row r="46" spans="1:2">
      <c r="A46" t="s">
        <v>1135</v>
      </c>
      <c r="B46" t="s">
        <v>2155</v>
      </c>
    </row>
    <row r="47" spans="1:2">
      <c r="A47" t="s">
        <v>1171</v>
      </c>
      <c r="B47" t="s">
        <v>2156</v>
      </c>
    </row>
    <row r="48" spans="1:2">
      <c r="A48" t="s">
        <v>1177</v>
      </c>
      <c r="B48" t="s">
        <v>2157</v>
      </c>
    </row>
    <row r="49" spans="1:2">
      <c r="A49" t="s">
        <v>1342</v>
      </c>
      <c r="B49" t="s">
        <v>2158</v>
      </c>
    </row>
    <row r="50" spans="1:2">
      <c r="A50" t="s">
        <v>1372</v>
      </c>
      <c r="B50" t="s">
        <v>2159</v>
      </c>
    </row>
    <row r="51" spans="1:2">
      <c r="A51" t="s">
        <v>1401</v>
      </c>
      <c r="B51" t="s">
        <v>2160</v>
      </c>
    </row>
    <row r="52" spans="1:2">
      <c r="A52" t="s">
        <v>1473</v>
      </c>
      <c r="B52" t="s">
        <v>2161</v>
      </c>
    </row>
    <row r="70" spans="1:1" ht="16.5">
      <c r="A70" s="104"/>
    </row>
    <row r="71" spans="1:1" ht="16.5">
      <c r="A71" s="104"/>
    </row>
    <row r="72" spans="1:1" ht="16.5">
      <c r="A72" s="104"/>
    </row>
    <row r="73" spans="1:1" ht="16.5">
      <c r="A73" s="104"/>
    </row>
    <row r="74" spans="1:1" ht="16.5">
      <c r="A74" s="104"/>
    </row>
    <row r="75" spans="1:1" ht="16.5">
      <c r="A75" s="104"/>
    </row>
    <row r="76" spans="1:1" ht="16.5">
      <c r="A76" s="104"/>
    </row>
    <row r="77" spans="1:1" ht="16.5">
      <c r="A77" s="104"/>
    </row>
    <row r="78" spans="1:1" ht="16.5">
      <c r="A78" s="104"/>
    </row>
    <row r="79" spans="1:1" ht="16.5">
      <c r="A79" s="104"/>
    </row>
    <row r="80" spans="1:1" ht="16.5">
      <c r="A80" s="104"/>
    </row>
    <row r="81" spans="1:1" ht="16.5">
      <c r="A81" s="104"/>
    </row>
    <row r="82" spans="1:1" ht="16.5">
      <c r="A82" s="104"/>
    </row>
    <row r="83" spans="1:1" ht="16.5">
      <c r="A83" s="104"/>
    </row>
    <row r="84" spans="1:1" ht="16.5">
      <c r="A84" s="104"/>
    </row>
    <row r="85" spans="1:1" ht="16.5">
      <c r="A85" s="104"/>
    </row>
    <row r="86" spans="1:1" ht="16.5">
      <c r="A86" s="104"/>
    </row>
    <row r="87" spans="1:1" ht="16.5">
      <c r="A87" s="10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8506-65F3-46D9-A4FF-D81DED6A10C6}">
  <dimension ref="A1:B23"/>
  <sheetViews>
    <sheetView workbookViewId="0">
      <selection activeCell="L21" sqref="L21"/>
    </sheetView>
  </sheetViews>
  <sheetFormatPr defaultRowHeight="15"/>
  <cols>
    <col min="1" max="2" width="20.7109375" customWidth="1"/>
  </cols>
  <sheetData>
    <row r="1" spans="1:2">
      <c r="A1" t="s">
        <v>282</v>
      </c>
      <c r="B1" t="s">
        <v>2162</v>
      </c>
    </row>
    <row r="2" spans="1:2">
      <c r="A2" t="s">
        <v>297</v>
      </c>
      <c r="B2" t="s">
        <v>2163</v>
      </c>
    </row>
    <row r="3" spans="1:2">
      <c r="A3" t="s">
        <v>300</v>
      </c>
      <c r="B3" t="s">
        <v>2164</v>
      </c>
    </row>
    <row r="4" spans="1:2">
      <c r="A4" t="s">
        <v>308</v>
      </c>
      <c r="B4" t="s">
        <v>2165</v>
      </c>
    </row>
    <row r="5" spans="1:2">
      <c r="A5" t="s">
        <v>314</v>
      </c>
      <c r="B5" t="s">
        <v>2166</v>
      </c>
    </row>
    <row r="6" spans="1:2">
      <c r="A6" t="s">
        <v>317</v>
      </c>
      <c r="B6" t="s">
        <v>2167</v>
      </c>
    </row>
    <row r="7" spans="1:2">
      <c r="A7" t="s">
        <v>326</v>
      </c>
      <c r="B7" t="s">
        <v>2168</v>
      </c>
    </row>
    <row r="8" spans="1:2">
      <c r="A8" t="s">
        <v>330</v>
      </c>
      <c r="B8" t="s">
        <v>2169</v>
      </c>
    </row>
    <row r="9" spans="1:2">
      <c r="A9" t="s">
        <v>334</v>
      </c>
      <c r="B9" t="s">
        <v>2170</v>
      </c>
    </row>
    <row r="10" spans="1:2">
      <c r="A10" t="s">
        <v>351</v>
      </c>
      <c r="B10" t="s">
        <v>2171</v>
      </c>
    </row>
    <row r="11" spans="1:2">
      <c r="A11" t="s">
        <v>357</v>
      </c>
      <c r="B11" t="s">
        <v>2172</v>
      </c>
    </row>
    <row r="12" spans="1:2">
      <c r="A12" t="s">
        <v>381</v>
      </c>
      <c r="B12" t="s">
        <v>2173</v>
      </c>
    </row>
    <row r="13" spans="1:2">
      <c r="A13" t="s">
        <v>385</v>
      </c>
      <c r="B13" t="s">
        <v>2174</v>
      </c>
    </row>
    <row r="14" spans="1:2">
      <c r="A14" t="s">
        <v>391</v>
      </c>
      <c r="B14" t="s">
        <v>2175</v>
      </c>
    </row>
    <row r="15" spans="1:2">
      <c r="A15" t="s">
        <v>491</v>
      </c>
      <c r="B15" t="s">
        <v>2176</v>
      </c>
    </row>
    <row r="16" spans="1:2">
      <c r="A16" t="s">
        <v>551</v>
      </c>
      <c r="B16" t="s">
        <v>2177</v>
      </c>
    </row>
    <row r="17" spans="1:2">
      <c r="A17" t="s">
        <v>630</v>
      </c>
      <c r="B17" t="s">
        <v>2178</v>
      </c>
    </row>
    <row r="18" spans="1:2">
      <c r="A18" t="s">
        <v>652</v>
      </c>
      <c r="B18" t="s">
        <v>2179</v>
      </c>
    </row>
    <row r="19" spans="1:2">
      <c r="A19" t="s">
        <v>671</v>
      </c>
      <c r="B19" t="s">
        <v>2180</v>
      </c>
    </row>
    <row r="20" spans="1:2">
      <c r="A20" t="s">
        <v>793</v>
      </c>
      <c r="B20" t="s">
        <v>2181</v>
      </c>
    </row>
    <row r="21" spans="1:2">
      <c r="A21" t="s">
        <v>961</v>
      </c>
      <c r="B21" t="s">
        <v>2182</v>
      </c>
    </row>
    <row r="22" spans="1:2">
      <c r="A22" t="s">
        <v>1140</v>
      </c>
      <c r="B22" t="s">
        <v>2183</v>
      </c>
    </row>
    <row r="23" spans="1:2">
      <c r="A23" t="s">
        <v>1346</v>
      </c>
      <c r="B23" t="s">
        <v>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2026-08-25T02:07:09Z</dcterms:created>
  <dcterms:modified xsi:type="dcterms:W3CDTF">2026-09-29T09:54:25Z</dcterms:modified>
  <cp:category/>
  <cp:contentStatus/>
</cp:coreProperties>
</file>